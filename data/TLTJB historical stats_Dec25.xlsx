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Strickland\Downloads\"/>
    </mc:Choice>
  </mc:AlternateContent>
  <xr:revisionPtr revIDLastSave="0" documentId="13_ncr:1_{E6A21DAC-D383-4F2D-B10A-EE46BAD27ADE}" xr6:coauthVersionLast="47" xr6:coauthVersionMax="47" xr10:uidLastSave="{00000000-0000-0000-0000-000000000000}"/>
  <bookViews>
    <workbookView xWindow="-108" yWindow="-108" windowWidth="23256" windowHeight="12456" xr2:uid="{8ADA8694-1F7B-4EBD-ADA4-3E05E2C98161}"/>
    <workbookView xWindow="19320" yWindow="-10450" windowWidth="21320" windowHeight="19670" xr2:uid="{557EBB99-121F-410D-863C-01C35B9AE7E4}"/>
  </bookViews>
  <sheets>
    <sheet name="Summary Page" sheetId="5" r:id="rId1"/>
    <sheet name="Regular Season" sheetId="2" r:id="rId2"/>
    <sheet name="Playoffs" sheetId="4" r:id="rId3"/>
    <sheet name="Tables" sheetId="1" r:id="rId4"/>
    <sheet name="Pivots" sheetId="6" r:id="rId5"/>
    <sheet name="Summary Page (2)" sheetId="7" r:id="rId6"/>
    <sheet name="Compare Schedules" sheetId="8" r:id="rId7"/>
  </sheets>
  <externalReferences>
    <externalReference r:id="rId8"/>
    <externalReference r:id="rId9"/>
    <externalReference r:id="rId10"/>
  </externalReferences>
  <definedNames>
    <definedName name="_xlnm._FilterDatabase" localSheetId="2" hidden="1">Playoffs!$A$1:$S$64</definedName>
    <definedName name="_xlnm._FilterDatabase" localSheetId="1" hidden="1">'Regular Season'!$A$1:$V$861</definedName>
    <definedName name="_xlnm._FilterDatabase" localSheetId="0" hidden="1">'Summary Page'!$AW$4:$BP$4</definedName>
    <definedName name="_xlnm._FilterDatabase" localSheetId="5" hidden="1">'Summary Page'!$AB$4:$AS$94</definedName>
    <definedName name="_xlnm._FilterDatabase" localSheetId="3" hidden="1">Tables!$A$1:$K$121</definedName>
    <definedName name="diff">'[1]Regular Season Data'!$J:$J</definedName>
    <definedName name="gameid">'[1]Regular Season Data'!$A:$A</definedName>
    <definedName name="managers">'[1]Regular Season Data'!$D:$D</definedName>
    <definedName name="opponent">'[1]Regular Season Data'!$E:$E</definedName>
    <definedName name="outcome">'[1]Regular Season Data'!$K:$K</definedName>
    <definedName name="owners" localSheetId="6">[1]References!$A$2:$A$16</definedName>
    <definedName name="Owners">'[2]Main Page'!$B$6:$B$17</definedName>
    <definedName name="points">'[1]Regular Season Data'!$I:$I</definedName>
    <definedName name="Season">'[1]Regular Season Data'!$F:$F</definedName>
    <definedName name="teamnames">'Summary Page'!$B$5:$B$14</definedName>
    <definedName name="teams" localSheetId="6">'[3]Summary Page'!$B$5:$B$16</definedName>
    <definedName name="teams" localSheetId="5">'Summary Page (2)'!$B$5:$B$14</definedName>
    <definedName name="teams">'Summary Page'!$B$5:$B$14</definedName>
    <definedName name="years">[1]References!$A$18:$A$30</definedName>
  </definedNames>
  <calcPr calcId="191029"/>
  <pivotCaches>
    <pivotCache cacheId="4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1" i="1" l="1"/>
  <c r="A122" i="1"/>
  <c r="A123" i="1"/>
  <c r="A124" i="1"/>
  <c r="A125" i="1"/>
  <c r="A126" i="1"/>
  <c r="A127" i="1"/>
  <c r="A128" i="1"/>
  <c r="A129" i="1"/>
  <c r="A130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M81" i="4"/>
  <c r="C81" i="4"/>
  <c r="N81" i="4"/>
  <c r="B81" i="4"/>
  <c r="O81" i="4"/>
  <c r="P81" i="4"/>
  <c r="Q81" i="4"/>
  <c r="D81" i="4"/>
  <c r="R81" i="4"/>
  <c r="E81" i="4"/>
  <c r="M80" i="4"/>
  <c r="C80" i="4"/>
  <c r="N80" i="4"/>
  <c r="B80" i="4"/>
  <c r="O80" i="4"/>
  <c r="P80" i="4"/>
  <c r="Q80" i="4"/>
  <c r="D80" i="4"/>
  <c r="R80" i="4"/>
  <c r="E80" i="4"/>
  <c r="M79" i="4"/>
  <c r="C79" i="4"/>
  <c r="N79" i="4"/>
  <c r="B79" i="4"/>
  <c r="O79" i="4"/>
  <c r="P79" i="4"/>
  <c r="Q79" i="4"/>
  <c r="D79" i="4"/>
  <c r="R79" i="4"/>
  <c r="E79" i="4"/>
  <c r="M78" i="4"/>
  <c r="C78" i="4" s="1"/>
  <c r="N78" i="4"/>
  <c r="B78" i="4" s="1"/>
  <c r="O78" i="4"/>
  <c r="P78" i="4"/>
  <c r="Q78" i="4"/>
  <c r="D78" i="4"/>
  <c r="R78" i="4"/>
  <c r="E78" i="4" s="1"/>
  <c r="M77" i="4"/>
  <c r="C77" i="4"/>
  <c r="N77" i="4"/>
  <c r="B77" i="4"/>
  <c r="O77" i="4"/>
  <c r="P77" i="4"/>
  <c r="Q77" i="4"/>
  <c r="D77" i="4"/>
  <c r="R77" i="4"/>
  <c r="E77" i="4"/>
  <c r="M76" i="4"/>
  <c r="C76" i="4" s="1"/>
  <c r="N76" i="4"/>
  <c r="B76" i="4" s="1"/>
  <c r="O76" i="4"/>
  <c r="P76" i="4"/>
  <c r="Q76" i="4"/>
  <c r="D76" i="4" s="1"/>
  <c r="R76" i="4"/>
  <c r="E76" i="4" s="1"/>
  <c r="M75" i="4" l="1"/>
  <c r="C75" i="4"/>
  <c r="N75" i="4"/>
  <c r="B75" i="4"/>
  <c r="O75" i="4"/>
  <c r="P75" i="4"/>
  <c r="Q75" i="4"/>
  <c r="D75" i="4" s="1"/>
  <c r="R75" i="4"/>
  <c r="E75" i="4"/>
  <c r="M74" i="4"/>
  <c r="C74" i="4" s="1"/>
  <c r="N74" i="4"/>
  <c r="B74" i="4" s="1"/>
  <c r="O74" i="4"/>
  <c r="P74" i="4"/>
  <c r="Q74" i="4"/>
  <c r="D73" i="4" s="1"/>
  <c r="R74" i="4"/>
  <c r="E74" i="4" s="1"/>
  <c r="M73" i="4"/>
  <c r="C73" i="4"/>
  <c r="N73" i="4"/>
  <c r="B73" i="4"/>
  <c r="O73" i="4"/>
  <c r="P73" i="4"/>
  <c r="Q73" i="4"/>
  <c r="R73" i="4"/>
  <c r="E73" i="4"/>
  <c r="M72" i="4"/>
  <c r="C72" i="4" s="1"/>
  <c r="N72" i="4"/>
  <c r="B72" i="4" s="1"/>
  <c r="O72" i="4"/>
  <c r="P72" i="4"/>
  <c r="Q72" i="4"/>
  <c r="R72" i="4"/>
  <c r="E72" i="4" s="1"/>
  <c r="P871" i="2"/>
  <c r="Q871" i="2"/>
  <c r="R871" i="2"/>
  <c r="S871" i="2"/>
  <c r="T871" i="2"/>
  <c r="U871" i="2"/>
  <c r="P870" i="2"/>
  <c r="Q870" i="2"/>
  <c r="R870" i="2"/>
  <c r="B870" i="2" s="1"/>
  <c r="S870" i="2"/>
  <c r="C870" i="2" s="1"/>
  <c r="T870" i="2"/>
  <c r="U870" i="2"/>
  <c r="P869" i="2"/>
  <c r="Q869" i="2"/>
  <c r="R869" i="2"/>
  <c r="B869" i="2" s="1"/>
  <c r="S869" i="2"/>
  <c r="T869" i="2"/>
  <c r="U869" i="2"/>
  <c r="P868" i="2"/>
  <c r="Q868" i="2"/>
  <c r="R868" i="2"/>
  <c r="B868" i="2" s="1"/>
  <c r="S868" i="2"/>
  <c r="T868" i="2"/>
  <c r="U868" i="2"/>
  <c r="P867" i="2"/>
  <c r="Q867" i="2"/>
  <c r="R867" i="2"/>
  <c r="B867" i="2" s="1"/>
  <c r="S867" i="2"/>
  <c r="C867" i="2" s="1"/>
  <c r="T867" i="2"/>
  <c r="U867" i="2"/>
  <c r="B862" i="2"/>
  <c r="C862" i="2"/>
  <c r="B863" i="2"/>
  <c r="C863" i="2"/>
  <c r="B864" i="2"/>
  <c r="C864" i="2"/>
  <c r="B865" i="2"/>
  <c r="C865" i="2"/>
  <c r="B866" i="2"/>
  <c r="C866" i="2"/>
  <c r="C868" i="2"/>
  <c r="C869" i="2"/>
  <c r="B871" i="2"/>
  <c r="C871" i="2"/>
  <c r="P866" i="2"/>
  <c r="Q866" i="2"/>
  <c r="R866" i="2"/>
  <c r="S866" i="2"/>
  <c r="T866" i="2"/>
  <c r="U866" i="2"/>
  <c r="P865" i="2"/>
  <c r="Q865" i="2"/>
  <c r="R865" i="2"/>
  <c r="S865" i="2"/>
  <c r="T865" i="2"/>
  <c r="U865" i="2"/>
  <c r="P864" i="2"/>
  <c r="Q864" i="2"/>
  <c r="R864" i="2"/>
  <c r="S864" i="2"/>
  <c r="T864" i="2"/>
  <c r="U864" i="2"/>
  <c r="P863" i="2"/>
  <c r="Q863" i="2"/>
  <c r="R863" i="2"/>
  <c r="S863" i="2"/>
  <c r="T863" i="2"/>
  <c r="U863" i="2"/>
  <c r="P862" i="2"/>
  <c r="Q862" i="2"/>
  <c r="R862" i="2"/>
  <c r="S862" i="2"/>
  <c r="T862" i="2"/>
  <c r="U862" i="2"/>
  <c r="P861" i="2"/>
  <c r="Q861" i="2"/>
  <c r="R861" i="2"/>
  <c r="B861" i="2" s="1"/>
  <c r="S861" i="2"/>
  <c r="C861" i="2" s="1"/>
  <c r="T861" i="2"/>
  <c r="U861" i="2"/>
  <c r="P860" i="2"/>
  <c r="Q860" i="2"/>
  <c r="R860" i="2"/>
  <c r="B860" i="2" s="1"/>
  <c r="S860" i="2"/>
  <c r="C860" i="2" s="1"/>
  <c r="T860" i="2"/>
  <c r="U860" i="2"/>
  <c r="P859" i="2"/>
  <c r="Q859" i="2"/>
  <c r="R859" i="2"/>
  <c r="B859" i="2" s="1"/>
  <c r="S859" i="2"/>
  <c r="C859" i="2" s="1"/>
  <c r="T859" i="2"/>
  <c r="U859" i="2"/>
  <c r="P858" i="2"/>
  <c r="Q858" i="2"/>
  <c r="R858" i="2"/>
  <c r="B858" i="2" s="1"/>
  <c r="S858" i="2"/>
  <c r="C858" i="2" s="1"/>
  <c r="T858" i="2"/>
  <c r="U858" i="2"/>
  <c r="P857" i="2"/>
  <c r="Q857" i="2"/>
  <c r="R857" i="2"/>
  <c r="B857" i="2" s="1"/>
  <c r="S857" i="2"/>
  <c r="C857" i="2" s="1"/>
  <c r="T857" i="2"/>
  <c r="U857" i="2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G24" i="8"/>
  <c r="F24" i="8"/>
  <c r="E24" i="8"/>
  <c r="D24" i="8"/>
  <c r="C24" i="8"/>
  <c r="B24" i="8"/>
  <c r="A24" i="8"/>
  <c r="M20" i="8"/>
  <c r="E6" i="8"/>
  <c r="B6" i="8"/>
  <c r="P856" i="2"/>
  <c r="Q856" i="2"/>
  <c r="R856" i="2"/>
  <c r="B856" i="2" s="1"/>
  <c r="S856" i="2"/>
  <c r="C856" i="2" s="1"/>
  <c r="T856" i="2"/>
  <c r="U856" i="2"/>
  <c r="P855" i="2"/>
  <c r="Q855" i="2"/>
  <c r="R855" i="2"/>
  <c r="B855" i="2" s="1"/>
  <c r="S855" i="2"/>
  <c r="C855" i="2" s="1"/>
  <c r="T855" i="2"/>
  <c r="U855" i="2"/>
  <c r="P854" i="2"/>
  <c r="Q854" i="2"/>
  <c r="R854" i="2"/>
  <c r="B854" i="2" s="1"/>
  <c r="S854" i="2"/>
  <c r="C854" i="2" s="1"/>
  <c r="T854" i="2"/>
  <c r="U854" i="2"/>
  <c r="P853" i="2"/>
  <c r="Q853" i="2"/>
  <c r="R853" i="2"/>
  <c r="B853" i="2" s="1"/>
  <c r="S853" i="2"/>
  <c r="C853" i="2" s="1"/>
  <c r="T853" i="2"/>
  <c r="U853" i="2"/>
  <c r="P852" i="2"/>
  <c r="Q852" i="2"/>
  <c r="R852" i="2"/>
  <c r="B852" i="2" s="1"/>
  <c r="S852" i="2"/>
  <c r="C852" i="2" s="1"/>
  <c r="T852" i="2"/>
  <c r="U852" i="2"/>
  <c r="P851" i="2"/>
  <c r="Q851" i="2"/>
  <c r="R851" i="2"/>
  <c r="B851" i="2" s="1"/>
  <c r="S851" i="2"/>
  <c r="C851" i="2" s="1"/>
  <c r="T851" i="2"/>
  <c r="U851" i="2"/>
  <c r="P850" i="2"/>
  <c r="Q850" i="2"/>
  <c r="R850" i="2"/>
  <c r="B850" i="2" s="1"/>
  <c r="S850" i="2"/>
  <c r="C850" i="2" s="1"/>
  <c r="T850" i="2"/>
  <c r="U850" i="2"/>
  <c r="P849" i="2"/>
  <c r="Q849" i="2"/>
  <c r="R849" i="2"/>
  <c r="B849" i="2" s="1"/>
  <c r="S849" i="2"/>
  <c r="C849" i="2" s="1"/>
  <c r="T849" i="2"/>
  <c r="U849" i="2"/>
  <c r="P848" i="2"/>
  <c r="Q848" i="2"/>
  <c r="R848" i="2"/>
  <c r="B848" i="2" s="1"/>
  <c r="S848" i="2"/>
  <c r="C848" i="2" s="1"/>
  <c r="T848" i="2"/>
  <c r="U848" i="2"/>
  <c r="P847" i="2"/>
  <c r="Q847" i="2"/>
  <c r="R847" i="2"/>
  <c r="B847" i="2" s="1"/>
  <c r="S847" i="2"/>
  <c r="C847" i="2" s="1"/>
  <c r="T847" i="2"/>
  <c r="U847" i="2"/>
  <c r="P846" i="2"/>
  <c r="Q846" i="2"/>
  <c r="R846" i="2"/>
  <c r="B846" i="2" s="1"/>
  <c r="S846" i="2"/>
  <c r="C846" i="2" s="1"/>
  <c r="T846" i="2"/>
  <c r="U846" i="2"/>
  <c r="P845" i="2"/>
  <c r="Q845" i="2"/>
  <c r="R845" i="2"/>
  <c r="B845" i="2" s="1"/>
  <c r="S845" i="2"/>
  <c r="C845" i="2" s="1"/>
  <c r="T845" i="2"/>
  <c r="U845" i="2"/>
  <c r="P844" i="2"/>
  <c r="Q844" i="2"/>
  <c r="R844" i="2"/>
  <c r="B844" i="2" s="1"/>
  <c r="S844" i="2"/>
  <c r="C844" i="2" s="1"/>
  <c r="T844" i="2"/>
  <c r="U844" i="2"/>
  <c r="P843" i="2"/>
  <c r="Q843" i="2"/>
  <c r="R843" i="2"/>
  <c r="B843" i="2" s="1"/>
  <c r="S843" i="2"/>
  <c r="C843" i="2" s="1"/>
  <c r="T843" i="2"/>
  <c r="U843" i="2"/>
  <c r="P842" i="2"/>
  <c r="Q842" i="2"/>
  <c r="R842" i="2"/>
  <c r="B842" i="2" s="1"/>
  <c r="S842" i="2"/>
  <c r="C842" i="2" s="1"/>
  <c r="T842" i="2"/>
  <c r="U842" i="2"/>
  <c r="P841" i="2"/>
  <c r="Q841" i="2"/>
  <c r="R841" i="2"/>
  <c r="B841" i="2" s="1"/>
  <c r="S841" i="2"/>
  <c r="C841" i="2" s="1"/>
  <c r="T841" i="2"/>
  <c r="U841" i="2"/>
  <c r="P840" i="2"/>
  <c r="Q840" i="2"/>
  <c r="R840" i="2"/>
  <c r="B840" i="2" s="1"/>
  <c r="S840" i="2"/>
  <c r="C840" i="2" s="1"/>
  <c r="T840" i="2"/>
  <c r="U840" i="2"/>
  <c r="P839" i="2"/>
  <c r="Q839" i="2"/>
  <c r="R839" i="2"/>
  <c r="B839" i="2" s="1"/>
  <c r="S839" i="2"/>
  <c r="C839" i="2" s="1"/>
  <c r="T839" i="2"/>
  <c r="U839" i="2"/>
  <c r="P838" i="2"/>
  <c r="Q838" i="2"/>
  <c r="R838" i="2"/>
  <c r="B838" i="2" s="1"/>
  <c r="S838" i="2"/>
  <c r="C838" i="2" s="1"/>
  <c r="T838" i="2"/>
  <c r="U838" i="2"/>
  <c r="P837" i="2"/>
  <c r="Q837" i="2"/>
  <c r="R837" i="2"/>
  <c r="B837" i="2" s="1"/>
  <c r="S837" i="2"/>
  <c r="C837" i="2" s="1"/>
  <c r="T837" i="2"/>
  <c r="U837" i="2"/>
  <c r="P836" i="2"/>
  <c r="Q836" i="2"/>
  <c r="R836" i="2"/>
  <c r="B836" i="2" s="1"/>
  <c r="S836" i="2"/>
  <c r="C836" i="2" s="1"/>
  <c r="T836" i="2"/>
  <c r="U836" i="2"/>
  <c r="P835" i="2"/>
  <c r="Q835" i="2"/>
  <c r="R835" i="2"/>
  <c r="B835" i="2" s="1"/>
  <c r="S835" i="2"/>
  <c r="C835" i="2" s="1"/>
  <c r="T835" i="2"/>
  <c r="U835" i="2"/>
  <c r="P834" i="2"/>
  <c r="Q834" i="2"/>
  <c r="R834" i="2"/>
  <c r="B834" i="2" s="1"/>
  <c r="S834" i="2"/>
  <c r="C834" i="2" s="1"/>
  <c r="T834" i="2"/>
  <c r="U834" i="2"/>
  <c r="P833" i="2"/>
  <c r="Q833" i="2"/>
  <c r="R833" i="2"/>
  <c r="B833" i="2" s="1"/>
  <c r="S833" i="2"/>
  <c r="C833" i="2" s="1"/>
  <c r="T833" i="2"/>
  <c r="U833" i="2"/>
  <c r="P832" i="2"/>
  <c r="Q832" i="2"/>
  <c r="R832" i="2"/>
  <c r="B832" i="2" s="1"/>
  <c r="S832" i="2"/>
  <c r="C832" i="2" s="1"/>
  <c r="T832" i="2"/>
  <c r="U832" i="2"/>
  <c r="P831" i="2"/>
  <c r="Q831" i="2"/>
  <c r="R831" i="2"/>
  <c r="B831" i="2" s="1"/>
  <c r="S831" i="2"/>
  <c r="C831" i="2" s="1"/>
  <c r="T831" i="2"/>
  <c r="U831" i="2"/>
  <c r="P830" i="2"/>
  <c r="Q830" i="2"/>
  <c r="R830" i="2"/>
  <c r="B830" i="2" s="1"/>
  <c r="S830" i="2"/>
  <c r="C830" i="2" s="1"/>
  <c r="T830" i="2"/>
  <c r="U830" i="2"/>
  <c r="P829" i="2"/>
  <c r="Q829" i="2"/>
  <c r="R829" i="2"/>
  <c r="B829" i="2" s="1"/>
  <c r="S829" i="2"/>
  <c r="C829" i="2" s="1"/>
  <c r="T829" i="2"/>
  <c r="U829" i="2"/>
  <c r="P828" i="2"/>
  <c r="Q828" i="2"/>
  <c r="R828" i="2"/>
  <c r="B828" i="2" s="1"/>
  <c r="S828" i="2"/>
  <c r="C828" i="2" s="1"/>
  <c r="T828" i="2"/>
  <c r="U828" i="2"/>
  <c r="P827" i="2"/>
  <c r="Q827" i="2"/>
  <c r="R827" i="2"/>
  <c r="B827" i="2" s="1"/>
  <c r="S827" i="2"/>
  <c r="C827" i="2" s="1"/>
  <c r="T827" i="2"/>
  <c r="U827" i="2"/>
  <c r="P826" i="2"/>
  <c r="Q826" i="2"/>
  <c r="R826" i="2"/>
  <c r="B826" i="2" s="1"/>
  <c r="S826" i="2"/>
  <c r="C826" i="2" s="1"/>
  <c r="T826" i="2"/>
  <c r="U826" i="2"/>
  <c r="P825" i="2"/>
  <c r="Q825" i="2"/>
  <c r="R825" i="2"/>
  <c r="B825" i="2" s="1"/>
  <c r="S825" i="2"/>
  <c r="C825" i="2" s="1"/>
  <c r="T825" i="2"/>
  <c r="U825" i="2"/>
  <c r="P824" i="2"/>
  <c r="Q824" i="2"/>
  <c r="R824" i="2"/>
  <c r="B824" i="2" s="1"/>
  <c r="S824" i="2"/>
  <c r="C824" i="2" s="1"/>
  <c r="T824" i="2"/>
  <c r="U824" i="2"/>
  <c r="P823" i="2"/>
  <c r="Q823" i="2"/>
  <c r="R823" i="2"/>
  <c r="B823" i="2" s="1"/>
  <c r="S823" i="2"/>
  <c r="C823" i="2" s="1"/>
  <c r="T823" i="2"/>
  <c r="U823" i="2"/>
  <c r="P822" i="2"/>
  <c r="Q822" i="2"/>
  <c r="R822" i="2"/>
  <c r="B822" i="2" s="1"/>
  <c r="S822" i="2"/>
  <c r="C822" i="2" s="1"/>
  <c r="T822" i="2"/>
  <c r="U822" i="2"/>
  <c r="P821" i="2"/>
  <c r="Q821" i="2"/>
  <c r="R821" i="2"/>
  <c r="B821" i="2" s="1"/>
  <c r="S821" i="2"/>
  <c r="C821" i="2" s="1"/>
  <c r="T821" i="2"/>
  <c r="U821" i="2"/>
  <c r="P820" i="2"/>
  <c r="Q820" i="2"/>
  <c r="R820" i="2"/>
  <c r="B820" i="2" s="1"/>
  <c r="S820" i="2"/>
  <c r="C820" i="2" s="1"/>
  <c r="T820" i="2"/>
  <c r="U820" i="2"/>
  <c r="P819" i="2"/>
  <c r="Q819" i="2"/>
  <c r="R819" i="2"/>
  <c r="B819" i="2" s="1"/>
  <c r="S819" i="2"/>
  <c r="C819" i="2" s="1"/>
  <c r="T819" i="2"/>
  <c r="U819" i="2"/>
  <c r="P818" i="2"/>
  <c r="Q818" i="2"/>
  <c r="R818" i="2"/>
  <c r="B818" i="2" s="1"/>
  <c r="S818" i="2"/>
  <c r="C818" i="2" s="1"/>
  <c r="T818" i="2"/>
  <c r="U818" i="2"/>
  <c r="P817" i="2"/>
  <c r="Q817" i="2"/>
  <c r="R817" i="2"/>
  <c r="B817" i="2" s="1"/>
  <c r="S817" i="2"/>
  <c r="C817" i="2" s="1"/>
  <c r="T817" i="2"/>
  <c r="U817" i="2"/>
  <c r="P816" i="2"/>
  <c r="Q816" i="2"/>
  <c r="R816" i="2"/>
  <c r="B816" i="2" s="1"/>
  <c r="S816" i="2"/>
  <c r="C816" i="2" s="1"/>
  <c r="T816" i="2"/>
  <c r="U816" i="2"/>
  <c r="P815" i="2"/>
  <c r="Q815" i="2"/>
  <c r="R815" i="2"/>
  <c r="B815" i="2" s="1"/>
  <c r="S815" i="2"/>
  <c r="C815" i="2" s="1"/>
  <c r="T815" i="2"/>
  <c r="U815" i="2"/>
  <c r="P814" i="2"/>
  <c r="Q814" i="2"/>
  <c r="R814" i="2"/>
  <c r="B814" i="2" s="1"/>
  <c r="S814" i="2"/>
  <c r="C814" i="2" s="1"/>
  <c r="T814" i="2"/>
  <c r="U814" i="2"/>
  <c r="P813" i="2"/>
  <c r="Q813" i="2"/>
  <c r="R813" i="2"/>
  <c r="B813" i="2" s="1"/>
  <c r="S813" i="2"/>
  <c r="C813" i="2" s="1"/>
  <c r="T813" i="2"/>
  <c r="U813" i="2"/>
  <c r="P812" i="2"/>
  <c r="Q812" i="2"/>
  <c r="R812" i="2"/>
  <c r="B812" i="2" s="1"/>
  <c r="S812" i="2"/>
  <c r="C812" i="2" s="1"/>
  <c r="T812" i="2"/>
  <c r="U812" i="2"/>
  <c r="P811" i="2"/>
  <c r="Q811" i="2"/>
  <c r="R811" i="2"/>
  <c r="B811" i="2" s="1"/>
  <c r="S811" i="2"/>
  <c r="C811" i="2" s="1"/>
  <c r="T811" i="2"/>
  <c r="U811" i="2"/>
  <c r="P810" i="2"/>
  <c r="Q810" i="2"/>
  <c r="R810" i="2"/>
  <c r="B810" i="2" s="1"/>
  <c r="S810" i="2"/>
  <c r="C810" i="2" s="1"/>
  <c r="T810" i="2"/>
  <c r="U810" i="2"/>
  <c r="P809" i="2"/>
  <c r="Q809" i="2"/>
  <c r="R809" i="2"/>
  <c r="B809" i="2" s="1"/>
  <c r="S809" i="2"/>
  <c r="C809" i="2" s="1"/>
  <c r="T809" i="2"/>
  <c r="U809" i="2"/>
  <c r="P808" i="2"/>
  <c r="Q808" i="2"/>
  <c r="R808" i="2"/>
  <c r="B808" i="2" s="1"/>
  <c r="S808" i="2"/>
  <c r="C808" i="2" s="1"/>
  <c r="T808" i="2"/>
  <c r="U808" i="2"/>
  <c r="P807" i="2"/>
  <c r="Q807" i="2"/>
  <c r="R807" i="2"/>
  <c r="B807" i="2" s="1"/>
  <c r="S807" i="2"/>
  <c r="C807" i="2" s="1"/>
  <c r="T807" i="2"/>
  <c r="U807" i="2"/>
  <c r="P806" i="2"/>
  <c r="Q806" i="2"/>
  <c r="R806" i="2"/>
  <c r="B806" i="2" s="1"/>
  <c r="S806" i="2"/>
  <c r="C806" i="2" s="1"/>
  <c r="T806" i="2"/>
  <c r="U806" i="2"/>
  <c r="P805" i="2"/>
  <c r="Q805" i="2"/>
  <c r="R805" i="2"/>
  <c r="B805" i="2" s="1"/>
  <c r="S805" i="2"/>
  <c r="C805" i="2" s="1"/>
  <c r="T805" i="2"/>
  <c r="U805" i="2"/>
  <c r="P804" i="2"/>
  <c r="Q804" i="2"/>
  <c r="R804" i="2"/>
  <c r="B804" i="2" s="1"/>
  <c r="S804" i="2"/>
  <c r="C804" i="2" s="1"/>
  <c r="T804" i="2"/>
  <c r="U804" i="2"/>
  <c r="P803" i="2"/>
  <c r="Q803" i="2"/>
  <c r="R803" i="2"/>
  <c r="B803" i="2" s="1"/>
  <c r="S803" i="2"/>
  <c r="C803" i="2" s="1"/>
  <c r="T803" i="2"/>
  <c r="U803" i="2"/>
  <c r="P802" i="2"/>
  <c r="Q802" i="2"/>
  <c r="R802" i="2"/>
  <c r="B802" i="2" s="1"/>
  <c r="S802" i="2"/>
  <c r="C802" i="2" s="1"/>
  <c r="T802" i="2"/>
  <c r="U802" i="2"/>
  <c r="D74" i="4" l="1"/>
  <c r="D72" i="4"/>
  <c r="M71" i="4"/>
  <c r="C71" i="4" s="1"/>
  <c r="N71" i="4"/>
  <c r="B71" i="4" s="1"/>
  <c r="O71" i="4"/>
  <c r="P71" i="4"/>
  <c r="Q71" i="4"/>
  <c r="D71" i="4"/>
  <c r="R71" i="4"/>
  <c r="E71" i="4" s="1"/>
  <c r="M70" i="4"/>
  <c r="C70" i="4" s="1"/>
  <c r="N70" i="4"/>
  <c r="B70" i="4" s="1"/>
  <c r="O70" i="4"/>
  <c r="P70" i="4"/>
  <c r="Q70" i="4"/>
  <c r="D70" i="4" s="1"/>
  <c r="R70" i="4"/>
  <c r="E70" i="4" s="1"/>
  <c r="P762" i="2"/>
  <c r="Q762" i="2"/>
  <c r="R762" i="2"/>
  <c r="B762" i="2" s="1"/>
  <c r="S762" i="2"/>
  <c r="C762" i="2" s="1"/>
  <c r="T762" i="2"/>
  <c r="U762" i="2"/>
  <c r="P763" i="2"/>
  <c r="Q763" i="2"/>
  <c r="R763" i="2"/>
  <c r="B763" i="2" s="1"/>
  <c r="S763" i="2"/>
  <c r="C763" i="2" s="1"/>
  <c r="T763" i="2"/>
  <c r="U763" i="2"/>
  <c r="P764" i="2"/>
  <c r="Q764" i="2"/>
  <c r="R764" i="2"/>
  <c r="B764" i="2" s="1"/>
  <c r="S764" i="2"/>
  <c r="C764" i="2" s="1"/>
  <c r="T764" i="2"/>
  <c r="U764" i="2"/>
  <c r="P765" i="2"/>
  <c r="Q765" i="2"/>
  <c r="R765" i="2"/>
  <c r="B765" i="2" s="1"/>
  <c r="S765" i="2"/>
  <c r="C765" i="2" s="1"/>
  <c r="T765" i="2"/>
  <c r="U765" i="2"/>
  <c r="P766" i="2"/>
  <c r="Q766" i="2"/>
  <c r="R766" i="2"/>
  <c r="B766" i="2" s="1"/>
  <c r="S766" i="2"/>
  <c r="C766" i="2" s="1"/>
  <c r="T766" i="2"/>
  <c r="U766" i="2"/>
  <c r="P767" i="2"/>
  <c r="Q767" i="2"/>
  <c r="R767" i="2"/>
  <c r="B767" i="2" s="1"/>
  <c r="S767" i="2"/>
  <c r="C767" i="2" s="1"/>
  <c r="T767" i="2"/>
  <c r="U767" i="2"/>
  <c r="P768" i="2"/>
  <c r="Q768" i="2"/>
  <c r="R768" i="2"/>
  <c r="B768" i="2" s="1"/>
  <c r="S768" i="2"/>
  <c r="C768" i="2" s="1"/>
  <c r="T768" i="2"/>
  <c r="U768" i="2"/>
  <c r="P769" i="2"/>
  <c r="Q769" i="2"/>
  <c r="R769" i="2"/>
  <c r="B769" i="2" s="1"/>
  <c r="S769" i="2"/>
  <c r="C769" i="2" s="1"/>
  <c r="T769" i="2"/>
  <c r="U769" i="2"/>
  <c r="P770" i="2"/>
  <c r="Q770" i="2"/>
  <c r="R770" i="2"/>
  <c r="B770" i="2" s="1"/>
  <c r="S770" i="2"/>
  <c r="C770" i="2" s="1"/>
  <c r="T770" i="2"/>
  <c r="U770" i="2"/>
  <c r="P771" i="2"/>
  <c r="Q771" i="2"/>
  <c r="R771" i="2"/>
  <c r="B771" i="2" s="1"/>
  <c r="S771" i="2"/>
  <c r="C771" i="2" s="1"/>
  <c r="T771" i="2"/>
  <c r="U771" i="2"/>
  <c r="P772" i="2"/>
  <c r="Q772" i="2"/>
  <c r="R772" i="2"/>
  <c r="B772" i="2" s="1"/>
  <c r="S772" i="2"/>
  <c r="C772" i="2" s="1"/>
  <c r="T772" i="2"/>
  <c r="U772" i="2"/>
  <c r="P773" i="2"/>
  <c r="Q773" i="2"/>
  <c r="R773" i="2"/>
  <c r="B773" i="2" s="1"/>
  <c r="S773" i="2"/>
  <c r="C773" i="2" s="1"/>
  <c r="T773" i="2"/>
  <c r="U773" i="2"/>
  <c r="P774" i="2"/>
  <c r="Q774" i="2"/>
  <c r="R774" i="2"/>
  <c r="B774" i="2" s="1"/>
  <c r="S774" i="2"/>
  <c r="C774" i="2" s="1"/>
  <c r="T774" i="2"/>
  <c r="U774" i="2"/>
  <c r="P775" i="2"/>
  <c r="Q775" i="2"/>
  <c r="R775" i="2"/>
  <c r="B775" i="2" s="1"/>
  <c r="S775" i="2"/>
  <c r="C775" i="2" s="1"/>
  <c r="T775" i="2"/>
  <c r="U775" i="2"/>
  <c r="P776" i="2"/>
  <c r="Q776" i="2"/>
  <c r="R776" i="2"/>
  <c r="B776" i="2" s="1"/>
  <c r="S776" i="2"/>
  <c r="C776" i="2" s="1"/>
  <c r="T776" i="2"/>
  <c r="U776" i="2"/>
  <c r="P777" i="2"/>
  <c r="Q777" i="2"/>
  <c r="R777" i="2"/>
  <c r="B777" i="2" s="1"/>
  <c r="S777" i="2"/>
  <c r="C777" i="2" s="1"/>
  <c r="T777" i="2"/>
  <c r="U777" i="2"/>
  <c r="P778" i="2"/>
  <c r="Q778" i="2"/>
  <c r="R778" i="2"/>
  <c r="B778" i="2" s="1"/>
  <c r="S778" i="2"/>
  <c r="C778" i="2" s="1"/>
  <c r="T778" i="2"/>
  <c r="U778" i="2"/>
  <c r="P779" i="2"/>
  <c r="Q779" i="2"/>
  <c r="R779" i="2"/>
  <c r="B779" i="2" s="1"/>
  <c r="S779" i="2"/>
  <c r="C779" i="2" s="1"/>
  <c r="T779" i="2"/>
  <c r="U779" i="2"/>
  <c r="P780" i="2"/>
  <c r="Q780" i="2"/>
  <c r="R780" i="2"/>
  <c r="B780" i="2" s="1"/>
  <c r="S780" i="2"/>
  <c r="C780" i="2" s="1"/>
  <c r="T780" i="2"/>
  <c r="U780" i="2"/>
  <c r="P781" i="2"/>
  <c r="Q781" i="2"/>
  <c r="R781" i="2"/>
  <c r="B781" i="2" s="1"/>
  <c r="S781" i="2"/>
  <c r="C781" i="2" s="1"/>
  <c r="T781" i="2"/>
  <c r="U781" i="2"/>
  <c r="P782" i="2"/>
  <c r="Q782" i="2"/>
  <c r="R782" i="2"/>
  <c r="B782" i="2" s="1"/>
  <c r="S782" i="2"/>
  <c r="C782" i="2" s="1"/>
  <c r="T782" i="2"/>
  <c r="U782" i="2"/>
  <c r="P783" i="2"/>
  <c r="Q783" i="2"/>
  <c r="R783" i="2"/>
  <c r="B783" i="2" s="1"/>
  <c r="S783" i="2"/>
  <c r="C783" i="2" s="1"/>
  <c r="T783" i="2"/>
  <c r="U783" i="2"/>
  <c r="P784" i="2"/>
  <c r="Q784" i="2"/>
  <c r="R784" i="2"/>
  <c r="B784" i="2" s="1"/>
  <c r="S784" i="2"/>
  <c r="C784" i="2" s="1"/>
  <c r="T784" i="2"/>
  <c r="U784" i="2"/>
  <c r="P785" i="2"/>
  <c r="Q785" i="2"/>
  <c r="R785" i="2"/>
  <c r="B785" i="2" s="1"/>
  <c r="S785" i="2"/>
  <c r="C785" i="2" s="1"/>
  <c r="T785" i="2"/>
  <c r="U785" i="2"/>
  <c r="P786" i="2"/>
  <c r="Q786" i="2"/>
  <c r="R786" i="2"/>
  <c r="B786" i="2" s="1"/>
  <c r="S786" i="2"/>
  <c r="C786" i="2" s="1"/>
  <c r="T786" i="2"/>
  <c r="U786" i="2"/>
  <c r="P787" i="2"/>
  <c r="Q787" i="2"/>
  <c r="R787" i="2"/>
  <c r="B787" i="2" s="1"/>
  <c r="S787" i="2"/>
  <c r="C787" i="2" s="1"/>
  <c r="T787" i="2"/>
  <c r="U787" i="2"/>
  <c r="P788" i="2"/>
  <c r="Q788" i="2"/>
  <c r="R788" i="2"/>
  <c r="B788" i="2" s="1"/>
  <c r="S788" i="2"/>
  <c r="C788" i="2" s="1"/>
  <c r="T788" i="2"/>
  <c r="U788" i="2"/>
  <c r="P789" i="2"/>
  <c r="Q789" i="2"/>
  <c r="R789" i="2"/>
  <c r="B789" i="2" s="1"/>
  <c r="S789" i="2"/>
  <c r="C789" i="2" s="1"/>
  <c r="T789" i="2"/>
  <c r="U789" i="2"/>
  <c r="P790" i="2"/>
  <c r="Q790" i="2"/>
  <c r="R790" i="2"/>
  <c r="B790" i="2" s="1"/>
  <c r="S790" i="2"/>
  <c r="C790" i="2" s="1"/>
  <c r="T790" i="2"/>
  <c r="U790" i="2"/>
  <c r="P791" i="2"/>
  <c r="Q791" i="2"/>
  <c r="R791" i="2"/>
  <c r="B791" i="2" s="1"/>
  <c r="S791" i="2"/>
  <c r="C791" i="2" s="1"/>
  <c r="T791" i="2"/>
  <c r="U791" i="2"/>
  <c r="P792" i="2"/>
  <c r="Q792" i="2"/>
  <c r="R792" i="2"/>
  <c r="B792" i="2" s="1"/>
  <c r="S792" i="2"/>
  <c r="C792" i="2" s="1"/>
  <c r="T792" i="2"/>
  <c r="U792" i="2"/>
  <c r="P793" i="2"/>
  <c r="Q793" i="2"/>
  <c r="R793" i="2"/>
  <c r="B793" i="2" s="1"/>
  <c r="S793" i="2"/>
  <c r="C793" i="2" s="1"/>
  <c r="T793" i="2"/>
  <c r="U793" i="2"/>
  <c r="P794" i="2"/>
  <c r="Q794" i="2"/>
  <c r="R794" i="2"/>
  <c r="B794" i="2" s="1"/>
  <c r="S794" i="2"/>
  <c r="C794" i="2" s="1"/>
  <c r="T794" i="2"/>
  <c r="U794" i="2"/>
  <c r="P795" i="2"/>
  <c r="Q795" i="2"/>
  <c r="R795" i="2"/>
  <c r="B795" i="2" s="1"/>
  <c r="S795" i="2"/>
  <c r="C795" i="2" s="1"/>
  <c r="T795" i="2"/>
  <c r="U795" i="2"/>
  <c r="P796" i="2"/>
  <c r="Q796" i="2"/>
  <c r="R796" i="2"/>
  <c r="B796" i="2" s="1"/>
  <c r="S796" i="2"/>
  <c r="C796" i="2" s="1"/>
  <c r="T796" i="2"/>
  <c r="U796" i="2"/>
  <c r="P797" i="2"/>
  <c r="Q797" i="2"/>
  <c r="R797" i="2"/>
  <c r="B797" i="2" s="1"/>
  <c r="S797" i="2"/>
  <c r="C797" i="2" s="1"/>
  <c r="T797" i="2"/>
  <c r="U797" i="2"/>
  <c r="P798" i="2"/>
  <c r="Q798" i="2"/>
  <c r="R798" i="2"/>
  <c r="B798" i="2" s="1"/>
  <c r="S798" i="2"/>
  <c r="C798" i="2" s="1"/>
  <c r="T798" i="2"/>
  <c r="U798" i="2"/>
  <c r="P799" i="2"/>
  <c r="Q799" i="2"/>
  <c r="R799" i="2"/>
  <c r="B799" i="2" s="1"/>
  <c r="S799" i="2"/>
  <c r="C799" i="2" s="1"/>
  <c r="T799" i="2"/>
  <c r="U799" i="2"/>
  <c r="P800" i="2"/>
  <c r="Q800" i="2"/>
  <c r="R800" i="2"/>
  <c r="B800" i="2" s="1"/>
  <c r="S800" i="2"/>
  <c r="C800" i="2" s="1"/>
  <c r="T800" i="2"/>
  <c r="U800" i="2"/>
  <c r="P801" i="2"/>
  <c r="Q801" i="2"/>
  <c r="R801" i="2"/>
  <c r="B801" i="2" s="1"/>
  <c r="S801" i="2"/>
  <c r="C801" i="2" s="1"/>
  <c r="T801" i="2"/>
  <c r="U801" i="2"/>
  <c r="P761" i="2"/>
  <c r="Q761" i="2"/>
  <c r="R761" i="2"/>
  <c r="B761" i="2" s="1"/>
  <c r="S761" i="2"/>
  <c r="C761" i="2" s="1"/>
  <c r="T761" i="2"/>
  <c r="U761" i="2"/>
  <c r="P760" i="2"/>
  <c r="Q760" i="2"/>
  <c r="R760" i="2"/>
  <c r="B760" i="2" s="1"/>
  <c r="S760" i="2"/>
  <c r="C760" i="2" s="1"/>
  <c r="T760" i="2"/>
  <c r="U760" i="2"/>
  <c r="P759" i="2"/>
  <c r="Q759" i="2"/>
  <c r="R759" i="2"/>
  <c r="B759" i="2" s="1"/>
  <c r="S759" i="2"/>
  <c r="C759" i="2" s="1"/>
  <c r="T759" i="2"/>
  <c r="U759" i="2"/>
  <c r="P758" i="2"/>
  <c r="Q758" i="2"/>
  <c r="R758" i="2"/>
  <c r="B758" i="2" s="1"/>
  <c r="S758" i="2"/>
  <c r="C758" i="2" s="1"/>
  <c r="T758" i="2"/>
  <c r="U758" i="2"/>
  <c r="P757" i="2"/>
  <c r="Q757" i="2"/>
  <c r="R757" i="2"/>
  <c r="B757" i="2" s="1"/>
  <c r="S757" i="2"/>
  <c r="C757" i="2" s="1"/>
  <c r="T757" i="2"/>
  <c r="U757" i="2"/>
  <c r="P756" i="2"/>
  <c r="Q756" i="2"/>
  <c r="R756" i="2"/>
  <c r="B756" i="2" s="1"/>
  <c r="S756" i="2"/>
  <c r="C756" i="2" s="1"/>
  <c r="T756" i="2"/>
  <c r="U756" i="2"/>
  <c r="P755" i="2"/>
  <c r="Q755" i="2"/>
  <c r="R755" i="2"/>
  <c r="B755" i="2" s="1"/>
  <c r="S755" i="2"/>
  <c r="C755" i="2" s="1"/>
  <c r="T755" i="2"/>
  <c r="U755" i="2"/>
  <c r="P754" i="2"/>
  <c r="Q754" i="2"/>
  <c r="R754" i="2"/>
  <c r="B754" i="2" s="1"/>
  <c r="S754" i="2"/>
  <c r="C754" i="2" s="1"/>
  <c r="T754" i="2"/>
  <c r="U754" i="2"/>
  <c r="P753" i="2"/>
  <c r="Q753" i="2"/>
  <c r="R753" i="2"/>
  <c r="B753" i="2" s="1"/>
  <c r="S753" i="2"/>
  <c r="C753" i="2" s="1"/>
  <c r="T753" i="2"/>
  <c r="U753" i="2"/>
  <c r="P752" i="2"/>
  <c r="Q752" i="2"/>
  <c r="R752" i="2"/>
  <c r="B752" i="2" s="1"/>
  <c r="S752" i="2"/>
  <c r="C752" i="2" s="1"/>
  <c r="T752" i="2"/>
  <c r="U752" i="2"/>
  <c r="P732" i="2" l="1"/>
  <c r="Q732" i="2"/>
  <c r="R732" i="2"/>
  <c r="B732" i="2" s="1"/>
  <c r="S732" i="2"/>
  <c r="C732" i="2" s="1"/>
  <c r="T732" i="2"/>
  <c r="U732" i="2"/>
  <c r="P733" i="2"/>
  <c r="Q733" i="2"/>
  <c r="R733" i="2"/>
  <c r="B733" i="2" s="1"/>
  <c r="S733" i="2"/>
  <c r="C733" i="2" s="1"/>
  <c r="T733" i="2"/>
  <c r="U733" i="2"/>
  <c r="P734" i="2"/>
  <c r="Q734" i="2"/>
  <c r="R734" i="2"/>
  <c r="B734" i="2" s="1"/>
  <c r="S734" i="2"/>
  <c r="C734" i="2" s="1"/>
  <c r="T734" i="2"/>
  <c r="U734" i="2"/>
  <c r="P735" i="2"/>
  <c r="Q735" i="2"/>
  <c r="R735" i="2"/>
  <c r="B735" i="2" s="1"/>
  <c r="S735" i="2"/>
  <c r="C735" i="2" s="1"/>
  <c r="T735" i="2"/>
  <c r="U735" i="2"/>
  <c r="P736" i="2"/>
  <c r="Q736" i="2"/>
  <c r="R736" i="2"/>
  <c r="B736" i="2" s="1"/>
  <c r="S736" i="2"/>
  <c r="C736" i="2" s="1"/>
  <c r="T736" i="2"/>
  <c r="U736" i="2"/>
  <c r="P737" i="2"/>
  <c r="Q737" i="2"/>
  <c r="R737" i="2"/>
  <c r="B737" i="2" s="1"/>
  <c r="S737" i="2"/>
  <c r="C737" i="2" s="1"/>
  <c r="T737" i="2"/>
  <c r="U737" i="2"/>
  <c r="P738" i="2"/>
  <c r="Q738" i="2"/>
  <c r="R738" i="2"/>
  <c r="B738" i="2" s="1"/>
  <c r="S738" i="2"/>
  <c r="C738" i="2" s="1"/>
  <c r="T738" i="2"/>
  <c r="U738" i="2"/>
  <c r="P739" i="2"/>
  <c r="Q739" i="2"/>
  <c r="R739" i="2"/>
  <c r="B739" i="2" s="1"/>
  <c r="S739" i="2"/>
  <c r="C739" i="2" s="1"/>
  <c r="T739" i="2"/>
  <c r="U739" i="2"/>
  <c r="P740" i="2"/>
  <c r="Q740" i="2"/>
  <c r="R740" i="2"/>
  <c r="B740" i="2" s="1"/>
  <c r="S740" i="2"/>
  <c r="C740" i="2" s="1"/>
  <c r="T740" i="2"/>
  <c r="U740" i="2"/>
  <c r="P741" i="2"/>
  <c r="Q741" i="2"/>
  <c r="R741" i="2"/>
  <c r="B741" i="2" s="1"/>
  <c r="S741" i="2"/>
  <c r="C741" i="2" s="1"/>
  <c r="T741" i="2"/>
  <c r="U741" i="2"/>
  <c r="P742" i="2"/>
  <c r="Q742" i="2"/>
  <c r="R742" i="2"/>
  <c r="B742" i="2" s="1"/>
  <c r="S742" i="2"/>
  <c r="C742" i="2" s="1"/>
  <c r="T742" i="2"/>
  <c r="U742" i="2"/>
  <c r="P743" i="2"/>
  <c r="Q743" i="2"/>
  <c r="R743" i="2"/>
  <c r="B743" i="2" s="1"/>
  <c r="S743" i="2"/>
  <c r="C743" i="2" s="1"/>
  <c r="T743" i="2"/>
  <c r="U743" i="2"/>
  <c r="P744" i="2"/>
  <c r="Q744" i="2"/>
  <c r="R744" i="2"/>
  <c r="B744" i="2" s="1"/>
  <c r="S744" i="2"/>
  <c r="C744" i="2" s="1"/>
  <c r="T744" i="2"/>
  <c r="U744" i="2"/>
  <c r="P745" i="2"/>
  <c r="Q745" i="2"/>
  <c r="R745" i="2"/>
  <c r="B745" i="2" s="1"/>
  <c r="S745" i="2"/>
  <c r="C745" i="2" s="1"/>
  <c r="T745" i="2"/>
  <c r="U745" i="2"/>
  <c r="P746" i="2"/>
  <c r="Q746" i="2"/>
  <c r="R746" i="2"/>
  <c r="B746" i="2" s="1"/>
  <c r="S746" i="2"/>
  <c r="C746" i="2" s="1"/>
  <c r="T746" i="2"/>
  <c r="U746" i="2"/>
  <c r="P747" i="2"/>
  <c r="Q747" i="2"/>
  <c r="R747" i="2"/>
  <c r="B747" i="2" s="1"/>
  <c r="S747" i="2"/>
  <c r="C747" i="2" s="1"/>
  <c r="T747" i="2"/>
  <c r="U747" i="2"/>
  <c r="P748" i="2"/>
  <c r="Q748" i="2"/>
  <c r="R748" i="2"/>
  <c r="B748" i="2" s="1"/>
  <c r="S748" i="2"/>
  <c r="C748" i="2" s="1"/>
  <c r="T748" i="2"/>
  <c r="U748" i="2"/>
  <c r="P749" i="2"/>
  <c r="Q749" i="2"/>
  <c r="R749" i="2"/>
  <c r="B749" i="2" s="1"/>
  <c r="S749" i="2"/>
  <c r="C749" i="2" s="1"/>
  <c r="T749" i="2"/>
  <c r="U749" i="2"/>
  <c r="P750" i="2"/>
  <c r="Q750" i="2"/>
  <c r="R750" i="2"/>
  <c r="B750" i="2" s="1"/>
  <c r="S750" i="2"/>
  <c r="C750" i="2" s="1"/>
  <c r="T750" i="2"/>
  <c r="U750" i="2"/>
  <c r="P751" i="2"/>
  <c r="Q751" i="2"/>
  <c r="R751" i="2"/>
  <c r="B751" i="2" s="1"/>
  <c r="S751" i="2"/>
  <c r="C751" i="2" s="1"/>
  <c r="T751" i="2"/>
  <c r="U751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2" i="1"/>
  <c r="M64" i="4"/>
  <c r="N64" i="4"/>
  <c r="O64" i="4"/>
  <c r="P64" i="4"/>
  <c r="Q64" i="4"/>
  <c r="R64" i="4"/>
  <c r="M65" i="4"/>
  <c r="N65" i="4"/>
  <c r="O65" i="4"/>
  <c r="P65" i="4"/>
  <c r="Q65" i="4"/>
  <c r="R65" i="4"/>
  <c r="M66" i="4"/>
  <c r="N66" i="4"/>
  <c r="O66" i="4"/>
  <c r="P66" i="4"/>
  <c r="Q66" i="4"/>
  <c r="R66" i="4"/>
  <c r="M67" i="4"/>
  <c r="N67" i="4"/>
  <c r="O67" i="4"/>
  <c r="P67" i="4"/>
  <c r="Q67" i="4"/>
  <c r="R67" i="4"/>
  <c r="M68" i="4"/>
  <c r="N68" i="4"/>
  <c r="O68" i="4"/>
  <c r="P68" i="4"/>
  <c r="Q68" i="4"/>
  <c r="R68" i="4"/>
  <c r="M69" i="4"/>
  <c r="N69" i="4"/>
  <c r="O69" i="4"/>
  <c r="P69" i="4"/>
  <c r="Q69" i="4"/>
  <c r="R69" i="4"/>
  <c r="O3" i="4"/>
  <c r="P3" i="4"/>
  <c r="Q3" i="4"/>
  <c r="R3" i="4"/>
  <c r="O4" i="4"/>
  <c r="P4" i="4"/>
  <c r="Q4" i="4"/>
  <c r="R4" i="4"/>
  <c r="O5" i="4"/>
  <c r="P5" i="4"/>
  <c r="Q5" i="4"/>
  <c r="R5" i="4"/>
  <c r="O6" i="4"/>
  <c r="P6" i="4"/>
  <c r="Q6" i="4"/>
  <c r="R6" i="4"/>
  <c r="O7" i="4"/>
  <c r="P7" i="4"/>
  <c r="Q7" i="4"/>
  <c r="R7" i="4"/>
  <c r="O8" i="4"/>
  <c r="P8" i="4"/>
  <c r="Q8" i="4"/>
  <c r="R8" i="4"/>
  <c r="O9" i="4"/>
  <c r="P9" i="4"/>
  <c r="Q9" i="4"/>
  <c r="R9" i="4"/>
  <c r="O10" i="4"/>
  <c r="P10" i="4"/>
  <c r="Q10" i="4"/>
  <c r="R10" i="4"/>
  <c r="O11" i="4"/>
  <c r="P11" i="4"/>
  <c r="Q11" i="4"/>
  <c r="R11" i="4"/>
  <c r="O12" i="4"/>
  <c r="P12" i="4"/>
  <c r="Q12" i="4"/>
  <c r="R12" i="4"/>
  <c r="O13" i="4"/>
  <c r="P13" i="4"/>
  <c r="Q13" i="4"/>
  <c r="R13" i="4"/>
  <c r="O14" i="4"/>
  <c r="P14" i="4"/>
  <c r="Q14" i="4"/>
  <c r="R14" i="4"/>
  <c r="O15" i="4"/>
  <c r="P15" i="4"/>
  <c r="Q15" i="4"/>
  <c r="R15" i="4"/>
  <c r="O16" i="4"/>
  <c r="P16" i="4"/>
  <c r="Q16" i="4"/>
  <c r="R16" i="4"/>
  <c r="O17" i="4"/>
  <c r="P17" i="4"/>
  <c r="Q17" i="4"/>
  <c r="R17" i="4"/>
  <c r="O18" i="4"/>
  <c r="P18" i="4"/>
  <c r="Q18" i="4"/>
  <c r="R18" i="4"/>
  <c r="O19" i="4"/>
  <c r="P19" i="4"/>
  <c r="Q19" i="4"/>
  <c r="R19" i="4"/>
  <c r="O20" i="4"/>
  <c r="P20" i="4"/>
  <c r="Q20" i="4"/>
  <c r="R20" i="4"/>
  <c r="O21" i="4"/>
  <c r="P21" i="4"/>
  <c r="Q21" i="4"/>
  <c r="R21" i="4"/>
  <c r="O22" i="4"/>
  <c r="P22" i="4"/>
  <c r="Q22" i="4"/>
  <c r="R22" i="4"/>
  <c r="O23" i="4"/>
  <c r="P23" i="4"/>
  <c r="Q23" i="4"/>
  <c r="R23" i="4"/>
  <c r="O24" i="4"/>
  <c r="P24" i="4"/>
  <c r="Q24" i="4"/>
  <c r="R24" i="4"/>
  <c r="O25" i="4"/>
  <c r="P25" i="4"/>
  <c r="Q25" i="4"/>
  <c r="R25" i="4"/>
  <c r="O26" i="4"/>
  <c r="P26" i="4"/>
  <c r="Q26" i="4"/>
  <c r="R26" i="4"/>
  <c r="O27" i="4"/>
  <c r="P27" i="4"/>
  <c r="Q27" i="4"/>
  <c r="R27" i="4"/>
  <c r="O28" i="4"/>
  <c r="P28" i="4"/>
  <c r="Q28" i="4"/>
  <c r="R28" i="4"/>
  <c r="O29" i="4"/>
  <c r="P29" i="4"/>
  <c r="Q29" i="4"/>
  <c r="R29" i="4"/>
  <c r="O30" i="4"/>
  <c r="P30" i="4"/>
  <c r="Q30" i="4"/>
  <c r="R30" i="4"/>
  <c r="O31" i="4"/>
  <c r="P31" i="4"/>
  <c r="Q31" i="4"/>
  <c r="R31" i="4"/>
  <c r="O32" i="4"/>
  <c r="P32" i="4"/>
  <c r="Q32" i="4"/>
  <c r="R32" i="4"/>
  <c r="O33" i="4"/>
  <c r="P33" i="4"/>
  <c r="Q33" i="4"/>
  <c r="R33" i="4"/>
  <c r="O34" i="4"/>
  <c r="P34" i="4"/>
  <c r="Q34" i="4"/>
  <c r="R34" i="4"/>
  <c r="O35" i="4"/>
  <c r="P35" i="4"/>
  <c r="Q35" i="4"/>
  <c r="R35" i="4"/>
  <c r="O36" i="4"/>
  <c r="P36" i="4"/>
  <c r="Q36" i="4"/>
  <c r="R36" i="4"/>
  <c r="O37" i="4"/>
  <c r="P37" i="4"/>
  <c r="Q37" i="4"/>
  <c r="R37" i="4"/>
  <c r="O38" i="4"/>
  <c r="P38" i="4"/>
  <c r="Q38" i="4"/>
  <c r="R38" i="4"/>
  <c r="O39" i="4"/>
  <c r="P39" i="4"/>
  <c r="Q39" i="4"/>
  <c r="R39" i="4"/>
  <c r="O40" i="4"/>
  <c r="P40" i="4"/>
  <c r="Q40" i="4"/>
  <c r="R40" i="4"/>
  <c r="O41" i="4"/>
  <c r="P41" i="4"/>
  <c r="Q41" i="4"/>
  <c r="R41" i="4"/>
  <c r="O42" i="4"/>
  <c r="P42" i="4"/>
  <c r="Q42" i="4"/>
  <c r="R42" i="4"/>
  <c r="O43" i="4"/>
  <c r="P43" i="4"/>
  <c r="Q43" i="4"/>
  <c r="R43" i="4"/>
  <c r="O44" i="4"/>
  <c r="P44" i="4"/>
  <c r="Q44" i="4"/>
  <c r="R44" i="4"/>
  <c r="O45" i="4"/>
  <c r="P45" i="4"/>
  <c r="Q45" i="4"/>
  <c r="R45" i="4"/>
  <c r="O46" i="4"/>
  <c r="P46" i="4"/>
  <c r="Q46" i="4"/>
  <c r="R46" i="4"/>
  <c r="O47" i="4"/>
  <c r="P47" i="4"/>
  <c r="Q47" i="4"/>
  <c r="R47" i="4"/>
  <c r="O48" i="4"/>
  <c r="P48" i="4"/>
  <c r="Q48" i="4"/>
  <c r="R48" i="4"/>
  <c r="O49" i="4"/>
  <c r="P49" i="4"/>
  <c r="Q49" i="4"/>
  <c r="R49" i="4"/>
  <c r="O50" i="4"/>
  <c r="P50" i="4"/>
  <c r="Q50" i="4"/>
  <c r="R50" i="4"/>
  <c r="O51" i="4"/>
  <c r="P51" i="4"/>
  <c r="Q51" i="4"/>
  <c r="R51" i="4"/>
  <c r="O52" i="4"/>
  <c r="P52" i="4"/>
  <c r="Q52" i="4"/>
  <c r="R52" i="4"/>
  <c r="O53" i="4"/>
  <c r="P53" i="4"/>
  <c r="Q53" i="4"/>
  <c r="R53" i="4"/>
  <c r="O54" i="4"/>
  <c r="P54" i="4"/>
  <c r="Q54" i="4"/>
  <c r="R54" i="4"/>
  <c r="O55" i="4"/>
  <c r="P55" i="4"/>
  <c r="Q55" i="4"/>
  <c r="R55" i="4"/>
  <c r="O56" i="4"/>
  <c r="P56" i="4"/>
  <c r="Q56" i="4"/>
  <c r="R56" i="4"/>
  <c r="O57" i="4"/>
  <c r="P57" i="4"/>
  <c r="Q57" i="4"/>
  <c r="R57" i="4"/>
  <c r="O58" i="4"/>
  <c r="P58" i="4"/>
  <c r="Q58" i="4"/>
  <c r="R58" i="4"/>
  <c r="E58" i="4" s="1"/>
  <c r="O59" i="4"/>
  <c r="P59" i="4"/>
  <c r="Q59" i="4"/>
  <c r="R59" i="4"/>
  <c r="O60" i="4"/>
  <c r="P60" i="4"/>
  <c r="Q60" i="4"/>
  <c r="R60" i="4"/>
  <c r="O61" i="4"/>
  <c r="P61" i="4"/>
  <c r="Q61" i="4"/>
  <c r="R61" i="4"/>
  <c r="O62" i="4"/>
  <c r="P62" i="4"/>
  <c r="Q62" i="4"/>
  <c r="R62" i="4"/>
  <c r="O63" i="4"/>
  <c r="P63" i="4"/>
  <c r="Q63" i="4"/>
  <c r="R63" i="4"/>
  <c r="R2" i="4"/>
  <c r="P2" i="4"/>
  <c r="O2" i="4"/>
  <c r="Q2" i="4"/>
  <c r="D2" i="4" s="1"/>
  <c r="T697" i="2"/>
  <c r="U697" i="2"/>
  <c r="T698" i="2"/>
  <c r="U698" i="2"/>
  <c r="T699" i="2"/>
  <c r="U699" i="2"/>
  <c r="T700" i="2"/>
  <c r="U700" i="2"/>
  <c r="T701" i="2"/>
  <c r="U701" i="2"/>
  <c r="T702" i="2"/>
  <c r="U702" i="2"/>
  <c r="T703" i="2"/>
  <c r="U703" i="2"/>
  <c r="T704" i="2"/>
  <c r="U704" i="2"/>
  <c r="T705" i="2"/>
  <c r="U705" i="2"/>
  <c r="T706" i="2"/>
  <c r="U706" i="2"/>
  <c r="T707" i="2"/>
  <c r="U707" i="2"/>
  <c r="T708" i="2"/>
  <c r="U708" i="2"/>
  <c r="T709" i="2"/>
  <c r="U709" i="2"/>
  <c r="T710" i="2"/>
  <c r="U710" i="2"/>
  <c r="T711" i="2"/>
  <c r="U711" i="2"/>
  <c r="T712" i="2"/>
  <c r="U712" i="2"/>
  <c r="T713" i="2"/>
  <c r="U713" i="2"/>
  <c r="T714" i="2"/>
  <c r="U714" i="2"/>
  <c r="T715" i="2"/>
  <c r="U715" i="2"/>
  <c r="T716" i="2"/>
  <c r="U716" i="2"/>
  <c r="T717" i="2"/>
  <c r="U717" i="2"/>
  <c r="T718" i="2"/>
  <c r="U718" i="2"/>
  <c r="T719" i="2"/>
  <c r="U719" i="2"/>
  <c r="T720" i="2"/>
  <c r="U720" i="2"/>
  <c r="T721" i="2"/>
  <c r="U721" i="2"/>
  <c r="T722" i="2"/>
  <c r="U722" i="2"/>
  <c r="T723" i="2"/>
  <c r="U723" i="2"/>
  <c r="T724" i="2"/>
  <c r="U724" i="2"/>
  <c r="T725" i="2"/>
  <c r="U725" i="2"/>
  <c r="T726" i="2"/>
  <c r="U726" i="2"/>
  <c r="T727" i="2"/>
  <c r="U727" i="2"/>
  <c r="T728" i="2"/>
  <c r="U728" i="2"/>
  <c r="T729" i="2"/>
  <c r="U729" i="2"/>
  <c r="T730" i="2"/>
  <c r="U730" i="2"/>
  <c r="T731" i="2"/>
  <c r="U731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T56" i="2"/>
  <c r="U56" i="2"/>
  <c r="T57" i="2"/>
  <c r="U57" i="2"/>
  <c r="T58" i="2"/>
  <c r="U58" i="2"/>
  <c r="T59" i="2"/>
  <c r="U59" i="2"/>
  <c r="T60" i="2"/>
  <c r="U60" i="2"/>
  <c r="T61" i="2"/>
  <c r="U61" i="2"/>
  <c r="T62" i="2"/>
  <c r="U62" i="2"/>
  <c r="T63" i="2"/>
  <c r="U63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T95" i="2"/>
  <c r="U95" i="2"/>
  <c r="T96" i="2"/>
  <c r="U96" i="2"/>
  <c r="T97" i="2"/>
  <c r="U97" i="2"/>
  <c r="T98" i="2"/>
  <c r="U98" i="2"/>
  <c r="T99" i="2"/>
  <c r="U99" i="2"/>
  <c r="T100" i="2"/>
  <c r="U100" i="2"/>
  <c r="T101" i="2"/>
  <c r="U101" i="2"/>
  <c r="T102" i="2"/>
  <c r="U102" i="2"/>
  <c r="T103" i="2"/>
  <c r="U103" i="2"/>
  <c r="T104" i="2"/>
  <c r="U104" i="2"/>
  <c r="T105" i="2"/>
  <c r="U105" i="2"/>
  <c r="T106" i="2"/>
  <c r="U106" i="2"/>
  <c r="T107" i="2"/>
  <c r="U107" i="2"/>
  <c r="T108" i="2"/>
  <c r="U108" i="2"/>
  <c r="T109" i="2"/>
  <c r="U109" i="2"/>
  <c r="T110" i="2"/>
  <c r="U110" i="2"/>
  <c r="T111" i="2"/>
  <c r="U111" i="2"/>
  <c r="T112" i="2"/>
  <c r="U112" i="2"/>
  <c r="T113" i="2"/>
  <c r="U113" i="2"/>
  <c r="T114" i="2"/>
  <c r="U114" i="2"/>
  <c r="T115" i="2"/>
  <c r="U115" i="2"/>
  <c r="T116" i="2"/>
  <c r="U116" i="2"/>
  <c r="T117" i="2"/>
  <c r="U117" i="2"/>
  <c r="T118" i="2"/>
  <c r="U118" i="2"/>
  <c r="T119" i="2"/>
  <c r="U119" i="2"/>
  <c r="T120" i="2"/>
  <c r="U120" i="2"/>
  <c r="T121" i="2"/>
  <c r="U121" i="2"/>
  <c r="T122" i="2"/>
  <c r="U122" i="2"/>
  <c r="T123" i="2"/>
  <c r="U123" i="2"/>
  <c r="T124" i="2"/>
  <c r="U124" i="2"/>
  <c r="T125" i="2"/>
  <c r="U125" i="2"/>
  <c r="T126" i="2"/>
  <c r="U126" i="2"/>
  <c r="T127" i="2"/>
  <c r="U127" i="2"/>
  <c r="T128" i="2"/>
  <c r="U128" i="2"/>
  <c r="T129" i="2"/>
  <c r="U129" i="2"/>
  <c r="T130" i="2"/>
  <c r="U130" i="2"/>
  <c r="T131" i="2"/>
  <c r="U131" i="2"/>
  <c r="T132" i="2"/>
  <c r="U132" i="2"/>
  <c r="T133" i="2"/>
  <c r="U133" i="2"/>
  <c r="T134" i="2"/>
  <c r="U134" i="2"/>
  <c r="T135" i="2"/>
  <c r="U135" i="2"/>
  <c r="T136" i="2"/>
  <c r="U136" i="2"/>
  <c r="T137" i="2"/>
  <c r="U137" i="2"/>
  <c r="T138" i="2"/>
  <c r="U138" i="2"/>
  <c r="T139" i="2"/>
  <c r="U139" i="2"/>
  <c r="T140" i="2"/>
  <c r="U140" i="2"/>
  <c r="T141" i="2"/>
  <c r="U141" i="2"/>
  <c r="T142" i="2"/>
  <c r="U142" i="2"/>
  <c r="T143" i="2"/>
  <c r="U143" i="2"/>
  <c r="T144" i="2"/>
  <c r="U144" i="2"/>
  <c r="T145" i="2"/>
  <c r="U145" i="2"/>
  <c r="T146" i="2"/>
  <c r="U146" i="2"/>
  <c r="T147" i="2"/>
  <c r="U147" i="2"/>
  <c r="T148" i="2"/>
  <c r="U148" i="2"/>
  <c r="T149" i="2"/>
  <c r="U149" i="2"/>
  <c r="T150" i="2"/>
  <c r="U150" i="2"/>
  <c r="T151" i="2"/>
  <c r="U151" i="2"/>
  <c r="T152" i="2"/>
  <c r="U152" i="2"/>
  <c r="T153" i="2"/>
  <c r="U153" i="2"/>
  <c r="T154" i="2"/>
  <c r="U154" i="2"/>
  <c r="T155" i="2"/>
  <c r="U155" i="2"/>
  <c r="T156" i="2"/>
  <c r="U156" i="2"/>
  <c r="T157" i="2"/>
  <c r="U157" i="2"/>
  <c r="T158" i="2"/>
  <c r="U158" i="2"/>
  <c r="T159" i="2"/>
  <c r="U159" i="2"/>
  <c r="T160" i="2"/>
  <c r="U160" i="2"/>
  <c r="T161" i="2"/>
  <c r="U161" i="2"/>
  <c r="T162" i="2"/>
  <c r="U162" i="2"/>
  <c r="T163" i="2"/>
  <c r="U163" i="2"/>
  <c r="T164" i="2"/>
  <c r="U164" i="2"/>
  <c r="T165" i="2"/>
  <c r="U165" i="2"/>
  <c r="T166" i="2"/>
  <c r="U166" i="2"/>
  <c r="T167" i="2"/>
  <c r="U167" i="2"/>
  <c r="T168" i="2"/>
  <c r="U168" i="2"/>
  <c r="T169" i="2"/>
  <c r="U169" i="2"/>
  <c r="T170" i="2"/>
  <c r="U170" i="2"/>
  <c r="T171" i="2"/>
  <c r="U171" i="2"/>
  <c r="T172" i="2"/>
  <c r="U172" i="2"/>
  <c r="T173" i="2"/>
  <c r="U173" i="2"/>
  <c r="T174" i="2"/>
  <c r="U174" i="2"/>
  <c r="T175" i="2"/>
  <c r="U175" i="2"/>
  <c r="T176" i="2"/>
  <c r="U176" i="2"/>
  <c r="T177" i="2"/>
  <c r="U177" i="2"/>
  <c r="T178" i="2"/>
  <c r="U178" i="2"/>
  <c r="T179" i="2"/>
  <c r="U179" i="2"/>
  <c r="T180" i="2"/>
  <c r="U180" i="2"/>
  <c r="T181" i="2"/>
  <c r="U181" i="2"/>
  <c r="T182" i="2"/>
  <c r="U182" i="2"/>
  <c r="T183" i="2"/>
  <c r="U183" i="2"/>
  <c r="T184" i="2"/>
  <c r="U184" i="2"/>
  <c r="T185" i="2"/>
  <c r="U185" i="2"/>
  <c r="T186" i="2"/>
  <c r="U186" i="2"/>
  <c r="T187" i="2"/>
  <c r="U187" i="2"/>
  <c r="T188" i="2"/>
  <c r="U188" i="2"/>
  <c r="T189" i="2"/>
  <c r="U189" i="2"/>
  <c r="T190" i="2"/>
  <c r="U190" i="2"/>
  <c r="T191" i="2"/>
  <c r="U191" i="2"/>
  <c r="T192" i="2"/>
  <c r="U192" i="2"/>
  <c r="T193" i="2"/>
  <c r="U193" i="2"/>
  <c r="T194" i="2"/>
  <c r="U194" i="2"/>
  <c r="T195" i="2"/>
  <c r="U195" i="2"/>
  <c r="T196" i="2"/>
  <c r="U196" i="2"/>
  <c r="T197" i="2"/>
  <c r="U197" i="2"/>
  <c r="T198" i="2"/>
  <c r="U198" i="2"/>
  <c r="T199" i="2"/>
  <c r="U199" i="2"/>
  <c r="T200" i="2"/>
  <c r="U200" i="2"/>
  <c r="T201" i="2"/>
  <c r="U201" i="2"/>
  <c r="T202" i="2"/>
  <c r="U202" i="2"/>
  <c r="T203" i="2"/>
  <c r="U203" i="2"/>
  <c r="T204" i="2"/>
  <c r="U204" i="2"/>
  <c r="T205" i="2"/>
  <c r="U205" i="2"/>
  <c r="T206" i="2"/>
  <c r="U206" i="2"/>
  <c r="T207" i="2"/>
  <c r="U207" i="2"/>
  <c r="T208" i="2"/>
  <c r="U208" i="2"/>
  <c r="T209" i="2"/>
  <c r="U209" i="2"/>
  <c r="T210" i="2"/>
  <c r="U210" i="2"/>
  <c r="T211" i="2"/>
  <c r="U211" i="2"/>
  <c r="T212" i="2"/>
  <c r="U212" i="2"/>
  <c r="T213" i="2"/>
  <c r="U213" i="2"/>
  <c r="T214" i="2"/>
  <c r="U214" i="2"/>
  <c r="T215" i="2"/>
  <c r="U215" i="2"/>
  <c r="T216" i="2"/>
  <c r="U216" i="2"/>
  <c r="T217" i="2"/>
  <c r="U217" i="2"/>
  <c r="T218" i="2"/>
  <c r="U218" i="2"/>
  <c r="T219" i="2"/>
  <c r="U219" i="2"/>
  <c r="T220" i="2"/>
  <c r="U220" i="2"/>
  <c r="T221" i="2"/>
  <c r="U221" i="2"/>
  <c r="T222" i="2"/>
  <c r="U222" i="2"/>
  <c r="T223" i="2"/>
  <c r="U223" i="2"/>
  <c r="T224" i="2"/>
  <c r="U224" i="2"/>
  <c r="T225" i="2"/>
  <c r="U225" i="2"/>
  <c r="T226" i="2"/>
  <c r="U226" i="2"/>
  <c r="T227" i="2"/>
  <c r="U227" i="2"/>
  <c r="T228" i="2"/>
  <c r="U228" i="2"/>
  <c r="T229" i="2"/>
  <c r="U229" i="2"/>
  <c r="T230" i="2"/>
  <c r="U230" i="2"/>
  <c r="T231" i="2"/>
  <c r="U231" i="2"/>
  <c r="T232" i="2"/>
  <c r="U232" i="2"/>
  <c r="T233" i="2"/>
  <c r="U233" i="2"/>
  <c r="T234" i="2"/>
  <c r="U234" i="2"/>
  <c r="T235" i="2"/>
  <c r="U235" i="2"/>
  <c r="T236" i="2"/>
  <c r="U236" i="2"/>
  <c r="T237" i="2"/>
  <c r="U237" i="2"/>
  <c r="T238" i="2"/>
  <c r="U238" i="2"/>
  <c r="T239" i="2"/>
  <c r="U239" i="2"/>
  <c r="T240" i="2"/>
  <c r="U240" i="2"/>
  <c r="T241" i="2"/>
  <c r="U241" i="2"/>
  <c r="T242" i="2"/>
  <c r="U242" i="2"/>
  <c r="T243" i="2"/>
  <c r="U243" i="2"/>
  <c r="T244" i="2"/>
  <c r="U244" i="2"/>
  <c r="T245" i="2"/>
  <c r="U245" i="2"/>
  <c r="T246" i="2"/>
  <c r="U246" i="2"/>
  <c r="T247" i="2"/>
  <c r="U247" i="2"/>
  <c r="T248" i="2"/>
  <c r="U248" i="2"/>
  <c r="T249" i="2"/>
  <c r="U249" i="2"/>
  <c r="T250" i="2"/>
  <c r="U250" i="2"/>
  <c r="T251" i="2"/>
  <c r="U251" i="2"/>
  <c r="T252" i="2"/>
  <c r="U252" i="2"/>
  <c r="T253" i="2"/>
  <c r="U253" i="2"/>
  <c r="T254" i="2"/>
  <c r="U254" i="2"/>
  <c r="T255" i="2"/>
  <c r="U255" i="2"/>
  <c r="T256" i="2"/>
  <c r="U256" i="2"/>
  <c r="T257" i="2"/>
  <c r="U257" i="2"/>
  <c r="T258" i="2"/>
  <c r="U258" i="2"/>
  <c r="T259" i="2"/>
  <c r="U259" i="2"/>
  <c r="T260" i="2"/>
  <c r="U260" i="2"/>
  <c r="T261" i="2"/>
  <c r="U261" i="2"/>
  <c r="T262" i="2"/>
  <c r="U262" i="2"/>
  <c r="T263" i="2"/>
  <c r="U263" i="2"/>
  <c r="T264" i="2"/>
  <c r="U264" i="2"/>
  <c r="T265" i="2"/>
  <c r="U265" i="2"/>
  <c r="T266" i="2"/>
  <c r="U266" i="2"/>
  <c r="T267" i="2"/>
  <c r="U267" i="2"/>
  <c r="T268" i="2"/>
  <c r="U268" i="2"/>
  <c r="T269" i="2"/>
  <c r="U269" i="2"/>
  <c r="T270" i="2"/>
  <c r="U270" i="2"/>
  <c r="T271" i="2"/>
  <c r="U271" i="2"/>
  <c r="T272" i="2"/>
  <c r="U272" i="2"/>
  <c r="T273" i="2"/>
  <c r="U273" i="2"/>
  <c r="T274" i="2"/>
  <c r="U274" i="2"/>
  <c r="T275" i="2"/>
  <c r="U275" i="2"/>
  <c r="T276" i="2"/>
  <c r="U276" i="2"/>
  <c r="T277" i="2"/>
  <c r="U277" i="2"/>
  <c r="T278" i="2"/>
  <c r="U278" i="2"/>
  <c r="T279" i="2"/>
  <c r="U279" i="2"/>
  <c r="T280" i="2"/>
  <c r="U280" i="2"/>
  <c r="T281" i="2"/>
  <c r="U281" i="2"/>
  <c r="T282" i="2"/>
  <c r="U282" i="2"/>
  <c r="T283" i="2"/>
  <c r="U283" i="2"/>
  <c r="T284" i="2"/>
  <c r="U284" i="2"/>
  <c r="T285" i="2"/>
  <c r="U285" i="2"/>
  <c r="T286" i="2"/>
  <c r="U286" i="2"/>
  <c r="T287" i="2"/>
  <c r="U287" i="2"/>
  <c r="T288" i="2"/>
  <c r="U288" i="2"/>
  <c r="T289" i="2"/>
  <c r="U289" i="2"/>
  <c r="T290" i="2"/>
  <c r="U290" i="2"/>
  <c r="T291" i="2"/>
  <c r="U291" i="2"/>
  <c r="T292" i="2"/>
  <c r="U292" i="2"/>
  <c r="T293" i="2"/>
  <c r="U293" i="2"/>
  <c r="T294" i="2"/>
  <c r="U294" i="2"/>
  <c r="T295" i="2"/>
  <c r="U295" i="2"/>
  <c r="T296" i="2"/>
  <c r="U296" i="2"/>
  <c r="T297" i="2"/>
  <c r="U297" i="2"/>
  <c r="T298" i="2"/>
  <c r="U298" i="2"/>
  <c r="T299" i="2"/>
  <c r="U299" i="2"/>
  <c r="T300" i="2"/>
  <c r="U300" i="2"/>
  <c r="T301" i="2"/>
  <c r="U301" i="2"/>
  <c r="T302" i="2"/>
  <c r="U302" i="2"/>
  <c r="T303" i="2"/>
  <c r="U303" i="2"/>
  <c r="T304" i="2"/>
  <c r="U304" i="2"/>
  <c r="T305" i="2"/>
  <c r="U305" i="2"/>
  <c r="T306" i="2"/>
  <c r="U306" i="2"/>
  <c r="T307" i="2"/>
  <c r="U307" i="2"/>
  <c r="T308" i="2"/>
  <c r="U308" i="2"/>
  <c r="T309" i="2"/>
  <c r="U309" i="2"/>
  <c r="T310" i="2"/>
  <c r="U310" i="2"/>
  <c r="T311" i="2"/>
  <c r="U311" i="2"/>
  <c r="T312" i="2"/>
  <c r="U312" i="2"/>
  <c r="T313" i="2"/>
  <c r="U313" i="2"/>
  <c r="T314" i="2"/>
  <c r="U314" i="2"/>
  <c r="T315" i="2"/>
  <c r="U315" i="2"/>
  <c r="T316" i="2"/>
  <c r="U316" i="2"/>
  <c r="T317" i="2"/>
  <c r="U317" i="2"/>
  <c r="T318" i="2"/>
  <c r="U318" i="2"/>
  <c r="T319" i="2"/>
  <c r="U319" i="2"/>
  <c r="T320" i="2"/>
  <c r="U320" i="2"/>
  <c r="T321" i="2"/>
  <c r="U321" i="2"/>
  <c r="T322" i="2"/>
  <c r="U322" i="2"/>
  <c r="T323" i="2"/>
  <c r="U323" i="2"/>
  <c r="T324" i="2"/>
  <c r="U324" i="2"/>
  <c r="T325" i="2"/>
  <c r="U325" i="2"/>
  <c r="T326" i="2"/>
  <c r="U326" i="2"/>
  <c r="T327" i="2"/>
  <c r="U327" i="2"/>
  <c r="T328" i="2"/>
  <c r="U328" i="2"/>
  <c r="T329" i="2"/>
  <c r="U329" i="2"/>
  <c r="T330" i="2"/>
  <c r="U330" i="2"/>
  <c r="T331" i="2"/>
  <c r="U331" i="2"/>
  <c r="T332" i="2"/>
  <c r="U332" i="2"/>
  <c r="T333" i="2"/>
  <c r="U333" i="2"/>
  <c r="T334" i="2"/>
  <c r="U334" i="2"/>
  <c r="T335" i="2"/>
  <c r="U335" i="2"/>
  <c r="T336" i="2"/>
  <c r="U336" i="2"/>
  <c r="T337" i="2"/>
  <c r="U337" i="2"/>
  <c r="T338" i="2"/>
  <c r="U338" i="2"/>
  <c r="T339" i="2"/>
  <c r="U339" i="2"/>
  <c r="T340" i="2"/>
  <c r="U340" i="2"/>
  <c r="T341" i="2"/>
  <c r="U341" i="2"/>
  <c r="T342" i="2"/>
  <c r="U342" i="2"/>
  <c r="T343" i="2"/>
  <c r="U343" i="2"/>
  <c r="T344" i="2"/>
  <c r="U344" i="2"/>
  <c r="T345" i="2"/>
  <c r="U345" i="2"/>
  <c r="T346" i="2"/>
  <c r="U346" i="2"/>
  <c r="T347" i="2"/>
  <c r="U347" i="2"/>
  <c r="T348" i="2"/>
  <c r="U348" i="2"/>
  <c r="T349" i="2"/>
  <c r="U349" i="2"/>
  <c r="T350" i="2"/>
  <c r="U350" i="2"/>
  <c r="T351" i="2"/>
  <c r="U351" i="2"/>
  <c r="T352" i="2"/>
  <c r="U352" i="2"/>
  <c r="T353" i="2"/>
  <c r="U353" i="2"/>
  <c r="T354" i="2"/>
  <c r="U354" i="2"/>
  <c r="T355" i="2"/>
  <c r="U355" i="2"/>
  <c r="T356" i="2"/>
  <c r="U356" i="2"/>
  <c r="T357" i="2"/>
  <c r="U357" i="2"/>
  <c r="T358" i="2"/>
  <c r="U358" i="2"/>
  <c r="T359" i="2"/>
  <c r="U359" i="2"/>
  <c r="T360" i="2"/>
  <c r="U360" i="2"/>
  <c r="T361" i="2"/>
  <c r="U361" i="2"/>
  <c r="T362" i="2"/>
  <c r="U362" i="2"/>
  <c r="T363" i="2"/>
  <c r="U363" i="2"/>
  <c r="T364" i="2"/>
  <c r="U364" i="2"/>
  <c r="T365" i="2"/>
  <c r="U365" i="2"/>
  <c r="T366" i="2"/>
  <c r="U366" i="2"/>
  <c r="T367" i="2"/>
  <c r="U367" i="2"/>
  <c r="T368" i="2"/>
  <c r="U368" i="2"/>
  <c r="T369" i="2"/>
  <c r="U369" i="2"/>
  <c r="T370" i="2"/>
  <c r="U370" i="2"/>
  <c r="T371" i="2"/>
  <c r="U371" i="2"/>
  <c r="T372" i="2"/>
  <c r="U372" i="2"/>
  <c r="T373" i="2"/>
  <c r="U373" i="2"/>
  <c r="T374" i="2"/>
  <c r="U374" i="2"/>
  <c r="T375" i="2"/>
  <c r="U375" i="2"/>
  <c r="T376" i="2"/>
  <c r="U376" i="2"/>
  <c r="T377" i="2"/>
  <c r="U377" i="2"/>
  <c r="T378" i="2"/>
  <c r="U378" i="2"/>
  <c r="T379" i="2"/>
  <c r="U379" i="2"/>
  <c r="T380" i="2"/>
  <c r="U380" i="2"/>
  <c r="T381" i="2"/>
  <c r="U381" i="2"/>
  <c r="T382" i="2"/>
  <c r="U382" i="2"/>
  <c r="T383" i="2"/>
  <c r="U383" i="2"/>
  <c r="T384" i="2"/>
  <c r="U384" i="2"/>
  <c r="T385" i="2"/>
  <c r="U385" i="2"/>
  <c r="T386" i="2"/>
  <c r="U386" i="2"/>
  <c r="T387" i="2"/>
  <c r="U387" i="2"/>
  <c r="T388" i="2"/>
  <c r="U388" i="2"/>
  <c r="T389" i="2"/>
  <c r="U389" i="2"/>
  <c r="T390" i="2"/>
  <c r="U390" i="2"/>
  <c r="T391" i="2"/>
  <c r="U391" i="2"/>
  <c r="T392" i="2"/>
  <c r="U392" i="2"/>
  <c r="T393" i="2"/>
  <c r="U393" i="2"/>
  <c r="T394" i="2"/>
  <c r="U394" i="2"/>
  <c r="T395" i="2"/>
  <c r="U395" i="2"/>
  <c r="T396" i="2"/>
  <c r="U396" i="2"/>
  <c r="T397" i="2"/>
  <c r="U397" i="2"/>
  <c r="T398" i="2"/>
  <c r="U398" i="2"/>
  <c r="T399" i="2"/>
  <c r="U399" i="2"/>
  <c r="T400" i="2"/>
  <c r="U400" i="2"/>
  <c r="T401" i="2"/>
  <c r="U401" i="2"/>
  <c r="T402" i="2"/>
  <c r="U402" i="2"/>
  <c r="T403" i="2"/>
  <c r="U403" i="2"/>
  <c r="T404" i="2"/>
  <c r="U404" i="2"/>
  <c r="T405" i="2"/>
  <c r="U405" i="2"/>
  <c r="T406" i="2"/>
  <c r="U406" i="2"/>
  <c r="T407" i="2"/>
  <c r="U407" i="2"/>
  <c r="T408" i="2"/>
  <c r="U408" i="2"/>
  <c r="T409" i="2"/>
  <c r="U409" i="2"/>
  <c r="T410" i="2"/>
  <c r="U410" i="2"/>
  <c r="T411" i="2"/>
  <c r="U411" i="2"/>
  <c r="T412" i="2"/>
  <c r="U412" i="2"/>
  <c r="T413" i="2"/>
  <c r="U413" i="2"/>
  <c r="T414" i="2"/>
  <c r="U414" i="2"/>
  <c r="T415" i="2"/>
  <c r="U415" i="2"/>
  <c r="T416" i="2"/>
  <c r="U416" i="2"/>
  <c r="T417" i="2"/>
  <c r="U417" i="2"/>
  <c r="T418" i="2"/>
  <c r="U418" i="2"/>
  <c r="T419" i="2"/>
  <c r="U419" i="2"/>
  <c r="T420" i="2"/>
  <c r="U420" i="2"/>
  <c r="T421" i="2"/>
  <c r="U421" i="2"/>
  <c r="T422" i="2"/>
  <c r="U422" i="2"/>
  <c r="T423" i="2"/>
  <c r="U423" i="2"/>
  <c r="T424" i="2"/>
  <c r="U424" i="2"/>
  <c r="T425" i="2"/>
  <c r="U425" i="2"/>
  <c r="T426" i="2"/>
  <c r="U426" i="2"/>
  <c r="T427" i="2"/>
  <c r="U427" i="2"/>
  <c r="T428" i="2"/>
  <c r="U428" i="2"/>
  <c r="T429" i="2"/>
  <c r="U429" i="2"/>
  <c r="T430" i="2"/>
  <c r="U430" i="2"/>
  <c r="T431" i="2"/>
  <c r="U431" i="2"/>
  <c r="T432" i="2"/>
  <c r="U432" i="2"/>
  <c r="T433" i="2"/>
  <c r="U433" i="2"/>
  <c r="T434" i="2"/>
  <c r="U434" i="2"/>
  <c r="T435" i="2"/>
  <c r="U435" i="2"/>
  <c r="T436" i="2"/>
  <c r="U436" i="2"/>
  <c r="T437" i="2"/>
  <c r="U437" i="2"/>
  <c r="T438" i="2"/>
  <c r="U438" i="2"/>
  <c r="T439" i="2"/>
  <c r="U439" i="2"/>
  <c r="T440" i="2"/>
  <c r="U440" i="2"/>
  <c r="T441" i="2"/>
  <c r="U441" i="2"/>
  <c r="T442" i="2"/>
  <c r="U442" i="2"/>
  <c r="T443" i="2"/>
  <c r="U443" i="2"/>
  <c r="T444" i="2"/>
  <c r="U444" i="2"/>
  <c r="T445" i="2"/>
  <c r="U445" i="2"/>
  <c r="T446" i="2"/>
  <c r="U446" i="2"/>
  <c r="T447" i="2"/>
  <c r="U447" i="2"/>
  <c r="T448" i="2"/>
  <c r="U448" i="2"/>
  <c r="T449" i="2"/>
  <c r="U449" i="2"/>
  <c r="T450" i="2"/>
  <c r="U450" i="2"/>
  <c r="T451" i="2"/>
  <c r="U451" i="2"/>
  <c r="T452" i="2"/>
  <c r="U452" i="2"/>
  <c r="T453" i="2"/>
  <c r="U453" i="2"/>
  <c r="T454" i="2"/>
  <c r="U454" i="2"/>
  <c r="T455" i="2"/>
  <c r="U455" i="2"/>
  <c r="T456" i="2"/>
  <c r="U456" i="2"/>
  <c r="T457" i="2"/>
  <c r="U457" i="2"/>
  <c r="T458" i="2"/>
  <c r="U458" i="2"/>
  <c r="T459" i="2"/>
  <c r="U459" i="2"/>
  <c r="T460" i="2"/>
  <c r="U460" i="2"/>
  <c r="T461" i="2"/>
  <c r="U461" i="2"/>
  <c r="T462" i="2"/>
  <c r="U462" i="2"/>
  <c r="T463" i="2"/>
  <c r="U463" i="2"/>
  <c r="T464" i="2"/>
  <c r="U464" i="2"/>
  <c r="T465" i="2"/>
  <c r="U465" i="2"/>
  <c r="T466" i="2"/>
  <c r="U466" i="2"/>
  <c r="T467" i="2"/>
  <c r="U467" i="2"/>
  <c r="T468" i="2"/>
  <c r="U468" i="2"/>
  <c r="T469" i="2"/>
  <c r="U469" i="2"/>
  <c r="T470" i="2"/>
  <c r="U470" i="2"/>
  <c r="T471" i="2"/>
  <c r="U471" i="2"/>
  <c r="T472" i="2"/>
  <c r="U472" i="2"/>
  <c r="T473" i="2"/>
  <c r="U473" i="2"/>
  <c r="T474" i="2"/>
  <c r="U474" i="2"/>
  <c r="T475" i="2"/>
  <c r="U475" i="2"/>
  <c r="T476" i="2"/>
  <c r="U476" i="2"/>
  <c r="T477" i="2"/>
  <c r="U477" i="2"/>
  <c r="T478" i="2"/>
  <c r="U478" i="2"/>
  <c r="T479" i="2"/>
  <c r="U479" i="2"/>
  <c r="T480" i="2"/>
  <c r="U480" i="2"/>
  <c r="T481" i="2"/>
  <c r="U481" i="2"/>
  <c r="T482" i="2"/>
  <c r="U482" i="2"/>
  <c r="T483" i="2"/>
  <c r="U483" i="2"/>
  <c r="T484" i="2"/>
  <c r="U484" i="2"/>
  <c r="T485" i="2"/>
  <c r="U485" i="2"/>
  <c r="T486" i="2"/>
  <c r="U486" i="2"/>
  <c r="T487" i="2"/>
  <c r="U487" i="2"/>
  <c r="T488" i="2"/>
  <c r="U488" i="2"/>
  <c r="T489" i="2"/>
  <c r="U489" i="2"/>
  <c r="T490" i="2"/>
  <c r="U490" i="2"/>
  <c r="T491" i="2"/>
  <c r="U491" i="2"/>
  <c r="T492" i="2"/>
  <c r="U492" i="2"/>
  <c r="T493" i="2"/>
  <c r="U493" i="2"/>
  <c r="T494" i="2"/>
  <c r="U494" i="2"/>
  <c r="T495" i="2"/>
  <c r="U495" i="2"/>
  <c r="T496" i="2"/>
  <c r="U496" i="2"/>
  <c r="T497" i="2"/>
  <c r="U497" i="2"/>
  <c r="T498" i="2"/>
  <c r="U498" i="2"/>
  <c r="T499" i="2"/>
  <c r="U499" i="2"/>
  <c r="T500" i="2"/>
  <c r="U500" i="2"/>
  <c r="T501" i="2"/>
  <c r="U501" i="2"/>
  <c r="T502" i="2"/>
  <c r="U502" i="2"/>
  <c r="T503" i="2"/>
  <c r="U503" i="2"/>
  <c r="T504" i="2"/>
  <c r="U504" i="2"/>
  <c r="T505" i="2"/>
  <c r="U505" i="2"/>
  <c r="T506" i="2"/>
  <c r="U506" i="2"/>
  <c r="T507" i="2"/>
  <c r="U507" i="2"/>
  <c r="T508" i="2"/>
  <c r="U508" i="2"/>
  <c r="T509" i="2"/>
  <c r="U509" i="2"/>
  <c r="T510" i="2"/>
  <c r="U510" i="2"/>
  <c r="T511" i="2"/>
  <c r="U511" i="2"/>
  <c r="T512" i="2"/>
  <c r="U512" i="2"/>
  <c r="T513" i="2"/>
  <c r="U513" i="2"/>
  <c r="T514" i="2"/>
  <c r="U514" i="2"/>
  <c r="T515" i="2"/>
  <c r="U515" i="2"/>
  <c r="T516" i="2"/>
  <c r="U516" i="2"/>
  <c r="T517" i="2"/>
  <c r="U517" i="2"/>
  <c r="T518" i="2"/>
  <c r="U518" i="2"/>
  <c r="T519" i="2"/>
  <c r="U519" i="2"/>
  <c r="T520" i="2"/>
  <c r="U520" i="2"/>
  <c r="T521" i="2"/>
  <c r="U521" i="2"/>
  <c r="T522" i="2"/>
  <c r="U522" i="2"/>
  <c r="T523" i="2"/>
  <c r="U523" i="2"/>
  <c r="T524" i="2"/>
  <c r="U524" i="2"/>
  <c r="T525" i="2"/>
  <c r="U525" i="2"/>
  <c r="T526" i="2"/>
  <c r="U526" i="2"/>
  <c r="T527" i="2"/>
  <c r="U527" i="2"/>
  <c r="T528" i="2"/>
  <c r="U528" i="2"/>
  <c r="T529" i="2"/>
  <c r="U529" i="2"/>
  <c r="T530" i="2"/>
  <c r="U530" i="2"/>
  <c r="T531" i="2"/>
  <c r="U531" i="2"/>
  <c r="T532" i="2"/>
  <c r="U532" i="2"/>
  <c r="T533" i="2"/>
  <c r="U533" i="2"/>
  <c r="T534" i="2"/>
  <c r="U534" i="2"/>
  <c r="T535" i="2"/>
  <c r="U535" i="2"/>
  <c r="T536" i="2"/>
  <c r="U536" i="2"/>
  <c r="T537" i="2"/>
  <c r="U537" i="2"/>
  <c r="T538" i="2"/>
  <c r="U538" i="2"/>
  <c r="T539" i="2"/>
  <c r="U539" i="2"/>
  <c r="T540" i="2"/>
  <c r="U540" i="2"/>
  <c r="T541" i="2"/>
  <c r="U541" i="2"/>
  <c r="T542" i="2"/>
  <c r="U542" i="2"/>
  <c r="T543" i="2"/>
  <c r="U543" i="2"/>
  <c r="T544" i="2"/>
  <c r="U544" i="2"/>
  <c r="T545" i="2"/>
  <c r="U545" i="2"/>
  <c r="T546" i="2"/>
  <c r="U546" i="2"/>
  <c r="T547" i="2"/>
  <c r="U547" i="2"/>
  <c r="T548" i="2"/>
  <c r="U548" i="2"/>
  <c r="T549" i="2"/>
  <c r="U549" i="2"/>
  <c r="T550" i="2"/>
  <c r="U550" i="2"/>
  <c r="T551" i="2"/>
  <c r="U551" i="2"/>
  <c r="T552" i="2"/>
  <c r="U552" i="2"/>
  <c r="T553" i="2"/>
  <c r="U553" i="2"/>
  <c r="T554" i="2"/>
  <c r="U554" i="2"/>
  <c r="T555" i="2"/>
  <c r="U555" i="2"/>
  <c r="T556" i="2"/>
  <c r="U556" i="2"/>
  <c r="T557" i="2"/>
  <c r="U557" i="2"/>
  <c r="T558" i="2"/>
  <c r="U558" i="2"/>
  <c r="T559" i="2"/>
  <c r="U559" i="2"/>
  <c r="T560" i="2"/>
  <c r="U560" i="2"/>
  <c r="T561" i="2"/>
  <c r="U561" i="2"/>
  <c r="T562" i="2"/>
  <c r="U562" i="2"/>
  <c r="T563" i="2"/>
  <c r="U563" i="2"/>
  <c r="T564" i="2"/>
  <c r="U564" i="2"/>
  <c r="T565" i="2"/>
  <c r="U565" i="2"/>
  <c r="T566" i="2"/>
  <c r="U566" i="2"/>
  <c r="T567" i="2"/>
  <c r="U567" i="2"/>
  <c r="T568" i="2"/>
  <c r="U568" i="2"/>
  <c r="T569" i="2"/>
  <c r="U569" i="2"/>
  <c r="T570" i="2"/>
  <c r="U570" i="2"/>
  <c r="T571" i="2"/>
  <c r="U571" i="2"/>
  <c r="T572" i="2"/>
  <c r="U572" i="2"/>
  <c r="T573" i="2"/>
  <c r="U573" i="2"/>
  <c r="T574" i="2"/>
  <c r="U574" i="2"/>
  <c r="T575" i="2"/>
  <c r="U575" i="2"/>
  <c r="T576" i="2"/>
  <c r="U576" i="2"/>
  <c r="T577" i="2"/>
  <c r="U577" i="2"/>
  <c r="T578" i="2"/>
  <c r="U578" i="2"/>
  <c r="T579" i="2"/>
  <c r="U579" i="2"/>
  <c r="T580" i="2"/>
  <c r="U580" i="2"/>
  <c r="T581" i="2"/>
  <c r="U581" i="2"/>
  <c r="T582" i="2"/>
  <c r="U582" i="2"/>
  <c r="T583" i="2"/>
  <c r="U583" i="2"/>
  <c r="T584" i="2"/>
  <c r="U584" i="2"/>
  <c r="T585" i="2"/>
  <c r="U585" i="2"/>
  <c r="T586" i="2"/>
  <c r="U586" i="2"/>
  <c r="T587" i="2"/>
  <c r="U587" i="2"/>
  <c r="T588" i="2"/>
  <c r="U588" i="2"/>
  <c r="T589" i="2"/>
  <c r="U589" i="2"/>
  <c r="T590" i="2"/>
  <c r="U590" i="2"/>
  <c r="T591" i="2"/>
  <c r="U591" i="2"/>
  <c r="T592" i="2"/>
  <c r="U592" i="2"/>
  <c r="T593" i="2"/>
  <c r="U593" i="2"/>
  <c r="T594" i="2"/>
  <c r="U594" i="2"/>
  <c r="T595" i="2"/>
  <c r="U595" i="2"/>
  <c r="T596" i="2"/>
  <c r="U596" i="2"/>
  <c r="T597" i="2"/>
  <c r="U597" i="2"/>
  <c r="T598" i="2"/>
  <c r="U598" i="2"/>
  <c r="T599" i="2"/>
  <c r="U599" i="2"/>
  <c r="T600" i="2"/>
  <c r="U600" i="2"/>
  <c r="T601" i="2"/>
  <c r="U601" i="2"/>
  <c r="T602" i="2"/>
  <c r="U602" i="2"/>
  <c r="T603" i="2"/>
  <c r="U603" i="2"/>
  <c r="T604" i="2"/>
  <c r="U604" i="2"/>
  <c r="T605" i="2"/>
  <c r="U605" i="2"/>
  <c r="T606" i="2"/>
  <c r="U606" i="2"/>
  <c r="T607" i="2"/>
  <c r="U607" i="2"/>
  <c r="T608" i="2"/>
  <c r="U608" i="2"/>
  <c r="T609" i="2"/>
  <c r="U609" i="2"/>
  <c r="T610" i="2"/>
  <c r="U610" i="2"/>
  <c r="T611" i="2"/>
  <c r="U611" i="2"/>
  <c r="T612" i="2"/>
  <c r="U612" i="2"/>
  <c r="T613" i="2"/>
  <c r="U613" i="2"/>
  <c r="T614" i="2"/>
  <c r="U614" i="2"/>
  <c r="T615" i="2"/>
  <c r="U615" i="2"/>
  <c r="T616" i="2"/>
  <c r="U616" i="2"/>
  <c r="T617" i="2"/>
  <c r="U617" i="2"/>
  <c r="T618" i="2"/>
  <c r="U618" i="2"/>
  <c r="T619" i="2"/>
  <c r="U619" i="2"/>
  <c r="T620" i="2"/>
  <c r="U620" i="2"/>
  <c r="T621" i="2"/>
  <c r="U621" i="2"/>
  <c r="T622" i="2"/>
  <c r="U622" i="2"/>
  <c r="T623" i="2"/>
  <c r="U623" i="2"/>
  <c r="T624" i="2"/>
  <c r="U624" i="2"/>
  <c r="T625" i="2"/>
  <c r="U625" i="2"/>
  <c r="T626" i="2"/>
  <c r="U626" i="2"/>
  <c r="T627" i="2"/>
  <c r="U627" i="2"/>
  <c r="T628" i="2"/>
  <c r="U628" i="2"/>
  <c r="T629" i="2"/>
  <c r="U629" i="2"/>
  <c r="T630" i="2"/>
  <c r="U630" i="2"/>
  <c r="T631" i="2"/>
  <c r="U631" i="2"/>
  <c r="T632" i="2"/>
  <c r="U632" i="2"/>
  <c r="T633" i="2"/>
  <c r="U633" i="2"/>
  <c r="T634" i="2"/>
  <c r="U634" i="2"/>
  <c r="T635" i="2"/>
  <c r="U635" i="2"/>
  <c r="T636" i="2"/>
  <c r="U636" i="2"/>
  <c r="T637" i="2"/>
  <c r="U637" i="2"/>
  <c r="T638" i="2"/>
  <c r="U638" i="2"/>
  <c r="T639" i="2"/>
  <c r="U639" i="2"/>
  <c r="T640" i="2"/>
  <c r="U640" i="2"/>
  <c r="T641" i="2"/>
  <c r="U641" i="2"/>
  <c r="T642" i="2"/>
  <c r="U642" i="2"/>
  <c r="T643" i="2"/>
  <c r="U643" i="2"/>
  <c r="T644" i="2"/>
  <c r="U644" i="2"/>
  <c r="T645" i="2"/>
  <c r="U645" i="2"/>
  <c r="T646" i="2"/>
  <c r="U646" i="2"/>
  <c r="T647" i="2"/>
  <c r="U647" i="2"/>
  <c r="T648" i="2"/>
  <c r="U648" i="2"/>
  <c r="T649" i="2"/>
  <c r="U649" i="2"/>
  <c r="T650" i="2"/>
  <c r="U650" i="2"/>
  <c r="T651" i="2"/>
  <c r="U651" i="2"/>
  <c r="T652" i="2"/>
  <c r="U652" i="2"/>
  <c r="T653" i="2"/>
  <c r="U653" i="2"/>
  <c r="T654" i="2"/>
  <c r="U654" i="2"/>
  <c r="T655" i="2"/>
  <c r="U655" i="2"/>
  <c r="T656" i="2"/>
  <c r="U656" i="2"/>
  <c r="T657" i="2"/>
  <c r="U657" i="2"/>
  <c r="T658" i="2"/>
  <c r="U658" i="2"/>
  <c r="T659" i="2"/>
  <c r="U659" i="2"/>
  <c r="T660" i="2"/>
  <c r="U660" i="2"/>
  <c r="T661" i="2"/>
  <c r="U661" i="2"/>
  <c r="T662" i="2"/>
  <c r="U662" i="2"/>
  <c r="T663" i="2"/>
  <c r="U663" i="2"/>
  <c r="T664" i="2"/>
  <c r="U664" i="2"/>
  <c r="T665" i="2"/>
  <c r="U665" i="2"/>
  <c r="T666" i="2"/>
  <c r="U666" i="2"/>
  <c r="T667" i="2"/>
  <c r="U667" i="2"/>
  <c r="T668" i="2"/>
  <c r="U668" i="2"/>
  <c r="T669" i="2"/>
  <c r="U669" i="2"/>
  <c r="T670" i="2"/>
  <c r="U670" i="2"/>
  <c r="T671" i="2"/>
  <c r="U671" i="2"/>
  <c r="T672" i="2"/>
  <c r="U672" i="2"/>
  <c r="T673" i="2"/>
  <c r="U673" i="2"/>
  <c r="T674" i="2"/>
  <c r="U674" i="2"/>
  <c r="T675" i="2"/>
  <c r="U675" i="2"/>
  <c r="T676" i="2"/>
  <c r="U676" i="2"/>
  <c r="T677" i="2"/>
  <c r="U677" i="2"/>
  <c r="T678" i="2"/>
  <c r="U678" i="2"/>
  <c r="T679" i="2"/>
  <c r="U679" i="2"/>
  <c r="T680" i="2"/>
  <c r="U680" i="2"/>
  <c r="T681" i="2"/>
  <c r="U681" i="2"/>
  <c r="T682" i="2"/>
  <c r="U682" i="2"/>
  <c r="T683" i="2"/>
  <c r="U683" i="2"/>
  <c r="T684" i="2"/>
  <c r="U684" i="2"/>
  <c r="T685" i="2"/>
  <c r="U685" i="2"/>
  <c r="T686" i="2"/>
  <c r="U686" i="2"/>
  <c r="T687" i="2"/>
  <c r="U687" i="2"/>
  <c r="T688" i="2"/>
  <c r="U688" i="2"/>
  <c r="T689" i="2"/>
  <c r="U689" i="2"/>
  <c r="T690" i="2"/>
  <c r="U690" i="2"/>
  <c r="T691" i="2"/>
  <c r="U691" i="2"/>
  <c r="T692" i="2"/>
  <c r="U692" i="2"/>
  <c r="T693" i="2"/>
  <c r="U693" i="2"/>
  <c r="T694" i="2"/>
  <c r="U694" i="2"/>
  <c r="T695" i="2"/>
  <c r="U695" i="2"/>
  <c r="T696" i="2"/>
  <c r="U696" i="2"/>
  <c r="U2" i="2"/>
  <c r="T2" i="2"/>
  <c r="R697" i="2"/>
  <c r="B697" i="2" s="1"/>
  <c r="S697" i="2"/>
  <c r="C697" i="2" s="1"/>
  <c r="R698" i="2"/>
  <c r="B698" i="2" s="1"/>
  <c r="S698" i="2"/>
  <c r="C698" i="2" s="1"/>
  <c r="R699" i="2"/>
  <c r="B699" i="2" s="1"/>
  <c r="S699" i="2"/>
  <c r="C699" i="2" s="1"/>
  <c r="R700" i="2"/>
  <c r="B700" i="2" s="1"/>
  <c r="S700" i="2"/>
  <c r="C700" i="2" s="1"/>
  <c r="R701" i="2"/>
  <c r="B701" i="2" s="1"/>
  <c r="S701" i="2"/>
  <c r="C701" i="2" s="1"/>
  <c r="R702" i="2"/>
  <c r="B702" i="2" s="1"/>
  <c r="S702" i="2"/>
  <c r="C702" i="2" s="1"/>
  <c r="R703" i="2"/>
  <c r="B703" i="2" s="1"/>
  <c r="S703" i="2"/>
  <c r="C703" i="2" s="1"/>
  <c r="R704" i="2"/>
  <c r="B704" i="2" s="1"/>
  <c r="S704" i="2"/>
  <c r="C704" i="2" s="1"/>
  <c r="R705" i="2"/>
  <c r="B705" i="2" s="1"/>
  <c r="S705" i="2"/>
  <c r="C705" i="2" s="1"/>
  <c r="R706" i="2"/>
  <c r="B706" i="2" s="1"/>
  <c r="S706" i="2"/>
  <c r="C706" i="2" s="1"/>
  <c r="R707" i="2"/>
  <c r="B707" i="2" s="1"/>
  <c r="S707" i="2"/>
  <c r="C707" i="2" s="1"/>
  <c r="R708" i="2"/>
  <c r="B708" i="2" s="1"/>
  <c r="S708" i="2"/>
  <c r="C708" i="2" s="1"/>
  <c r="R709" i="2"/>
  <c r="B709" i="2" s="1"/>
  <c r="S709" i="2"/>
  <c r="C709" i="2" s="1"/>
  <c r="R710" i="2"/>
  <c r="B710" i="2" s="1"/>
  <c r="S710" i="2"/>
  <c r="C710" i="2" s="1"/>
  <c r="R711" i="2"/>
  <c r="B711" i="2" s="1"/>
  <c r="S711" i="2"/>
  <c r="C711" i="2" s="1"/>
  <c r="R712" i="2"/>
  <c r="B712" i="2" s="1"/>
  <c r="S712" i="2"/>
  <c r="C712" i="2" s="1"/>
  <c r="R713" i="2"/>
  <c r="B713" i="2" s="1"/>
  <c r="S713" i="2"/>
  <c r="C713" i="2" s="1"/>
  <c r="R714" i="2"/>
  <c r="B714" i="2" s="1"/>
  <c r="S714" i="2"/>
  <c r="C714" i="2" s="1"/>
  <c r="R715" i="2"/>
  <c r="B715" i="2" s="1"/>
  <c r="S715" i="2"/>
  <c r="C715" i="2" s="1"/>
  <c r="R716" i="2"/>
  <c r="B716" i="2" s="1"/>
  <c r="S716" i="2"/>
  <c r="C716" i="2" s="1"/>
  <c r="R717" i="2"/>
  <c r="B717" i="2" s="1"/>
  <c r="S717" i="2"/>
  <c r="C717" i="2" s="1"/>
  <c r="R718" i="2"/>
  <c r="B718" i="2" s="1"/>
  <c r="S718" i="2"/>
  <c r="C718" i="2" s="1"/>
  <c r="R719" i="2"/>
  <c r="B719" i="2" s="1"/>
  <c r="S719" i="2"/>
  <c r="C719" i="2" s="1"/>
  <c r="R720" i="2"/>
  <c r="B720" i="2" s="1"/>
  <c r="S720" i="2"/>
  <c r="C720" i="2" s="1"/>
  <c r="R721" i="2"/>
  <c r="B721" i="2" s="1"/>
  <c r="S721" i="2"/>
  <c r="C721" i="2" s="1"/>
  <c r="R722" i="2"/>
  <c r="B722" i="2" s="1"/>
  <c r="S722" i="2"/>
  <c r="C722" i="2" s="1"/>
  <c r="R723" i="2"/>
  <c r="B723" i="2" s="1"/>
  <c r="S723" i="2"/>
  <c r="C723" i="2" s="1"/>
  <c r="R724" i="2"/>
  <c r="B724" i="2" s="1"/>
  <c r="S724" i="2"/>
  <c r="C724" i="2" s="1"/>
  <c r="R725" i="2"/>
  <c r="B725" i="2" s="1"/>
  <c r="S725" i="2"/>
  <c r="C725" i="2" s="1"/>
  <c r="R726" i="2"/>
  <c r="B726" i="2" s="1"/>
  <c r="S726" i="2"/>
  <c r="C726" i="2" s="1"/>
  <c r="R727" i="2"/>
  <c r="B727" i="2" s="1"/>
  <c r="S727" i="2"/>
  <c r="C727" i="2" s="1"/>
  <c r="R728" i="2"/>
  <c r="B728" i="2" s="1"/>
  <c r="S728" i="2"/>
  <c r="C728" i="2" s="1"/>
  <c r="R729" i="2"/>
  <c r="B729" i="2" s="1"/>
  <c r="S729" i="2"/>
  <c r="C729" i="2" s="1"/>
  <c r="R730" i="2"/>
  <c r="B730" i="2" s="1"/>
  <c r="S730" i="2"/>
  <c r="C730" i="2" s="1"/>
  <c r="R731" i="2"/>
  <c r="B731" i="2" s="1"/>
  <c r="S731" i="2"/>
  <c r="C731" i="2" s="1"/>
  <c r="R3" i="2"/>
  <c r="B3" i="2" s="1"/>
  <c r="S3" i="2"/>
  <c r="C3" i="2" s="1"/>
  <c r="R4" i="2"/>
  <c r="B4" i="2" s="1"/>
  <c r="S4" i="2"/>
  <c r="C4" i="2" s="1"/>
  <c r="R5" i="2"/>
  <c r="B5" i="2" s="1"/>
  <c r="S5" i="2"/>
  <c r="C5" i="2" s="1"/>
  <c r="R6" i="2"/>
  <c r="B6" i="2" s="1"/>
  <c r="S6" i="2"/>
  <c r="C6" i="2" s="1"/>
  <c r="R7" i="2"/>
  <c r="B7" i="2" s="1"/>
  <c r="S7" i="2"/>
  <c r="C7" i="2" s="1"/>
  <c r="R8" i="2"/>
  <c r="B8" i="2" s="1"/>
  <c r="S8" i="2"/>
  <c r="C8" i="2" s="1"/>
  <c r="R9" i="2"/>
  <c r="B9" i="2" s="1"/>
  <c r="S9" i="2"/>
  <c r="C9" i="2" s="1"/>
  <c r="R10" i="2"/>
  <c r="B10" i="2" s="1"/>
  <c r="S10" i="2"/>
  <c r="C10" i="2" s="1"/>
  <c r="R11" i="2"/>
  <c r="B11" i="2" s="1"/>
  <c r="S11" i="2"/>
  <c r="C11" i="2" s="1"/>
  <c r="R12" i="2"/>
  <c r="B12" i="2" s="1"/>
  <c r="S12" i="2"/>
  <c r="C12" i="2" s="1"/>
  <c r="R13" i="2"/>
  <c r="B13" i="2" s="1"/>
  <c r="S13" i="2"/>
  <c r="C13" i="2" s="1"/>
  <c r="R14" i="2"/>
  <c r="B14" i="2" s="1"/>
  <c r="S14" i="2"/>
  <c r="C14" i="2" s="1"/>
  <c r="R15" i="2"/>
  <c r="B15" i="2" s="1"/>
  <c r="S15" i="2"/>
  <c r="C15" i="2" s="1"/>
  <c r="R16" i="2"/>
  <c r="B16" i="2" s="1"/>
  <c r="S16" i="2"/>
  <c r="C16" i="2" s="1"/>
  <c r="R17" i="2"/>
  <c r="B17" i="2" s="1"/>
  <c r="S17" i="2"/>
  <c r="C17" i="2" s="1"/>
  <c r="R18" i="2"/>
  <c r="B18" i="2" s="1"/>
  <c r="S18" i="2"/>
  <c r="C18" i="2" s="1"/>
  <c r="R19" i="2"/>
  <c r="B19" i="2" s="1"/>
  <c r="S19" i="2"/>
  <c r="C19" i="2" s="1"/>
  <c r="R20" i="2"/>
  <c r="B20" i="2" s="1"/>
  <c r="S20" i="2"/>
  <c r="C20" i="2" s="1"/>
  <c r="R21" i="2"/>
  <c r="B21" i="2" s="1"/>
  <c r="S21" i="2"/>
  <c r="C21" i="2" s="1"/>
  <c r="R22" i="2"/>
  <c r="B22" i="2" s="1"/>
  <c r="S22" i="2"/>
  <c r="C22" i="2" s="1"/>
  <c r="R23" i="2"/>
  <c r="B23" i="2" s="1"/>
  <c r="S23" i="2"/>
  <c r="C23" i="2" s="1"/>
  <c r="R24" i="2"/>
  <c r="B24" i="2" s="1"/>
  <c r="S24" i="2"/>
  <c r="C24" i="2" s="1"/>
  <c r="R25" i="2"/>
  <c r="B25" i="2" s="1"/>
  <c r="S25" i="2"/>
  <c r="C25" i="2" s="1"/>
  <c r="R26" i="2"/>
  <c r="B26" i="2" s="1"/>
  <c r="S26" i="2"/>
  <c r="C26" i="2" s="1"/>
  <c r="R27" i="2"/>
  <c r="B27" i="2" s="1"/>
  <c r="S27" i="2"/>
  <c r="C27" i="2" s="1"/>
  <c r="R28" i="2"/>
  <c r="B28" i="2" s="1"/>
  <c r="S28" i="2"/>
  <c r="C28" i="2" s="1"/>
  <c r="R29" i="2"/>
  <c r="B29" i="2" s="1"/>
  <c r="S29" i="2"/>
  <c r="C29" i="2" s="1"/>
  <c r="R30" i="2"/>
  <c r="B30" i="2" s="1"/>
  <c r="S30" i="2"/>
  <c r="C30" i="2" s="1"/>
  <c r="R31" i="2"/>
  <c r="B31" i="2" s="1"/>
  <c r="S31" i="2"/>
  <c r="C31" i="2" s="1"/>
  <c r="R32" i="2"/>
  <c r="B32" i="2" s="1"/>
  <c r="S32" i="2"/>
  <c r="C32" i="2" s="1"/>
  <c r="R33" i="2"/>
  <c r="B33" i="2" s="1"/>
  <c r="S33" i="2"/>
  <c r="C33" i="2" s="1"/>
  <c r="R34" i="2"/>
  <c r="B34" i="2" s="1"/>
  <c r="S34" i="2"/>
  <c r="C34" i="2" s="1"/>
  <c r="R35" i="2"/>
  <c r="B35" i="2" s="1"/>
  <c r="S35" i="2"/>
  <c r="C35" i="2" s="1"/>
  <c r="R36" i="2"/>
  <c r="B36" i="2" s="1"/>
  <c r="S36" i="2"/>
  <c r="C36" i="2" s="1"/>
  <c r="R37" i="2"/>
  <c r="B37" i="2" s="1"/>
  <c r="S37" i="2"/>
  <c r="C37" i="2" s="1"/>
  <c r="R38" i="2"/>
  <c r="B38" i="2" s="1"/>
  <c r="S38" i="2"/>
  <c r="C38" i="2" s="1"/>
  <c r="R39" i="2"/>
  <c r="B39" i="2" s="1"/>
  <c r="S39" i="2"/>
  <c r="C39" i="2" s="1"/>
  <c r="R40" i="2"/>
  <c r="B40" i="2" s="1"/>
  <c r="S40" i="2"/>
  <c r="C40" i="2" s="1"/>
  <c r="R41" i="2"/>
  <c r="B41" i="2" s="1"/>
  <c r="S41" i="2"/>
  <c r="C41" i="2" s="1"/>
  <c r="R42" i="2"/>
  <c r="B42" i="2" s="1"/>
  <c r="S42" i="2"/>
  <c r="C42" i="2" s="1"/>
  <c r="R43" i="2"/>
  <c r="B43" i="2" s="1"/>
  <c r="S43" i="2"/>
  <c r="C43" i="2" s="1"/>
  <c r="R44" i="2"/>
  <c r="B44" i="2" s="1"/>
  <c r="S44" i="2"/>
  <c r="C44" i="2" s="1"/>
  <c r="R45" i="2"/>
  <c r="B45" i="2" s="1"/>
  <c r="S45" i="2"/>
  <c r="C45" i="2" s="1"/>
  <c r="R46" i="2"/>
  <c r="B46" i="2" s="1"/>
  <c r="S46" i="2"/>
  <c r="C46" i="2" s="1"/>
  <c r="R47" i="2"/>
  <c r="B47" i="2" s="1"/>
  <c r="S47" i="2"/>
  <c r="C47" i="2" s="1"/>
  <c r="R48" i="2"/>
  <c r="B48" i="2" s="1"/>
  <c r="S48" i="2"/>
  <c r="C48" i="2" s="1"/>
  <c r="R49" i="2"/>
  <c r="B49" i="2" s="1"/>
  <c r="S49" i="2"/>
  <c r="C49" i="2" s="1"/>
  <c r="R50" i="2"/>
  <c r="B50" i="2" s="1"/>
  <c r="S50" i="2"/>
  <c r="C50" i="2" s="1"/>
  <c r="R51" i="2"/>
  <c r="B51" i="2" s="1"/>
  <c r="S51" i="2"/>
  <c r="C51" i="2" s="1"/>
  <c r="R52" i="2"/>
  <c r="B52" i="2" s="1"/>
  <c r="S52" i="2"/>
  <c r="C52" i="2" s="1"/>
  <c r="R53" i="2"/>
  <c r="B53" i="2" s="1"/>
  <c r="S53" i="2"/>
  <c r="C53" i="2" s="1"/>
  <c r="R54" i="2"/>
  <c r="B54" i="2" s="1"/>
  <c r="S54" i="2"/>
  <c r="C54" i="2" s="1"/>
  <c r="R55" i="2"/>
  <c r="B55" i="2" s="1"/>
  <c r="S55" i="2"/>
  <c r="C55" i="2" s="1"/>
  <c r="R56" i="2"/>
  <c r="B56" i="2" s="1"/>
  <c r="S56" i="2"/>
  <c r="C56" i="2" s="1"/>
  <c r="R57" i="2"/>
  <c r="B57" i="2" s="1"/>
  <c r="S57" i="2"/>
  <c r="C57" i="2" s="1"/>
  <c r="R58" i="2"/>
  <c r="B58" i="2" s="1"/>
  <c r="S58" i="2"/>
  <c r="C58" i="2" s="1"/>
  <c r="R59" i="2"/>
  <c r="B59" i="2" s="1"/>
  <c r="S59" i="2"/>
  <c r="C59" i="2" s="1"/>
  <c r="R60" i="2"/>
  <c r="B60" i="2" s="1"/>
  <c r="S60" i="2"/>
  <c r="C60" i="2" s="1"/>
  <c r="R61" i="2"/>
  <c r="B61" i="2" s="1"/>
  <c r="S61" i="2"/>
  <c r="C61" i="2" s="1"/>
  <c r="R62" i="2"/>
  <c r="B62" i="2" s="1"/>
  <c r="S62" i="2"/>
  <c r="C62" i="2" s="1"/>
  <c r="R63" i="2"/>
  <c r="B63" i="2" s="1"/>
  <c r="S63" i="2"/>
  <c r="C63" i="2" s="1"/>
  <c r="R64" i="2"/>
  <c r="B64" i="2" s="1"/>
  <c r="S64" i="2"/>
  <c r="C64" i="2" s="1"/>
  <c r="R65" i="2"/>
  <c r="B65" i="2" s="1"/>
  <c r="S65" i="2"/>
  <c r="C65" i="2" s="1"/>
  <c r="R66" i="2"/>
  <c r="B66" i="2" s="1"/>
  <c r="S66" i="2"/>
  <c r="C66" i="2" s="1"/>
  <c r="R67" i="2"/>
  <c r="B67" i="2" s="1"/>
  <c r="S67" i="2"/>
  <c r="C67" i="2" s="1"/>
  <c r="R68" i="2"/>
  <c r="B68" i="2" s="1"/>
  <c r="S68" i="2"/>
  <c r="C68" i="2" s="1"/>
  <c r="R69" i="2"/>
  <c r="B69" i="2" s="1"/>
  <c r="S69" i="2"/>
  <c r="C69" i="2" s="1"/>
  <c r="R70" i="2"/>
  <c r="B70" i="2" s="1"/>
  <c r="S70" i="2"/>
  <c r="C70" i="2" s="1"/>
  <c r="R71" i="2"/>
  <c r="B71" i="2" s="1"/>
  <c r="S71" i="2"/>
  <c r="C71" i="2" s="1"/>
  <c r="R72" i="2"/>
  <c r="B72" i="2" s="1"/>
  <c r="S72" i="2"/>
  <c r="C72" i="2" s="1"/>
  <c r="R73" i="2"/>
  <c r="B73" i="2" s="1"/>
  <c r="S73" i="2"/>
  <c r="C73" i="2" s="1"/>
  <c r="R74" i="2"/>
  <c r="B74" i="2" s="1"/>
  <c r="S74" i="2"/>
  <c r="C74" i="2" s="1"/>
  <c r="R75" i="2"/>
  <c r="B75" i="2" s="1"/>
  <c r="S75" i="2"/>
  <c r="C75" i="2" s="1"/>
  <c r="R76" i="2"/>
  <c r="B76" i="2" s="1"/>
  <c r="S76" i="2"/>
  <c r="C76" i="2" s="1"/>
  <c r="R77" i="2"/>
  <c r="B77" i="2" s="1"/>
  <c r="S77" i="2"/>
  <c r="C77" i="2" s="1"/>
  <c r="R78" i="2"/>
  <c r="B78" i="2" s="1"/>
  <c r="S78" i="2"/>
  <c r="C78" i="2" s="1"/>
  <c r="R79" i="2"/>
  <c r="B79" i="2" s="1"/>
  <c r="S79" i="2"/>
  <c r="C79" i="2" s="1"/>
  <c r="R80" i="2"/>
  <c r="B80" i="2" s="1"/>
  <c r="S80" i="2"/>
  <c r="C80" i="2" s="1"/>
  <c r="R81" i="2"/>
  <c r="B81" i="2" s="1"/>
  <c r="S81" i="2"/>
  <c r="C81" i="2" s="1"/>
  <c r="R82" i="2"/>
  <c r="B82" i="2" s="1"/>
  <c r="S82" i="2"/>
  <c r="C82" i="2" s="1"/>
  <c r="R83" i="2"/>
  <c r="B83" i="2" s="1"/>
  <c r="S83" i="2"/>
  <c r="C83" i="2" s="1"/>
  <c r="R84" i="2"/>
  <c r="B84" i="2" s="1"/>
  <c r="S84" i="2"/>
  <c r="C84" i="2" s="1"/>
  <c r="R85" i="2"/>
  <c r="B85" i="2" s="1"/>
  <c r="S85" i="2"/>
  <c r="C85" i="2" s="1"/>
  <c r="R86" i="2"/>
  <c r="B86" i="2" s="1"/>
  <c r="S86" i="2"/>
  <c r="C86" i="2" s="1"/>
  <c r="R87" i="2"/>
  <c r="B87" i="2" s="1"/>
  <c r="S87" i="2"/>
  <c r="C87" i="2" s="1"/>
  <c r="R88" i="2"/>
  <c r="B88" i="2" s="1"/>
  <c r="S88" i="2"/>
  <c r="C88" i="2" s="1"/>
  <c r="R89" i="2"/>
  <c r="B89" i="2" s="1"/>
  <c r="S89" i="2"/>
  <c r="C89" i="2" s="1"/>
  <c r="R90" i="2"/>
  <c r="B90" i="2" s="1"/>
  <c r="S90" i="2"/>
  <c r="C90" i="2" s="1"/>
  <c r="R91" i="2"/>
  <c r="B91" i="2" s="1"/>
  <c r="S91" i="2"/>
  <c r="C91" i="2" s="1"/>
  <c r="R92" i="2"/>
  <c r="B92" i="2" s="1"/>
  <c r="S92" i="2"/>
  <c r="C92" i="2" s="1"/>
  <c r="R93" i="2"/>
  <c r="B93" i="2" s="1"/>
  <c r="S93" i="2"/>
  <c r="C93" i="2" s="1"/>
  <c r="R94" i="2"/>
  <c r="B94" i="2" s="1"/>
  <c r="S94" i="2"/>
  <c r="C94" i="2" s="1"/>
  <c r="R95" i="2"/>
  <c r="B95" i="2" s="1"/>
  <c r="S95" i="2"/>
  <c r="C95" i="2" s="1"/>
  <c r="R96" i="2"/>
  <c r="B96" i="2" s="1"/>
  <c r="S96" i="2"/>
  <c r="C96" i="2" s="1"/>
  <c r="R97" i="2"/>
  <c r="B97" i="2" s="1"/>
  <c r="S97" i="2"/>
  <c r="C97" i="2" s="1"/>
  <c r="R98" i="2"/>
  <c r="B98" i="2" s="1"/>
  <c r="S98" i="2"/>
  <c r="C98" i="2" s="1"/>
  <c r="R99" i="2"/>
  <c r="B99" i="2" s="1"/>
  <c r="S99" i="2"/>
  <c r="C99" i="2" s="1"/>
  <c r="R100" i="2"/>
  <c r="B100" i="2" s="1"/>
  <c r="S100" i="2"/>
  <c r="C100" i="2" s="1"/>
  <c r="R101" i="2"/>
  <c r="B101" i="2" s="1"/>
  <c r="S101" i="2"/>
  <c r="C101" i="2" s="1"/>
  <c r="R102" i="2"/>
  <c r="B102" i="2" s="1"/>
  <c r="S102" i="2"/>
  <c r="C102" i="2" s="1"/>
  <c r="R103" i="2"/>
  <c r="B103" i="2" s="1"/>
  <c r="S103" i="2"/>
  <c r="C103" i="2" s="1"/>
  <c r="R104" i="2"/>
  <c r="B104" i="2" s="1"/>
  <c r="S104" i="2"/>
  <c r="C104" i="2" s="1"/>
  <c r="R105" i="2"/>
  <c r="B105" i="2" s="1"/>
  <c r="S105" i="2"/>
  <c r="C105" i="2" s="1"/>
  <c r="R106" i="2"/>
  <c r="B106" i="2" s="1"/>
  <c r="S106" i="2"/>
  <c r="C106" i="2" s="1"/>
  <c r="R107" i="2"/>
  <c r="B107" i="2" s="1"/>
  <c r="S107" i="2"/>
  <c r="C107" i="2" s="1"/>
  <c r="R108" i="2"/>
  <c r="B108" i="2" s="1"/>
  <c r="S108" i="2"/>
  <c r="C108" i="2" s="1"/>
  <c r="R109" i="2"/>
  <c r="B109" i="2" s="1"/>
  <c r="S109" i="2"/>
  <c r="C109" i="2" s="1"/>
  <c r="R110" i="2"/>
  <c r="B110" i="2" s="1"/>
  <c r="S110" i="2"/>
  <c r="C110" i="2" s="1"/>
  <c r="R111" i="2"/>
  <c r="B111" i="2" s="1"/>
  <c r="S111" i="2"/>
  <c r="C111" i="2" s="1"/>
  <c r="R112" i="2"/>
  <c r="B112" i="2" s="1"/>
  <c r="S112" i="2"/>
  <c r="C112" i="2" s="1"/>
  <c r="R113" i="2"/>
  <c r="B113" i="2" s="1"/>
  <c r="S113" i="2"/>
  <c r="C113" i="2" s="1"/>
  <c r="R114" i="2"/>
  <c r="B114" i="2" s="1"/>
  <c r="S114" i="2"/>
  <c r="C114" i="2" s="1"/>
  <c r="R115" i="2"/>
  <c r="B115" i="2" s="1"/>
  <c r="S115" i="2"/>
  <c r="C115" i="2" s="1"/>
  <c r="R116" i="2"/>
  <c r="B116" i="2" s="1"/>
  <c r="S116" i="2"/>
  <c r="C116" i="2" s="1"/>
  <c r="R117" i="2"/>
  <c r="B117" i="2" s="1"/>
  <c r="S117" i="2"/>
  <c r="C117" i="2" s="1"/>
  <c r="R118" i="2"/>
  <c r="B118" i="2" s="1"/>
  <c r="S118" i="2"/>
  <c r="C118" i="2" s="1"/>
  <c r="R119" i="2"/>
  <c r="B119" i="2" s="1"/>
  <c r="S119" i="2"/>
  <c r="C119" i="2" s="1"/>
  <c r="R120" i="2"/>
  <c r="B120" i="2" s="1"/>
  <c r="S120" i="2"/>
  <c r="C120" i="2" s="1"/>
  <c r="R121" i="2"/>
  <c r="B121" i="2" s="1"/>
  <c r="S121" i="2"/>
  <c r="C121" i="2" s="1"/>
  <c r="R122" i="2"/>
  <c r="B122" i="2" s="1"/>
  <c r="S122" i="2"/>
  <c r="C122" i="2" s="1"/>
  <c r="R123" i="2"/>
  <c r="B123" i="2" s="1"/>
  <c r="S123" i="2"/>
  <c r="C123" i="2" s="1"/>
  <c r="R124" i="2"/>
  <c r="B124" i="2" s="1"/>
  <c r="S124" i="2"/>
  <c r="C124" i="2" s="1"/>
  <c r="R125" i="2"/>
  <c r="B125" i="2" s="1"/>
  <c r="S125" i="2"/>
  <c r="C125" i="2" s="1"/>
  <c r="R126" i="2"/>
  <c r="B126" i="2" s="1"/>
  <c r="S126" i="2"/>
  <c r="C126" i="2" s="1"/>
  <c r="R127" i="2"/>
  <c r="B127" i="2" s="1"/>
  <c r="S127" i="2"/>
  <c r="C127" i="2" s="1"/>
  <c r="R128" i="2"/>
  <c r="B128" i="2" s="1"/>
  <c r="S128" i="2"/>
  <c r="C128" i="2" s="1"/>
  <c r="R129" i="2"/>
  <c r="B129" i="2" s="1"/>
  <c r="S129" i="2"/>
  <c r="C129" i="2" s="1"/>
  <c r="R130" i="2"/>
  <c r="B130" i="2" s="1"/>
  <c r="S130" i="2"/>
  <c r="C130" i="2" s="1"/>
  <c r="R131" i="2"/>
  <c r="B131" i="2" s="1"/>
  <c r="S131" i="2"/>
  <c r="C131" i="2" s="1"/>
  <c r="R132" i="2"/>
  <c r="B132" i="2" s="1"/>
  <c r="S132" i="2"/>
  <c r="C132" i="2" s="1"/>
  <c r="R133" i="2"/>
  <c r="B133" i="2" s="1"/>
  <c r="S133" i="2"/>
  <c r="C133" i="2" s="1"/>
  <c r="R134" i="2"/>
  <c r="B134" i="2" s="1"/>
  <c r="S134" i="2"/>
  <c r="C134" i="2" s="1"/>
  <c r="R135" i="2"/>
  <c r="B135" i="2" s="1"/>
  <c r="S135" i="2"/>
  <c r="C135" i="2" s="1"/>
  <c r="R136" i="2"/>
  <c r="B136" i="2" s="1"/>
  <c r="S136" i="2"/>
  <c r="C136" i="2" s="1"/>
  <c r="R137" i="2"/>
  <c r="B137" i="2" s="1"/>
  <c r="S137" i="2"/>
  <c r="C137" i="2" s="1"/>
  <c r="R138" i="2"/>
  <c r="B138" i="2" s="1"/>
  <c r="S138" i="2"/>
  <c r="C138" i="2" s="1"/>
  <c r="R139" i="2"/>
  <c r="B139" i="2" s="1"/>
  <c r="S139" i="2"/>
  <c r="C139" i="2" s="1"/>
  <c r="R140" i="2"/>
  <c r="B140" i="2" s="1"/>
  <c r="S140" i="2"/>
  <c r="C140" i="2" s="1"/>
  <c r="R141" i="2"/>
  <c r="B141" i="2" s="1"/>
  <c r="S141" i="2"/>
  <c r="C141" i="2" s="1"/>
  <c r="R142" i="2"/>
  <c r="B142" i="2" s="1"/>
  <c r="S142" i="2"/>
  <c r="C142" i="2" s="1"/>
  <c r="R143" i="2"/>
  <c r="B143" i="2" s="1"/>
  <c r="S143" i="2"/>
  <c r="C143" i="2" s="1"/>
  <c r="R144" i="2"/>
  <c r="B144" i="2" s="1"/>
  <c r="S144" i="2"/>
  <c r="C144" i="2" s="1"/>
  <c r="R145" i="2"/>
  <c r="B145" i="2" s="1"/>
  <c r="S145" i="2"/>
  <c r="C145" i="2" s="1"/>
  <c r="R146" i="2"/>
  <c r="B146" i="2" s="1"/>
  <c r="S146" i="2"/>
  <c r="C146" i="2" s="1"/>
  <c r="R147" i="2"/>
  <c r="B147" i="2" s="1"/>
  <c r="S147" i="2"/>
  <c r="C147" i="2" s="1"/>
  <c r="R148" i="2"/>
  <c r="B148" i="2" s="1"/>
  <c r="S148" i="2"/>
  <c r="C148" i="2" s="1"/>
  <c r="R149" i="2"/>
  <c r="B149" i="2" s="1"/>
  <c r="S149" i="2"/>
  <c r="C149" i="2" s="1"/>
  <c r="R150" i="2"/>
  <c r="B150" i="2" s="1"/>
  <c r="S150" i="2"/>
  <c r="C150" i="2" s="1"/>
  <c r="R151" i="2"/>
  <c r="B151" i="2" s="1"/>
  <c r="S151" i="2"/>
  <c r="C151" i="2" s="1"/>
  <c r="R152" i="2"/>
  <c r="B152" i="2" s="1"/>
  <c r="S152" i="2"/>
  <c r="C152" i="2" s="1"/>
  <c r="R153" i="2"/>
  <c r="B153" i="2" s="1"/>
  <c r="S153" i="2"/>
  <c r="C153" i="2" s="1"/>
  <c r="R154" i="2"/>
  <c r="B154" i="2" s="1"/>
  <c r="S154" i="2"/>
  <c r="C154" i="2" s="1"/>
  <c r="R155" i="2"/>
  <c r="B155" i="2" s="1"/>
  <c r="S155" i="2"/>
  <c r="C155" i="2" s="1"/>
  <c r="R156" i="2"/>
  <c r="B156" i="2" s="1"/>
  <c r="S156" i="2"/>
  <c r="C156" i="2" s="1"/>
  <c r="R157" i="2"/>
  <c r="B157" i="2" s="1"/>
  <c r="S157" i="2"/>
  <c r="C157" i="2" s="1"/>
  <c r="R158" i="2"/>
  <c r="B158" i="2" s="1"/>
  <c r="S158" i="2"/>
  <c r="C158" i="2" s="1"/>
  <c r="R159" i="2"/>
  <c r="B159" i="2" s="1"/>
  <c r="S159" i="2"/>
  <c r="C159" i="2" s="1"/>
  <c r="R160" i="2"/>
  <c r="B160" i="2" s="1"/>
  <c r="S160" i="2"/>
  <c r="C160" i="2" s="1"/>
  <c r="R161" i="2"/>
  <c r="B161" i="2" s="1"/>
  <c r="S161" i="2"/>
  <c r="C161" i="2" s="1"/>
  <c r="R162" i="2"/>
  <c r="B162" i="2" s="1"/>
  <c r="S162" i="2"/>
  <c r="C162" i="2" s="1"/>
  <c r="R163" i="2"/>
  <c r="B163" i="2" s="1"/>
  <c r="S163" i="2"/>
  <c r="C163" i="2" s="1"/>
  <c r="R164" i="2"/>
  <c r="B164" i="2" s="1"/>
  <c r="S164" i="2"/>
  <c r="C164" i="2" s="1"/>
  <c r="R165" i="2"/>
  <c r="B165" i="2" s="1"/>
  <c r="S165" i="2"/>
  <c r="C165" i="2" s="1"/>
  <c r="R166" i="2"/>
  <c r="B166" i="2" s="1"/>
  <c r="S166" i="2"/>
  <c r="C166" i="2" s="1"/>
  <c r="R167" i="2"/>
  <c r="B167" i="2" s="1"/>
  <c r="S167" i="2"/>
  <c r="C167" i="2" s="1"/>
  <c r="R168" i="2"/>
  <c r="B168" i="2" s="1"/>
  <c r="S168" i="2"/>
  <c r="C168" i="2" s="1"/>
  <c r="R169" i="2"/>
  <c r="B169" i="2" s="1"/>
  <c r="S169" i="2"/>
  <c r="C169" i="2" s="1"/>
  <c r="R170" i="2"/>
  <c r="B170" i="2" s="1"/>
  <c r="S170" i="2"/>
  <c r="C170" i="2" s="1"/>
  <c r="R171" i="2"/>
  <c r="B171" i="2" s="1"/>
  <c r="S171" i="2"/>
  <c r="C171" i="2" s="1"/>
  <c r="R172" i="2"/>
  <c r="B172" i="2" s="1"/>
  <c r="S172" i="2"/>
  <c r="C172" i="2" s="1"/>
  <c r="R173" i="2"/>
  <c r="B173" i="2" s="1"/>
  <c r="S173" i="2"/>
  <c r="C173" i="2" s="1"/>
  <c r="R174" i="2"/>
  <c r="B174" i="2" s="1"/>
  <c r="S174" i="2"/>
  <c r="C174" i="2" s="1"/>
  <c r="R175" i="2"/>
  <c r="B175" i="2" s="1"/>
  <c r="S175" i="2"/>
  <c r="C175" i="2" s="1"/>
  <c r="R176" i="2"/>
  <c r="B176" i="2" s="1"/>
  <c r="S176" i="2"/>
  <c r="C176" i="2" s="1"/>
  <c r="R177" i="2"/>
  <c r="B177" i="2" s="1"/>
  <c r="S177" i="2"/>
  <c r="C177" i="2" s="1"/>
  <c r="R178" i="2"/>
  <c r="B178" i="2" s="1"/>
  <c r="S178" i="2"/>
  <c r="C178" i="2" s="1"/>
  <c r="R179" i="2"/>
  <c r="B179" i="2" s="1"/>
  <c r="S179" i="2"/>
  <c r="C179" i="2" s="1"/>
  <c r="R180" i="2"/>
  <c r="B180" i="2" s="1"/>
  <c r="S180" i="2"/>
  <c r="C180" i="2" s="1"/>
  <c r="R181" i="2"/>
  <c r="B181" i="2" s="1"/>
  <c r="S181" i="2"/>
  <c r="C181" i="2" s="1"/>
  <c r="R182" i="2"/>
  <c r="B182" i="2" s="1"/>
  <c r="S182" i="2"/>
  <c r="C182" i="2" s="1"/>
  <c r="R183" i="2"/>
  <c r="B183" i="2" s="1"/>
  <c r="S183" i="2"/>
  <c r="C183" i="2" s="1"/>
  <c r="R184" i="2"/>
  <c r="B184" i="2" s="1"/>
  <c r="S184" i="2"/>
  <c r="C184" i="2" s="1"/>
  <c r="R185" i="2"/>
  <c r="B185" i="2" s="1"/>
  <c r="S185" i="2"/>
  <c r="C185" i="2" s="1"/>
  <c r="R186" i="2"/>
  <c r="B186" i="2" s="1"/>
  <c r="S186" i="2"/>
  <c r="C186" i="2" s="1"/>
  <c r="R187" i="2"/>
  <c r="B187" i="2" s="1"/>
  <c r="S187" i="2"/>
  <c r="C187" i="2" s="1"/>
  <c r="R188" i="2"/>
  <c r="B188" i="2" s="1"/>
  <c r="S188" i="2"/>
  <c r="C188" i="2" s="1"/>
  <c r="R189" i="2"/>
  <c r="B189" i="2" s="1"/>
  <c r="S189" i="2"/>
  <c r="C189" i="2" s="1"/>
  <c r="R190" i="2"/>
  <c r="B190" i="2" s="1"/>
  <c r="S190" i="2"/>
  <c r="C190" i="2" s="1"/>
  <c r="R191" i="2"/>
  <c r="B191" i="2" s="1"/>
  <c r="S191" i="2"/>
  <c r="C191" i="2" s="1"/>
  <c r="R192" i="2"/>
  <c r="B192" i="2" s="1"/>
  <c r="S192" i="2"/>
  <c r="C192" i="2" s="1"/>
  <c r="R193" i="2"/>
  <c r="B193" i="2" s="1"/>
  <c r="S193" i="2"/>
  <c r="C193" i="2" s="1"/>
  <c r="R194" i="2"/>
  <c r="B194" i="2" s="1"/>
  <c r="S194" i="2"/>
  <c r="C194" i="2" s="1"/>
  <c r="R195" i="2"/>
  <c r="B195" i="2" s="1"/>
  <c r="S195" i="2"/>
  <c r="C195" i="2" s="1"/>
  <c r="R196" i="2"/>
  <c r="B196" i="2" s="1"/>
  <c r="S196" i="2"/>
  <c r="C196" i="2" s="1"/>
  <c r="R197" i="2"/>
  <c r="B197" i="2" s="1"/>
  <c r="S197" i="2"/>
  <c r="C197" i="2" s="1"/>
  <c r="R198" i="2"/>
  <c r="B198" i="2" s="1"/>
  <c r="S198" i="2"/>
  <c r="C198" i="2" s="1"/>
  <c r="R199" i="2"/>
  <c r="B199" i="2" s="1"/>
  <c r="S199" i="2"/>
  <c r="C199" i="2" s="1"/>
  <c r="R200" i="2"/>
  <c r="B200" i="2" s="1"/>
  <c r="S200" i="2"/>
  <c r="C200" i="2" s="1"/>
  <c r="R201" i="2"/>
  <c r="B201" i="2" s="1"/>
  <c r="S201" i="2"/>
  <c r="C201" i="2" s="1"/>
  <c r="R202" i="2"/>
  <c r="B202" i="2" s="1"/>
  <c r="S202" i="2"/>
  <c r="C202" i="2" s="1"/>
  <c r="R203" i="2"/>
  <c r="B203" i="2" s="1"/>
  <c r="S203" i="2"/>
  <c r="C203" i="2" s="1"/>
  <c r="R204" i="2"/>
  <c r="B204" i="2" s="1"/>
  <c r="S204" i="2"/>
  <c r="C204" i="2" s="1"/>
  <c r="R205" i="2"/>
  <c r="B205" i="2" s="1"/>
  <c r="S205" i="2"/>
  <c r="C205" i="2" s="1"/>
  <c r="R206" i="2"/>
  <c r="B206" i="2" s="1"/>
  <c r="S206" i="2"/>
  <c r="C206" i="2" s="1"/>
  <c r="R207" i="2"/>
  <c r="B207" i="2" s="1"/>
  <c r="S207" i="2"/>
  <c r="C207" i="2" s="1"/>
  <c r="R208" i="2"/>
  <c r="B208" i="2" s="1"/>
  <c r="S208" i="2"/>
  <c r="C208" i="2" s="1"/>
  <c r="R209" i="2"/>
  <c r="B209" i="2" s="1"/>
  <c r="S209" i="2"/>
  <c r="C209" i="2" s="1"/>
  <c r="R210" i="2"/>
  <c r="B210" i="2" s="1"/>
  <c r="S210" i="2"/>
  <c r="C210" i="2" s="1"/>
  <c r="R211" i="2"/>
  <c r="B211" i="2" s="1"/>
  <c r="S211" i="2"/>
  <c r="C211" i="2" s="1"/>
  <c r="R212" i="2"/>
  <c r="B212" i="2" s="1"/>
  <c r="S212" i="2"/>
  <c r="C212" i="2" s="1"/>
  <c r="R213" i="2"/>
  <c r="B213" i="2" s="1"/>
  <c r="S213" i="2"/>
  <c r="C213" i="2" s="1"/>
  <c r="R214" i="2"/>
  <c r="B214" i="2" s="1"/>
  <c r="S214" i="2"/>
  <c r="C214" i="2" s="1"/>
  <c r="R215" i="2"/>
  <c r="B215" i="2" s="1"/>
  <c r="S215" i="2"/>
  <c r="C215" i="2" s="1"/>
  <c r="R216" i="2"/>
  <c r="B216" i="2" s="1"/>
  <c r="S216" i="2"/>
  <c r="C216" i="2" s="1"/>
  <c r="R217" i="2"/>
  <c r="B217" i="2" s="1"/>
  <c r="S217" i="2"/>
  <c r="C217" i="2" s="1"/>
  <c r="R218" i="2"/>
  <c r="B218" i="2" s="1"/>
  <c r="S218" i="2"/>
  <c r="C218" i="2" s="1"/>
  <c r="R219" i="2"/>
  <c r="B219" i="2" s="1"/>
  <c r="S219" i="2"/>
  <c r="C219" i="2" s="1"/>
  <c r="R220" i="2"/>
  <c r="B220" i="2" s="1"/>
  <c r="S220" i="2"/>
  <c r="C220" i="2" s="1"/>
  <c r="R221" i="2"/>
  <c r="B221" i="2" s="1"/>
  <c r="S221" i="2"/>
  <c r="C221" i="2" s="1"/>
  <c r="R222" i="2"/>
  <c r="B222" i="2" s="1"/>
  <c r="S222" i="2"/>
  <c r="C222" i="2" s="1"/>
  <c r="R223" i="2"/>
  <c r="B223" i="2" s="1"/>
  <c r="S223" i="2"/>
  <c r="C223" i="2" s="1"/>
  <c r="R224" i="2"/>
  <c r="B224" i="2" s="1"/>
  <c r="S224" i="2"/>
  <c r="C224" i="2" s="1"/>
  <c r="R225" i="2"/>
  <c r="B225" i="2" s="1"/>
  <c r="S225" i="2"/>
  <c r="C225" i="2" s="1"/>
  <c r="R226" i="2"/>
  <c r="B226" i="2" s="1"/>
  <c r="S226" i="2"/>
  <c r="C226" i="2" s="1"/>
  <c r="R227" i="2"/>
  <c r="B227" i="2" s="1"/>
  <c r="S227" i="2"/>
  <c r="C227" i="2" s="1"/>
  <c r="R228" i="2"/>
  <c r="B228" i="2" s="1"/>
  <c r="S228" i="2"/>
  <c r="C228" i="2" s="1"/>
  <c r="R229" i="2"/>
  <c r="B229" i="2" s="1"/>
  <c r="S229" i="2"/>
  <c r="C229" i="2" s="1"/>
  <c r="R230" i="2"/>
  <c r="B230" i="2" s="1"/>
  <c r="S230" i="2"/>
  <c r="C230" i="2" s="1"/>
  <c r="R231" i="2"/>
  <c r="B231" i="2" s="1"/>
  <c r="S231" i="2"/>
  <c r="C231" i="2" s="1"/>
  <c r="R232" i="2"/>
  <c r="B232" i="2" s="1"/>
  <c r="S232" i="2"/>
  <c r="C232" i="2" s="1"/>
  <c r="R233" i="2"/>
  <c r="B233" i="2" s="1"/>
  <c r="S233" i="2"/>
  <c r="C233" i="2" s="1"/>
  <c r="R234" i="2"/>
  <c r="B234" i="2" s="1"/>
  <c r="S234" i="2"/>
  <c r="C234" i="2" s="1"/>
  <c r="R235" i="2"/>
  <c r="B235" i="2" s="1"/>
  <c r="S235" i="2"/>
  <c r="C235" i="2" s="1"/>
  <c r="R236" i="2"/>
  <c r="B236" i="2" s="1"/>
  <c r="S236" i="2"/>
  <c r="C236" i="2" s="1"/>
  <c r="R237" i="2"/>
  <c r="B237" i="2" s="1"/>
  <c r="S237" i="2"/>
  <c r="C237" i="2" s="1"/>
  <c r="R238" i="2"/>
  <c r="B238" i="2" s="1"/>
  <c r="S238" i="2"/>
  <c r="C238" i="2" s="1"/>
  <c r="R239" i="2"/>
  <c r="B239" i="2" s="1"/>
  <c r="S239" i="2"/>
  <c r="C239" i="2" s="1"/>
  <c r="R240" i="2"/>
  <c r="B240" i="2" s="1"/>
  <c r="S240" i="2"/>
  <c r="C240" i="2" s="1"/>
  <c r="R241" i="2"/>
  <c r="B241" i="2" s="1"/>
  <c r="S241" i="2"/>
  <c r="C241" i="2" s="1"/>
  <c r="R242" i="2"/>
  <c r="B242" i="2" s="1"/>
  <c r="S242" i="2"/>
  <c r="C242" i="2" s="1"/>
  <c r="R243" i="2"/>
  <c r="B243" i="2" s="1"/>
  <c r="S243" i="2"/>
  <c r="C243" i="2" s="1"/>
  <c r="R244" i="2"/>
  <c r="B244" i="2" s="1"/>
  <c r="S244" i="2"/>
  <c r="C244" i="2" s="1"/>
  <c r="R245" i="2"/>
  <c r="B245" i="2" s="1"/>
  <c r="S245" i="2"/>
  <c r="C245" i="2" s="1"/>
  <c r="R246" i="2"/>
  <c r="B246" i="2" s="1"/>
  <c r="S246" i="2"/>
  <c r="C246" i="2" s="1"/>
  <c r="R247" i="2"/>
  <c r="B247" i="2" s="1"/>
  <c r="S247" i="2"/>
  <c r="C247" i="2" s="1"/>
  <c r="R248" i="2"/>
  <c r="B248" i="2" s="1"/>
  <c r="S248" i="2"/>
  <c r="C248" i="2" s="1"/>
  <c r="R249" i="2"/>
  <c r="B249" i="2" s="1"/>
  <c r="S249" i="2"/>
  <c r="C249" i="2" s="1"/>
  <c r="R250" i="2"/>
  <c r="B250" i="2" s="1"/>
  <c r="S250" i="2"/>
  <c r="C250" i="2" s="1"/>
  <c r="R251" i="2"/>
  <c r="B251" i="2" s="1"/>
  <c r="S251" i="2"/>
  <c r="C251" i="2" s="1"/>
  <c r="R252" i="2"/>
  <c r="B252" i="2" s="1"/>
  <c r="S252" i="2"/>
  <c r="C252" i="2" s="1"/>
  <c r="R253" i="2"/>
  <c r="B253" i="2" s="1"/>
  <c r="S253" i="2"/>
  <c r="C253" i="2" s="1"/>
  <c r="R254" i="2"/>
  <c r="B254" i="2" s="1"/>
  <c r="S254" i="2"/>
  <c r="C254" i="2" s="1"/>
  <c r="R255" i="2"/>
  <c r="B255" i="2" s="1"/>
  <c r="S255" i="2"/>
  <c r="C255" i="2" s="1"/>
  <c r="R256" i="2"/>
  <c r="B256" i="2" s="1"/>
  <c r="S256" i="2"/>
  <c r="C256" i="2" s="1"/>
  <c r="R257" i="2"/>
  <c r="B257" i="2" s="1"/>
  <c r="S257" i="2"/>
  <c r="C257" i="2" s="1"/>
  <c r="R258" i="2"/>
  <c r="B258" i="2" s="1"/>
  <c r="S258" i="2"/>
  <c r="C258" i="2" s="1"/>
  <c r="R259" i="2"/>
  <c r="B259" i="2" s="1"/>
  <c r="S259" i="2"/>
  <c r="C259" i="2" s="1"/>
  <c r="R260" i="2"/>
  <c r="B260" i="2" s="1"/>
  <c r="S260" i="2"/>
  <c r="C260" i="2" s="1"/>
  <c r="R261" i="2"/>
  <c r="B261" i="2" s="1"/>
  <c r="S261" i="2"/>
  <c r="C261" i="2" s="1"/>
  <c r="R262" i="2"/>
  <c r="B262" i="2" s="1"/>
  <c r="S262" i="2"/>
  <c r="C262" i="2" s="1"/>
  <c r="R263" i="2"/>
  <c r="B263" i="2" s="1"/>
  <c r="S263" i="2"/>
  <c r="C263" i="2" s="1"/>
  <c r="R264" i="2"/>
  <c r="B264" i="2" s="1"/>
  <c r="S264" i="2"/>
  <c r="C264" i="2" s="1"/>
  <c r="R265" i="2"/>
  <c r="B265" i="2" s="1"/>
  <c r="S265" i="2"/>
  <c r="C265" i="2" s="1"/>
  <c r="R266" i="2"/>
  <c r="B266" i="2" s="1"/>
  <c r="S266" i="2"/>
  <c r="C266" i="2" s="1"/>
  <c r="R267" i="2"/>
  <c r="B267" i="2" s="1"/>
  <c r="S267" i="2"/>
  <c r="C267" i="2" s="1"/>
  <c r="R268" i="2"/>
  <c r="B268" i="2" s="1"/>
  <c r="S268" i="2"/>
  <c r="C268" i="2" s="1"/>
  <c r="R269" i="2"/>
  <c r="B269" i="2" s="1"/>
  <c r="S269" i="2"/>
  <c r="C269" i="2" s="1"/>
  <c r="R270" i="2"/>
  <c r="B270" i="2" s="1"/>
  <c r="S270" i="2"/>
  <c r="C270" i="2" s="1"/>
  <c r="R271" i="2"/>
  <c r="B271" i="2" s="1"/>
  <c r="S271" i="2"/>
  <c r="C271" i="2" s="1"/>
  <c r="R272" i="2"/>
  <c r="B272" i="2" s="1"/>
  <c r="S272" i="2"/>
  <c r="C272" i="2" s="1"/>
  <c r="R273" i="2"/>
  <c r="B273" i="2" s="1"/>
  <c r="S273" i="2"/>
  <c r="C273" i="2" s="1"/>
  <c r="R274" i="2"/>
  <c r="B274" i="2" s="1"/>
  <c r="S274" i="2"/>
  <c r="C274" i="2" s="1"/>
  <c r="R275" i="2"/>
  <c r="B275" i="2" s="1"/>
  <c r="S275" i="2"/>
  <c r="C275" i="2" s="1"/>
  <c r="R276" i="2"/>
  <c r="B276" i="2" s="1"/>
  <c r="S276" i="2"/>
  <c r="C276" i="2" s="1"/>
  <c r="R277" i="2"/>
  <c r="B277" i="2" s="1"/>
  <c r="S277" i="2"/>
  <c r="C277" i="2" s="1"/>
  <c r="R278" i="2"/>
  <c r="B278" i="2" s="1"/>
  <c r="S278" i="2"/>
  <c r="C278" i="2" s="1"/>
  <c r="R279" i="2"/>
  <c r="B279" i="2" s="1"/>
  <c r="S279" i="2"/>
  <c r="C279" i="2" s="1"/>
  <c r="R280" i="2"/>
  <c r="B280" i="2" s="1"/>
  <c r="S280" i="2"/>
  <c r="C280" i="2" s="1"/>
  <c r="R281" i="2"/>
  <c r="B281" i="2" s="1"/>
  <c r="S281" i="2"/>
  <c r="C281" i="2" s="1"/>
  <c r="R282" i="2"/>
  <c r="B282" i="2" s="1"/>
  <c r="S282" i="2"/>
  <c r="C282" i="2" s="1"/>
  <c r="R283" i="2"/>
  <c r="B283" i="2" s="1"/>
  <c r="S283" i="2"/>
  <c r="C283" i="2" s="1"/>
  <c r="R284" i="2"/>
  <c r="B284" i="2" s="1"/>
  <c r="S284" i="2"/>
  <c r="C284" i="2" s="1"/>
  <c r="R285" i="2"/>
  <c r="B285" i="2" s="1"/>
  <c r="S285" i="2"/>
  <c r="C285" i="2" s="1"/>
  <c r="R286" i="2"/>
  <c r="B286" i="2" s="1"/>
  <c r="S286" i="2"/>
  <c r="C286" i="2" s="1"/>
  <c r="R287" i="2"/>
  <c r="B287" i="2" s="1"/>
  <c r="S287" i="2"/>
  <c r="C287" i="2" s="1"/>
  <c r="R288" i="2"/>
  <c r="B288" i="2" s="1"/>
  <c r="S288" i="2"/>
  <c r="C288" i="2" s="1"/>
  <c r="R289" i="2"/>
  <c r="B289" i="2" s="1"/>
  <c r="S289" i="2"/>
  <c r="C289" i="2" s="1"/>
  <c r="R290" i="2"/>
  <c r="B290" i="2" s="1"/>
  <c r="S290" i="2"/>
  <c r="C290" i="2" s="1"/>
  <c r="R291" i="2"/>
  <c r="B291" i="2" s="1"/>
  <c r="S291" i="2"/>
  <c r="C291" i="2" s="1"/>
  <c r="R292" i="2"/>
  <c r="B292" i="2" s="1"/>
  <c r="S292" i="2"/>
  <c r="C292" i="2" s="1"/>
  <c r="R293" i="2"/>
  <c r="B293" i="2" s="1"/>
  <c r="S293" i="2"/>
  <c r="C293" i="2" s="1"/>
  <c r="R294" i="2"/>
  <c r="B294" i="2" s="1"/>
  <c r="S294" i="2"/>
  <c r="C294" i="2" s="1"/>
  <c r="R295" i="2"/>
  <c r="B295" i="2" s="1"/>
  <c r="S295" i="2"/>
  <c r="C295" i="2" s="1"/>
  <c r="R296" i="2"/>
  <c r="B296" i="2" s="1"/>
  <c r="S296" i="2"/>
  <c r="C296" i="2" s="1"/>
  <c r="R297" i="2"/>
  <c r="B297" i="2" s="1"/>
  <c r="S297" i="2"/>
  <c r="C297" i="2" s="1"/>
  <c r="R298" i="2"/>
  <c r="B298" i="2" s="1"/>
  <c r="S298" i="2"/>
  <c r="C298" i="2" s="1"/>
  <c r="R299" i="2"/>
  <c r="B299" i="2" s="1"/>
  <c r="S299" i="2"/>
  <c r="C299" i="2" s="1"/>
  <c r="R300" i="2"/>
  <c r="B300" i="2" s="1"/>
  <c r="S300" i="2"/>
  <c r="C300" i="2" s="1"/>
  <c r="R301" i="2"/>
  <c r="B301" i="2" s="1"/>
  <c r="S301" i="2"/>
  <c r="C301" i="2" s="1"/>
  <c r="R302" i="2"/>
  <c r="B302" i="2" s="1"/>
  <c r="S302" i="2"/>
  <c r="C302" i="2" s="1"/>
  <c r="R303" i="2"/>
  <c r="B303" i="2" s="1"/>
  <c r="S303" i="2"/>
  <c r="C303" i="2" s="1"/>
  <c r="R304" i="2"/>
  <c r="B304" i="2" s="1"/>
  <c r="S304" i="2"/>
  <c r="C304" i="2" s="1"/>
  <c r="R305" i="2"/>
  <c r="B305" i="2" s="1"/>
  <c r="S305" i="2"/>
  <c r="C305" i="2" s="1"/>
  <c r="R306" i="2"/>
  <c r="B306" i="2" s="1"/>
  <c r="S306" i="2"/>
  <c r="C306" i="2" s="1"/>
  <c r="R307" i="2"/>
  <c r="B307" i="2" s="1"/>
  <c r="S307" i="2"/>
  <c r="C307" i="2" s="1"/>
  <c r="R308" i="2"/>
  <c r="B308" i="2" s="1"/>
  <c r="S308" i="2"/>
  <c r="C308" i="2" s="1"/>
  <c r="R309" i="2"/>
  <c r="B309" i="2" s="1"/>
  <c r="S309" i="2"/>
  <c r="C309" i="2" s="1"/>
  <c r="R310" i="2"/>
  <c r="B310" i="2" s="1"/>
  <c r="S310" i="2"/>
  <c r="C310" i="2" s="1"/>
  <c r="R311" i="2"/>
  <c r="B311" i="2" s="1"/>
  <c r="S311" i="2"/>
  <c r="C311" i="2" s="1"/>
  <c r="R312" i="2"/>
  <c r="B312" i="2" s="1"/>
  <c r="S312" i="2"/>
  <c r="C312" i="2" s="1"/>
  <c r="R313" i="2"/>
  <c r="B313" i="2" s="1"/>
  <c r="S313" i="2"/>
  <c r="C313" i="2" s="1"/>
  <c r="R314" i="2"/>
  <c r="B314" i="2" s="1"/>
  <c r="S314" i="2"/>
  <c r="C314" i="2" s="1"/>
  <c r="R315" i="2"/>
  <c r="B315" i="2" s="1"/>
  <c r="S315" i="2"/>
  <c r="C315" i="2" s="1"/>
  <c r="R316" i="2"/>
  <c r="B316" i="2" s="1"/>
  <c r="S316" i="2"/>
  <c r="C316" i="2" s="1"/>
  <c r="R317" i="2"/>
  <c r="B317" i="2" s="1"/>
  <c r="S317" i="2"/>
  <c r="C317" i="2" s="1"/>
  <c r="R318" i="2"/>
  <c r="B318" i="2" s="1"/>
  <c r="S318" i="2"/>
  <c r="C318" i="2" s="1"/>
  <c r="R319" i="2"/>
  <c r="B319" i="2" s="1"/>
  <c r="S319" i="2"/>
  <c r="C319" i="2" s="1"/>
  <c r="R320" i="2"/>
  <c r="B320" i="2" s="1"/>
  <c r="S320" i="2"/>
  <c r="C320" i="2" s="1"/>
  <c r="R321" i="2"/>
  <c r="B321" i="2" s="1"/>
  <c r="S321" i="2"/>
  <c r="C321" i="2" s="1"/>
  <c r="R322" i="2"/>
  <c r="B322" i="2" s="1"/>
  <c r="S322" i="2"/>
  <c r="C322" i="2" s="1"/>
  <c r="R323" i="2"/>
  <c r="B323" i="2" s="1"/>
  <c r="S323" i="2"/>
  <c r="C323" i="2" s="1"/>
  <c r="R324" i="2"/>
  <c r="B324" i="2" s="1"/>
  <c r="S324" i="2"/>
  <c r="C324" i="2" s="1"/>
  <c r="R325" i="2"/>
  <c r="B325" i="2" s="1"/>
  <c r="S325" i="2"/>
  <c r="C325" i="2" s="1"/>
  <c r="R326" i="2"/>
  <c r="B326" i="2" s="1"/>
  <c r="S326" i="2"/>
  <c r="C326" i="2" s="1"/>
  <c r="R327" i="2"/>
  <c r="B327" i="2" s="1"/>
  <c r="S327" i="2"/>
  <c r="C327" i="2" s="1"/>
  <c r="R328" i="2"/>
  <c r="B328" i="2" s="1"/>
  <c r="S328" i="2"/>
  <c r="C328" i="2" s="1"/>
  <c r="R329" i="2"/>
  <c r="B329" i="2" s="1"/>
  <c r="S329" i="2"/>
  <c r="C329" i="2" s="1"/>
  <c r="R330" i="2"/>
  <c r="B330" i="2" s="1"/>
  <c r="S330" i="2"/>
  <c r="C330" i="2" s="1"/>
  <c r="R331" i="2"/>
  <c r="B331" i="2" s="1"/>
  <c r="S331" i="2"/>
  <c r="C331" i="2" s="1"/>
  <c r="R332" i="2"/>
  <c r="B332" i="2" s="1"/>
  <c r="S332" i="2"/>
  <c r="C332" i="2" s="1"/>
  <c r="R333" i="2"/>
  <c r="B333" i="2" s="1"/>
  <c r="S333" i="2"/>
  <c r="C333" i="2" s="1"/>
  <c r="R334" i="2"/>
  <c r="B334" i="2" s="1"/>
  <c r="S334" i="2"/>
  <c r="C334" i="2" s="1"/>
  <c r="R335" i="2"/>
  <c r="B335" i="2" s="1"/>
  <c r="S335" i="2"/>
  <c r="C335" i="2" s="1"/>
  <c r="R336" i="2"/>
  <c r="B336" i="2" s="1"/>
  <c r="S336" i="2"/>
  <c r="C336" i="2" s="1"/>
  <c r="R337" i="2"/>
  <c r="B337" i="2" s="1"/>
  <c r="S337" i="2"/>
  <c r="C337" i="2" s="1"/>
  <c r="R338" i="2"/>
  <c r="B338" i="2" s="1"/>
  <c r="S338" i="2"/>
  <c r="C338" i="2" s="1"/>
  <c r="R339" i="2"/>
  <c r="B339" i="2" s="1"/>
  <c r="S339" i="2"/>
  <c r="C339" i="2" s="1"/>
  <c r="R340" i="2"/>
  <c r="B340" i="2" s="1"/>
  <c r="S340" i="2"/>
  <c r="C340" i="2" s="1"/>
  <c r="R341" i="2"/>
  <c r="B341" i="2" s="1"/>
  <c r="S341" i="2"/>
  <c r="C341" i="2" s="1"/>
  <c r="R342" i="2"/>
  <c r="B342" i="2" s="1"/>
  <c r="S342" i="2"/>
  <c r="C342" i="2" s="1"/>
  <c r="R343" i="2"/>
  <c r="B343" i="2" s="1"/>
  <c r="S343" i="2"/>
  <c r="C343" i="2" s="1"/>
  <c r="R344" i="2"/>
  <c r="B344" i="2" s="1"/>
  <c r="S344" i="2"/>
  <c r="C344" i="2" s="1"/>
  <c r="R345" i="2"/>
  <c r="B345" i="2" s="1"/>
  <c r="S345" i="2"/>
  <c r="C345" i="2" s="1"/>
  <c r="R346" i="2"/>
  <c r="B346" i="2" s="1"/>
  <c r="S346" i="2"/>
  <c r="C346" i="2" s="1"/>
  <c r="R347" i="2"/>
  <c r="B347" i="2" s="1"/>
  <c r="S347" i="2"/>
  <c r="C347" i="2" s="1"/>
  <c r="R348" i="2"/>
  <c r="B348" i="2" s="1"/>
  <c r="S348" i="2"/>
  <c r="C348" i="2" s="1"/>
  <c r="R349" i="2"/>
  <c r="B349" i="2" s="1"/>
  <c r="S349" i="2"/>
  <c r="C349" i="2" s="1"/>
  <c r="R350" i="2"/>
  <c r="B350" i="2" s="1"/>
  <c r="S350" i="2"/>
  <c r="C350" i="2" s="1"/>
  <c r="R351" i="2"/>
  <c r="B351" i="2" s="1"/>
  <c r="S351" i="2"/>
  <c r="C351" i="2" s="1"/>
  <c r="R352" i="2"/>
  <c r="B352" i="2" s="1"/>
  <c r="S352" i="2"/>
  <c r="C352" i="2" s="1"/>
  <c r="R353" i="2"/>
  <c r="B353" i="2" s="1"/>
  <c r="S353" i="2"/>
  <c r="C353" i="2" s="1"/>
  <c r="R354" i="2"/>
  <c r="B354" i="2" s="1"/>
  <c r="S354" i="2"/>
  <c r="C354" i="2" s="1"/>
  <c r="R355" i="2"/>
  <c r="B355" i="2" s="1"/>
  <c r="S355" i="2"/>
  <c r="C355" i="2" s="1"/>
  <c r="R356" i="2"/>
  <c r="B356" i="2" s="1"/>
  <c r="S356" i="2"/>
  <c r="C356" i="2" s="1"/>
  <c r="R357" i="2"/>
  <c r="B357" i="2" s="1"/>
  <c r="S357" i="2"/>
  <c r="C357" i="2" s="1"/>
  <c r="R358" i="2"/>
  <c r="B358" i="2" s="1"/>
  <c r="S358" i="2"/>
  <c r="C358" i="2" s="1"/>
  <c r="R359" i="2"/>
  <c r="B359" i="2" s="1"/>
  <c r="S359" i="2"/>
  <c r="C359" i="2" s="1"/>
  <c r="R360" i="2"/>
  <c r="B360" i="2" s="1"/>
  <c r="S360" i="2"/>
  <c r="C360" i="2" s="1"/>
  <c r="R361" i="2"/>
  <c r="B361" i="2" s="1"/>
  <c r="S361" i="2"/>
  <c r="C361" i="2" s="1"/>
  <c r="R362" i="2"/>
  <c r="B362" i="2" s="1"/>
  <c r="S362" i="2"/>
  <c r="C362" i="2" s="1"/>
  <c r="R363" i="2"/>
  <c r="B363" i="2" s="1"/>
  <c r="S363" i="2"/>
  <c r="C363" i="2" s="1"/>
  <c r="R364" i="2"/>
  <c r="B364" i="2" s="1"/>
  <c r="S364" i="2"/>
  <c r="C364" i="2" s="1"/>
  <c r="R365" i="2"/>
  <c r="B365" i="2" s="1"/>
  <c r="S365" i="2"/>
  <c r="C365" i="2" s="1"/>
  <c r="R366" i="2"/>
  <c r="B366" i="2" s="1"/>
  <c r="S366" i="2"/>
  <c r="C366" i="2" s="1"/>
  <c r="R367" i="2"/>
  <c r="B367" i="2" s="1"/>
  <c r="S367" i="2"/>
  <c r="C367" i="2" s="1"/>
  <c r="R368" i="2"/>
  <c r="B368" i="2" s="1"/>
  <c r="S368" i="2"/>
  <c r="C368" i="2" s="1"/>
  <c r="R369" i="2"/>
  <c r="B369" i="2" s="1"/>
  <c r="S369" i="2"/>
  <c r="C369" i="2" s="1"/>
  <c r="R370" i="2"/>
  <c r="B370" i="2" s="1"/>
  <c r="S370" i="2"/>
  <c r="C370" i="2" s="1"/>
  <c r="R371" i="2"/>
  <c r="B371" i="2" s="1"/>
  <c r="S371" i="2"/>
  <c r="C371" i="2" s="1"/>
  <c r="R372" i="2"/>
  <c r="B372" i="2" s="1"/>
  <c r="S372" i="2"/>
  <c r="C372" i="2" s="1"/>
  <c r="R373" i="2"/>
  <c r="B373" i="2" s="1"/>
  <c r="S373" i="2"/>
  <c r="C373" i="2" s="1"/>
  <c r="R374" i="2"/>
  <c r="B374" i="2" s="1"/>
  <c r="S374" i="2"/>
  <c r="C374" i="2" s="1"/>
  <c r="R375" i="2"/>
  <c r="B375" i="2" s="1"/>
  <c r="S375" i="2"/>
  <c r="C375" i="2" s="1"/>
  <c r="R376" i="2"/>
  <c r="B376" i="2" s="1"/>
  <c r="S376" i="2"/>
  <c r="C376" i="2" s="1"/>
  <c r="R377" i="2"/>
  <c r="B377" i="2" s="1"/>
  <c r="S377" i="2"/>
  <c r="C377" i="2" s="1"/>
  <c r="R378" i="2"/>
  <c r="B378" i="2" s="1"/>
  <c r="S378" i="2"/>
  <c r="C378" i="2" s="1"/>
  <c r="R379" i="2"/>
  <c r="B379" i="2" s="1"/>
  <c r="S379" i="2"/>
  <c r="C379" i="2" s="1"/>
  <c r="R380" i="2"/>
  <c r="B380" i="2" s="1"/>
  <c r="S380" i="2"/>
  <c r="C380" i="2" s="1"/>
  <c r="R381" i="2"/>
  <c r="B381" i="2" s="1"/>
  <c r="S381" i="2"/>
  <c r="C381" i="2" s="1"/>
  <c r="R382" i="2"/>
  <c r="B382" i="2" s="1"/>
  <c r="S382" i="2"/>
  <c r="C382" i="2" s="1"/>
  <c r="R383" i="2"/>
  <c r="B383" i="2" s="1"/>
  <c r="S383" i="2"/>
  <c r="C383" i="2" s="1"/>
  <c r="R384" i="2"/>
  <c r="B384" i="2" s="1"/>
  <c r="S384" i="2"/>
  <c r="C384" i="2" s="1"/>
  <c r="R385" i="2"/>
  <c r="B385" i="2" s="1"/>
  <c r="S385" i="2"/>
  <c r="C385" i="2" s="1"/>
  <c r="R386" i="2"/>
  <c r="B386" i="2" s="1"/>
  <c r="S386" i="2"/>
  <c r="C386" i="2" s="1"/>
  <c r="R387" i="2"/>
  <c r="B387" i="2" s="1"/>
  <c r="S387" i="2"/>
  <c r="C387" i="2" s="1"/>
  <c r="R388" i="2"/>
  <c r="B388" i="2" s="1"/>
  <c r="S388" i="2"/>
  <c r="C388" i="2" s="1"/>
  <c r="R389" i="2"/>
  <c r="B389" i="2" s="1"/>
  <c r="S389" i="2"/>
  <c r="C389" i="2" s="1"/>
  <c r="R390" i="2"/>
  <c r="B390" i="2" s="1"/>
  <c r="S390" i="2"/>
  <c r="C390" i="2" s="1"/>
  <c r="R391" i="2"/>
  <c r="B391" i="2" s="1"/>
  <c r="S391" i="2"/>
  <c r="C391" i="2" s="1"/>
  <c r="R392" i="2"/>
  <c r="B392" i="2" s="1"/>
  <c r="S392" i="2"/>
  <c r="C392" i="2" s="1"/>
  <c r="R393" i="2"/>
  <c r="B393" i="2" s="1"/>
  <c r="S393" i="2"/>
  <c r="C393" i="2" s="1"/>
  <c r="R394" i="2"/>
  <c r="B394" i="2" s="1"/>
  <c r="S394" i="2"/>
  <c r="C394" i="2" s="1"/>
  <c r="R395" i="2"/>
  <c r="B395" i="2" s="1"/>
  <c r="S395" i="2"/>
  <c r="C395" i="2" s="1"/>
  <c r="R396" i="2"/>
  <c r="B396" i="2" s="1"/>
  <c r="S396" i="2"/>
  <c r="C396" i="2" s="1"/>
  <c r="R397" i="2"/>
  <c r="B397" i="2" s="1"/>
  <c r="S397" i="2"/>
  <c r="C397" i="2" s="1"/>
  <c r="R398" i="2"/>
  <c r="B398" i="2" s="1"/>
  <c r="S398" i="2"/>
  <c r="C398" i="2" s="1"/>
  <c r="R399" i="2"/>
  <c r="B399" i="2" s="1"/>
  <c r="S399" i="2"/>
  <c r="C399" i="2" s="1"/>
  <c r="R400" i="2"/>
  <c r="B400" i="2" s="1"/>
  <c r="S400" i="2"/>
  <c r="C400" i="2" s="1"/>
  <c r="R401" i="2"/>
  <c r="B401" i="2" s="1"/>
  <c r="S401" i="2"/>
  <c r="C401" i="2" s="1"/>
  <c r="R402" i="2"/>
  <c r="B402" i="2" s="1"/>
  <c r="S402" i="2"/>
  <c r="C402" i="2" s="1"/>
  <c r="R403" i="2"/>
  <c r="B403" i="2" s="1"/>
  <c r="S403" i="2"/>
  <c r="C403" i="2" s="1"/>
  <c r="R404" i="2"/>
  <c r="B404" i="2" s="1"/>
  <c r="S404" i="2"/>
  <c r="C404" i="2" s="1"/>
  <c r="R405" i="2"/>
  <c r="B405" i="2" s="1"/>
  <c r="S405" i="2"/>
  <c r="C405" i="2" s="1"/>
  <c r="R406" i="2"/>
  <c r="B406" i="2" s="1"/>
  <c r="S406" i="2"/>
  <c r="C406" i="2" s="1"/>
  <c r="R407" i="2"/>
  <c r="B407" i="2" s="1"/>
  <c r="S407" i="2"/>
  <c r="C407" i="2" s="1"/>
  <c r="R408" i="2"/>
  <c r="B408" i="2" s="1"/>
  <c r="S408" i="2"/>
  <c r="C408" i="2" s="1"/>
  <c r="R409" i="2"/>
  <c r="B409" i="2" s="1"/>
  <c r="S409" i="2"/>
  <c r="C409" i="2" s="1"/>
  <c r="R410" i="2"/>
  <c r="B410" i="2" s="1"/>
  <c r="S410" i="2"/>
  <c r="C410" i="2" s="1"/>
  <c r="R411" i="2"/>
  <c r="B411" i="2" s="1"/>
  <c r="S411" i="2"/>
  <c r="C411" i="2" s="1"/>
  <c r="R412" i="2"/>
  <c r="B412" i="2" s="1"/>
  <c r="S412" i="2"/>
  <c r="C412" i="2" s="1"/>
  <c r="R413" i="2"/>
  <c r="B413" i="2" s="1"/>
  <c r="S413" i="2"/>
  <c r="C413" i="2" s="1"/>
  <c r="R414" i="2"/>
  <c r="B414" i="2" s="1"/>
  <c r="S414" i="2"/>
  <c r="C414" i="2" s="1"/>
  <c r="R415" i="2"/>
  <c r="B415" i="2" s="1"/>
  <c r="S415" i="2"/>
  <c r="C415" i="2" s="1"/>
  <c r="R416" i="2"/>
  <c r="B416" i="2" s="1"/>
  <c r="S416" i="2"/>
  <c r="C416" i="2" s="1"/>
  <c r="R417" i="2"/>
  <c r="B417" i="2" s="1"/>
  <c r="S417" i="2"/>
  <c r="C417" i="2" s="1"/>
  <c r="R418" i="2"/>
  <c r="B418" i="2" s="1"/>
  <c r="S418" i="2"/>
  <c r="C418" i="2" s="1"/>
  <c r="R419" i="2"/>
  <c r="B419" i="2" s="1"/>
  <c r="S419" i="2"/>
  <c r="C419" i="2" s="1"/>
  <c r="R420" i="2"/>
  <c r="B420" i="2" s="1"/>
  <c r="S420" i="2"/>
  <c r="C420" i="2" s="1"/>
  <c r="R421" i="2"/>
  <c r="B421" i="2" s="1"/>
  <c r="S421" i="2"/>
  <c r="C421" i="2" s="1"/>
  <c r="R422" i="2"/>
  <c r="B422" i="2" s="1"/>
  <c r="S422" i="2"/>
  <c r="C422" i="2" s="1"/>
  <c r="R423" i="2"/>
  <c r="B423" i="2" s="1"/>
  <c r="S423" i="2"/>
  <c r="C423" i="2" s="1"/>
  <c r="R424" i="2"/>
  <c r="B424" i="2" s="1"/>
  <c r="S424" i="2"/>
  <c r="C424" i="2" s="1"/>
  <c r="R425" i="2"/>
  <c r="B425" i="2" s="1"/>
  <c r="S425" i="2"/>
  <c r="C425" i="2" s="1"/>
  <c r="R426" i="2"/>
  <c r="B426" i="2" s="1"/>
  <c r="S426" i="2"/>
  <c r="C426" i="2" s="1"/>
  <c r="R427" i="2"/>
  <c r="B427" i="2" s="1"/>
  <c r="S427" i="2"/>
  <c r="C427" i="2" s="1"/>
  <c r="R428" i="2"/>
  <c r="B428" i="2" s="1"/>
  <c r="S428" i="2"/>
  <c r="C428" i="2" s="1"/>
  <c r="R429" i="2"/>
  <c r="B429" i="2" s="1"/>
  <c r="S429" i="2"/>
  <c r="C429" i="2" s="1"/>
  <c r="R430" i="2"/>
  <c r="B430" i="2" s="1"/>
  <c r="S430" i="2"/>
  <c r="C430" i="2" s="1"/>
  <c r="R431" i="2"/>
  <c r="B431" i="2" s="1"/>
  <c r="S431" i="2"/>
  <c r="C431" i="2" s="1"/>
  <c r="R432" i="2"/>
  <c r="B432" i="2" s="1"/>
  <c r="S432" i="2"/>
  <c r="C432" i="2" s="1"/>
  <c r="R433" i="2"/>
  <c r="B433" i="2" s="1"/>
  <c r="S433" i="2"/>
  <c r="C433" i="2" s="1"/>
  <c r="R434" i="2"/>
  <c r="B434" i="2" s="1"/>
  <c r="S434" i="2"/>
  <c r="C434" i="2" s="1"/>
  <c r="R435" i="2"/>
  <c r="B435" i="2" s="1"/>
  <c r="S435" i="2"/>
  <c r="C435" i="2" s="1"/>
  <c r="R436" i="2"/>
  <c r="B436" i="2" s="1"/>
  <c r="S436" i="2"/>
  <c r="C436" i="2" s="1"/>
  <c r="R437" i="2"/>
  <c r="B437" i="2" s="1"/>
  <c r="S437" i="2"/>
  <c r="C437" i="2" s="1"/>
  <c r="R438" i="2"/>
  <c r="B438" i="2" s="1"/>
  <c r="S438" i="2"/>
  <c r="C438" i="2" s="1"/>
  <c r="R439" i="2"/>
  <c r="B439" i="2" s="1"/>
  <c r="S439" i="2"/>
  <c r="C439" i="2" s="1"/>
  <c r="R440" i="2"/>
  <c r="B440" i="2" s="1"/>
  <c r="S440" i="2"/>
  <c r="C440" i="2" s="1"/>
  <c r="R441" i="2"/>
  <c r="B441" i="2" s="1"/>
  <c r="S441" i="2"/>
  <c r="C441" i="2" s="1"/>
  <c r="R442" i="2"/>
  <c r="B442" i="2" s="1"/>
  <c r="S442" i="2"/>
  <c r="C442" i="2" s="1"/>
  <c r="R443" i="2"/>
  <c r="B443" i="2" s="1"/>
  <c r="S443" i="2"/>
  <c r="C443" i="2" s="1"/>
  <c r="R444" i="2"/>
  <c r="B444" i="2" s="1"/>
  <c r="S444" i="2"/>
  <c r="C444" i="2" s="1"/>
  <c r="R445" i="2"/>
  <c r="B445" i="2" s="1"/>
  <c r="S445" i="2"/>
  <c r="C445" i="2" s="1"/>
  <c r="R446" i="2"/>
  <c r="B446" i="2" s="1"/>
  <c r="S446" i="2"/>
  <c r="C446" i="2" s="1"/>
  <c r="R447" i="2"/>
  <c r="B447" i="2" s="1"/>
  <c r="S447" i="2"/>
  <c r="C447" i="2" s="1"/>
  <c r="R448" i="2"/>
  <c r="B448" i="2" s="1"/>
  <c r="S448" i="2"/>
  <c r="C448" i="2" s="1"/>
  <c r="R449" i="2"/>
  <c r="B449" i="2" s="1"/>
  <c r="S449" i="2"/>
  <c r="C449" i="2" s="1"/>
  <c r="R450" i="2"/>
  <c r="B450" i="2" s="1"/>
  <c r="S450" i="2"/>
  <c r="C450" i="2" s="1"/>
  <c r="R451" i="2"/>
  <c r="B451" i="2" s="1"/>
  <c r="S451" i="2"/>
  <c r="C451" i="2" s="1"/>
  <c r="R452" i="2"/>
  <c r="B452" i="2" s="1"/>
  <c r="S452" i="2"/>
  <c r="C452" i="2" s="1"/>
  <c r="R453" i="2"/>
  <c r="B453" i="2" s="1"/>
  <c r="S453" i="2"/>
  <c r="C453" i="2" s="1"/>
  <c r="R454" i="2"/>
  <c r="B454" i="2" s="1"/>
  <c r="S454" i="2"/>
  <c r="C454" i="2" s="1"/>
  <c r="R455" i="2"/>
  <c r="B455" i="2" s="1"/>
  <c r="S455" i="2"/>
  <c r="C455" i="2" s="1"/>
  <c r="R456" i="2"/>
  <c r="B456" i="2" s="1"/>
  <c r="S456" i="2"/>
  <c r="C456" i="2" s="1"/>
  <c r="R457" i="2"/>
  <c r="B457" i="2" s="1"/>
  <c r="S457" i="2"/>
  <c r="C457" i="2" s="1"/>
  <c r="R458" i="2"/>
  <c r="B458" i="2" s="1"/>
  <c r="S458" i="2"/>
  <c r="C458" i="2" s="1"/>
  <c r="R459" i="2"/>
  <c r="B459" i="2" s="1"/>
  <c r="S459" i="2"/>
  <c r="C459" i="2" s="1"/>
  <c r="R460" i="2"/>
  <c r="B460" i="2" s="1"/>
  <c r="S460" i="2"/>
  <c r="C460" i="2" s="1"/>
  <c r="R461" i="2"/>
  <c r="B461" i="2" s="1"/>
  <c r="S461" i="2"/>
  <c r="C461" i="2" s="1"/>
  <c r="R462" i="2"/>
  <c r="B462" i="2" s="1"/>
  <c r="S462" i="2"/>
  <c r="C462" i="2" s="1"/>
  <c r="R463" i="2"/>
  <c r="B463" i="2" s="1"/>
  <c r="S463" i="2"/>
  <c r="C463" i="2" s="1"/>
  <c r="R464" i="2"/>
  <c r="B464" i="2" s="1"/>
  <c r="S464" i="2"/>
  <c r="C464" i="2" s="1"/>
  <c r="R465" i="2"/>
  <c r="B465" i="2" s="1"/>
  <c r="S465" i="2"/>
  <c r="C465" i="2" s="1"/>
  <c r="R466" i="2"/>
  <c r="B466" i="2" s="1"/>
  <c r="S466" i="2"/>
  <c r="C466" i="2" s="1"/>
  <c r="R467" i="2"/>
  <c r="B467" i="2" s="1"/>
  <c r="S467" i="2"/>
  <c r="C467" i="2" s="1"/>
  <c r="R468" i="2"/>
  <c r="B468" i="2" s="1"/>
  <c r="S468" i="2"/>
  <c r="C468" i="2" s="1"/>
  <c r="R469" i="2"/>
  <c r="B469" i="2" s="1"/>
  <c r="S469" i="2"/>
  <c r="C469" i="2" s="1"/>
  <c r="R470" i="2"/>
  <c r="B470" i="2" s="1"/>
  <c r="S470" i="2"/>
  <c r="C470" i="2" s="1"/>
  <c r="R471" i="2"/>
  <c r="B471" i="2" s="1"/>
  <c r="S471" i="2"/>
  <c r="C471" i="2" s="1"/>
  <c r="R472" i="2"/>
  <c r="B472" i="2" s="1"/>
  <c r="S472" i="2"/>
  <c r="C472" i="2" s="1"/>
  <c r="R473" i="2"/>
  <c r="B473" i="2" s="1"/>
  <c r="S473" i="2"/>
  <c r="C473" i="2" s="1"/>
  <c r="R474" i="2"/>
  <c r="B474" i="2" s="1"/>
  <c r="S474" i="2"/>
  <c r="C474" i="2" s="1"/>
  <c r="R475" i="2"/>
  <c r="B475" i="2" s="1"/>
  <c r="S475" i="2"/>
  <c r="C475" i="2" s="1"/>
  <c r="R476" i="2"/>
  <c r="B476" i="2" s="1"/>
  <c r="S476" i="2"/>
  <c r="C476" i="2" s="1"/>
  <c r="R477" i="2"/>
  <c r="B477" i="2" s="1"/>
  <c r="S477" i="2"/>
  <c r="C477" i="2" s="1"/>
  <c r="R478" i="2"/>
  <c r="B478" i="2" s="1"/>
  <c r="S478" i="2"/>
  <c r="C478" i="2" s="1"/>
  <c r="R479" i="2"/>
  <c r="B479" i="2" s="1"/>
  <c r="S479" i="2"/>
  <c r="C479" i="2" s="1"/>
  <c r="R480" i="2"/>
  <c r="B480" i="2" s="1"/>
  <c r="S480" i="2"/>
  <c r="C480" i="2" s="1"/>
  <c r="R481" i="2"/>
  <c r="B481" i="2" s="1"/>
  <c r="S481" i="2"/>
  <c r="C481" i="2" s="1"/>
  <c r="R482" i="2"/>
  <c r="B482" i="2" s="1"/>
  <c r="S482" i="2"/>
  <c r="C482" i="2" s="1"/>
  <c r="R483" i="2"/>
  <c r="B483" i="2" s="1"/>
  <c r="S483" i="2"/>
  <c r="C483" i="2" s="1"/>
  <c r="R484" i="2"/>
  <c r="B484" i="2" s="1"/>
  <c r="S484" i="2"/>
  <c r="C484" i="2" s="1"/>
  <c r="R485" i="2"/>
  <c r="B485" i="2" s="1"/>
  <c r="S485" i="2"/>
  <c r="C485" i="2" s="1"/>
  <c r="R486" i="2"/>
  <c r="B486" i="2" s="1"/>
  <c r="S486" i="2"/>
  <c r="C486" i="2" s="1"/>
  <c r="R487" i="2"/>
  <c r="B487" i="2" s="1"/>
  <c r="S487" i="2"/>
  <c r="C487" i="2" s="1"/>
  <c r="R488" i="2"/>
  <c r="B488" i="2" s="1"/>
  <c r="S488" i="2"/>
  <c r="C488" i="2" s="1"/>
  <c r="R489" i="2"/>
  <c r="B489" i="2" s="1"/>
  <c r="S489" i="2"/>
  <c r="C489" i="2" s="1"/>
  <c r="R490" i="2"/>
  <c r="B490" i="2" s="1"/>
  <c r="S490" i="2"/>
  <c r="C490" i="2" s="1"/>
  <c r="R491" i="2"/>
  <c r="B491" i="2" s="1"/>
  <c r="S491" i="2"/>
  <c r="C491" i="2" s="1"/>
  <c r="R492" i="2"/>
  <c r="B492" i="2" s="1"/>
  <c r="S492" i="2"/>
  <c r="C492" i="2" s="1"/>
  <c r="R493" i="2"/>
  <c r="B493" i="2" s="1"/>
  <c r="S493" i="2"/>
  <c r="C493" i="2" s="1"/>
  <c r="R494" i="2"/>
  <c r="B494" i="2" s="1"/>
  <c r="S494" i="2"/>
  <c r="C494" i="2" s="1"/>
  <c r="R495" i="2"/>
  <c r="B495" i="2" s="1"/>
  <c r="S495" i="2"/>
  <c r="C495" i="2" s="1"/>
  <c r="R496" i="2"/>
  <c r="B496" i="2" s="1"/>
  <c r="S496" i="2"/>
  <c r="C496" i="2" s="1"/>
  <c r="R497" i="2"/>
  <c r="B497" i="2" s="1"/>
  <c r="S497" i="2"/>
  <c r="C497" i="2" s="1"/>
  <c r="R498" i="2"/>
  <c r="B498" i="2" s="1"/>
  <c r="S498" i="2"/>
  <c r="C498" i="2" s="1"/>
  <c r="R499" i="2"/>
  <c r="B499" i="2" s="1"/>
  <c r="S499" i="2"/>
  <c r="C499" i="2" s="1"/>
  <c r="R500" i="2"/>
  <c r="B500" i="2" s="1"/>
  <c r="S500" i="2"/>
  <c r="C500" i="2" s="1"/>
  <c r="R501" i="2"/>
  <c r="B501" i="2" s="1"/>
  <c r="S501" i="2"/>
  <c r="C501" i="2" s="1"/>
  <c r="R502" i="2"/>
  <c r="B502" i="2" s="1"/>
  <c r="S502" i="2"/>
  <c r="C502" i="2" s="1"/>
  <c r="R503" i="2"/>
  <c r="B503" i="2" s="1"/>
  <c r="S503" i="2"/>
  <c r="C503" i="2" s="1"/>
  <c r="R504" i="2"/>
  <c r="B504" i="2" s="1"/>
  <c r="S504" i="2"/>
  <c r="C504" i="2" s="1"/>
  <c r="R505" i="2"/>
  <c r="B505" i="2" s="1"/>
  <c r="S505" i="2"/>
  <c r="C505" i="2" s="1"/>
  <c r="R506" i="2"/>
  <c r="B506" i="2" s="1"/>
  <c r="S506" i="2"/>
  <c r="C506" i="2" s="1"/>
  <c r="R507" i="2"/>
  <c r="B507" i="2" s="1"/>
  <c r="S507" i="2"/>
  <c r="C507" i="2" s="1"/>
  <c r="R508" i="2"/>
  <c r="B508" i="2" s="1"/>
  <c r="S508" i="2"/>
  <c r="C508" i="2" s="1"/>
  <c r="R509" i="2"/>
  <c r="B509" i="2" s="1"/>
  <c r="S509" i="2"/>
  <c r="C509" i="2" s="1"/>
  <c r="R510" i="2"/>
  <c r="B510" i="2" s="1"/>
  <c r="S510" i="2"/>
  <c r="C510" i="2" s="1"/>
  <c r="R511" i="2"/>
  <c r="B511" i="2" s="1"/>
  <c r="S511" i="2"/>
  <c r="C511" i="2" s="1"/>
  <c r="R512" i="2"/>
  <c r="B512" i="2" s="1"/>
  <c r="S512" i="2"/>
  <c r="C512" i="2" s="1"/>
  <c r="R513" i="2"/>
  <c r="B513" i="2" s="1"/>
  <c r="S513" i="2"/>
  <c r="C513" i="2" s="1"/>
  <c r="R514" i="2"/>
  <c r="B514" i="2" s="1"/>
  <c r="S514" i="2"/>
  <c r="C514" i="2" s="1"/>
  <c r="R515" i="2"/>
  <c r="B515" i="2" s="1"/>
  <c r="S515" i="2"/>
  <c r="C515" i="2" s="1"/>
  <c r="R516" i="2"/>
  <c r="B516" i="2" s="1"/>
  <c r="S516" i="2"/>
  <c r="C516" i="2" s="1"/>
  <c r="R517" i="2"/>
  <c r="B517" i="2" s="1"/>
  <c r="S517" i="2"/>
  <c r="C517" i="2" s="1"/>
  <c r="R518" i="2"/>
  <c r="B518" i="2" s="1"/>
  <c r="S518" i="2"/>
  <c r="C518" i="2" s="1"/>
  <c r="R519" i="2"/>
  <c r="B519" i="2" s="1"/>
  <c r="S519" i="2"/>
  <c r="C519" i="2" s="1"/>
  <c r="R520" i="2"/>
  <c r="B520" i="2" s="1"/>
  <c r="S520" i="2"/>
  <c r="C520" i="2" s="1"/>
  <c r="R521" i="2"/>
  <c r="B521" i="2" s="1"/>
  <c r="S521" i="2"/>
  <c r="C521" i="2" s="1"/>
  <c r="R522" i="2"/>
  <c r="B522" i="2" s="1"/>
  <c r="S522" i="2"/>
  <c r="C522" i="2" s="1"/>
  <c r="R523" i="2"/>
  <c r="B523" i="2" s="1"/>
  <c r="S523" i="2"/>
  <c r="C523" i="2" s="1"/>
  <c r="R524" i="2"/>
  <c r="B524" i="2" s="1"/>
  <c r="S524" i="2"/>
  <c r="C524" i="2" s="1"/>
  <c r="R525" i="2"/>
  <c r="B525" i="2" s="1"/>
  <c r="S525" i="2"/>
  <c r="C525" i="2" s="1"/>
  <c r="R526" i="2"/>
  <c r="B526" i="2" s="1"/>
  <c r="S526" i="2"/>
  <c r="C526" i="2" s="1"/>
  <c r="R527" i="2"/>
  <c r="B527" i="2" s="1"/>
  <c r="S527" i="2"/>
  <c r="C527" i="2" s="1"/>
  <c r="R528" i="2"/>
  <c r="B528" i="2" s="1"/>
  <c r="S528" i="2"/>
  <c r="C528" i="2" s="1"/>
  <c r="R529" i="2"/>
  <c r="B529" i="2" s="1"/>
  <c r="S529" i="2"/>
  <c r="C529" i="2" s="1"/>
  <c r="R530" i="2"/>
  <c r="B530" i="2" s="1"/>
  <c r="S530" i="2"/>
  <c r="C530" i="2" s="1"/>
  <c r="R531" i="2"/>
  <c r="B531" i="2" s="1"/>
  <c r="S531" i="2"/>
  <c r="C531" i="2" s="1"/>
  <c r="R532" i="2"/>
  <c r="B532" i="2" s="1"/>
  <c r="S532" i="2"/>
  <c r="C532" i="2" s="1"/>
  <c r="R533" i="2"/>
  <c r="B533" i="2" s="1"/>
  <c r="S533" i="2"/>
  <c r="C533" i="2" s="1"/>
  <c r="R534" i="2"/>
  <c r="B534" i="2" s="1"/>
  <c r="S534" i="2"/>
  <c r="C534" i="2" s="1"/>
  <c r="R535" i="2"/>
  <c r="B535" i="2" s="1"/>
  <c r="S535" i="2"/>
  <c r="C535" i="2" s="1"/>
  <c r="R536" i="2"/>
  <c r="B536" i="2" s="1"/>
  <c r="S536" i="2"/>
  <c r="C536" i="2" s="1"/>
  <c r="R537" i="2"/>
  <c r="B537" i="2" s="1"/>
  <c r="S537" i="2"/>
  <c r="C537" i="2" s="1"/>
  <c r="R538" i="2"/>
  <c r="B538" i="2" s="1"/>
  <c r="S538" i="2"/>
  <c r="C538" i="2" s="1"/>
  <c r="R539" i="2"/>
  <c r="B539" i="2" s="1"/>
  <c r="S539" i="2"/>
  <c r="C539" i="2" s="1"/>
  <c r="R540" i="2"/>
  <c r="B540" i="2" s="1"/>
  <c r="S540" i="2"/>
  <c r="C540" i="2" s="1"/>
  <c r="R541" i="2"/>
  <c r="B541" i="2" s="1"/>
  <c r="S541" i="2"/>
  <c r="C541" i="2" s="1"/>
  <c r="R542" i="2"/>
  <c r="B542" i="2" s="1"/>
  <c r="S542" i="2"/>
  <c r="C542" i="2" s="1"/>
  <c r="R543" i="2"/>
  <c r="B543" i="2" s="1"/>
  <c r="S543" i="2"/>
  <c r="C543" i="2" s="1"/>
  <c r="R544" i="2"/>
  <c r="B544" i="2" s="1"/>
  <c r="S544" i="2"/>
  <c r="C544" i="2" s="1"/>
  <c r="R545" i="2"/>
  <c r="B545" i="2" s="1"/>
  <c r="S545" i="2"/>
  <c r="C545" i="2" s="1"/>
  <c r="R546" i="2"/>
  <c r="B546" i="2" s="1"/>
  <c r="S546" i="2"/>
  <c r="C546" i="2" s="1"/>
  <c r="R547" i="2"/>
  <c r="B547" i="2" s="1"/>
  <c r="S547" i="2"/>
  <c r="C547" i="2" s="1"/>
  <c r="R548" i="2"/>
  <c r="B548" i="2" s="1"/>
  <c r="S548" i="2"/>
  <c r="C548" i="2" s="1"/>
  <c r="R549" i="2"/>
  <c r="B549" i="2" s="1"/>
  <c r="S549" i="2"/>
  <c r="C549" i="2" s="1"/>
  <c r="R550" i="2"/>
  <c r="B550" i="2" s="1"/>
  <c r="S550" i="2"/>
  <c r="C550" i="2" s="1"/>
  <c r="R551" i="2"/>
  <c r="B551" i="2" s="1"/>
  <c r="S551" i="2"/>
  <c r="C551" i="2" s="1"/>
  <c r="R552" i="2"/>
  <c r="B552" i="2" s="1"/>
  <c r="S552" i="2"/>
  <c r="C552" i="2" s="1"/>
  <c r="R553" i="2"/>
  <c r="B553" i="2" s="1"/>
  <c r="S553" i="2"/>
  <c r="C553" i="2" s="1"/>
  <c r="R554" i="2"/>
  <c r="B554" i="2" s="1"/>
  <c r="S554" i="2"/>
  <c r="C554" i="2" s="1"/>
  <c r="R555" i="2"/>
  <c r="B555" i="2" s="1"/>
  <c r="S555" i="2"/>
  <c r="C555" i="2" s="1"/>
  <c r="R556" i="2"/>
  <c r="B556" i="2" s="1"/>
  <c r="S556" i="2"/>
  <c r="C556" i="2" s="1"/>
  <c r="R557" i="2"/>
  <c r="B557" i="2" s="1"/>
  <c r="S557" i="2"/>
  <c r="C557" i="2" s="1"/>
  <c r="R558" i="2"/>
  <c r="B558" i="2" s="1"/>
  <c r="S558" i="2"/>
  <c r="C558" i="2" s="1"/>
  <c r="R559" i="2"/>
  <c r="B559" i="2" s="1"/>
  <c r="S559" i="2"/>
  <c r="C559" i="2" s="1"/>
  <c r="R560" i="2"/>
  <c r="B560" i="2" s="1"/>
  <c r="S560" i="2"/>
  <c r="C560" i="2" s="1"/>
  <c r="R561" i="2"/>
  <c r="B561" i="2" s="1"/>
  <c r="S561" i="2"/>
  <c r="C561" i="2" s="1"/>
  <c r="R562" i="2"/>
  <c r="B562" i="2" s="1"/>
  <c r="S562" i="2"/>
  <c r="C562" i="2" s="1"/>
  <c r="R563" i="2"/>
  <c r="B563" i="2" s="1"/>
  <c r="S563" i="2"/>
  <c r="C563" i="2" s="1"/>
  <c r="R564" i="2"/>
  <c r="B564" i="2" s="1"/>
  <c r="S564" i="2"/>
  <c r="C564" i="2" s="1"/>
  <c r="R565" i="2"/>
  <c r="B565" i="2" s="1"/>
  <c r="S565" i="2"/>
  <c r="C565" i="2" s="1"/>
  <c r="R566" i="2"/>
  <c r="B566" i="2" s="1"/>
  <c r="S566" i="2"/>
  <c r="C566" i="2" s="1"/>
  <c r="R567" i="2"/>
  <c r="B567" i="2" s="1"/>
  <c r="S567" i="2"/>
  <c r="C567" i="2" s="1"/>
  <c r="R568" i="2"/>
  <c r="B568" i="2" s="1"/>
  <c r="S568" i="2"/>
  <c r="C568" i="2" s="1"/>
  <c r="R569" i="2"/>
  <c r="B569" i="2" s="1"/>
  <c r="S569" i="2"/>
  <c r="C569" i="2" s="1"/>
  <c r="R570" i="2"/>
  <c r="B570" i="2" s="1"/>
  <c r="S570" i="2"/>
  <c r="C570" i="2" s="1"/>
  <c r="R571" i="2"/>
  <c r="B571" i="2" s="1"/>
  <c r="S571" i="2"/>
  <c r="C571" i="2" s="1"/>
  <c r="R572" i="2"/>
  <c r="B572" i="2" s="1"/>
  <c r="S572" i="2"/>
  <c r="C572" i="2" s="1"/>
  <c r="R573" i="2"/>
  <c r="B573" i="2" s="1"/>
  <c r="S573" i="2"/>
  <c r="C573" i="2" s="1"/>
  <c r="R574" i="2"/>
  <c r="B574" i="2" s="1"/>
  <c r="S574" i="2"/>
  <c r="C574" i="2" s="1"/>
  <c r="R575" i="2"/>
  <c r="B575" i="2" s="1"/>
  <c r="S575" i="2"/>
  <c r="C575" i="2" s="1"/>
  <c r="R576" i="2"/>
  <c r="B576" i="2" s="1"/>
  <c r="S576" i="2"/>
  <c r="C576" i="2" s="1"/>
  <c r="R577" i="2"/>
  <c r="B577" i="2" s="1"/>
  <c r="S577" i="2"/>
  <c r="C577" i="2" s="1"/>
  <c r="R578" i="2"/>
  <c r="B578" i="2" s="1"/>
  <c r="S578" i="2"/>
  <c r="C578" i="2" s="1"/>
  <c r="R579" i="2"/>
  <c r="B579" i="2" s="1"/>
  <c r="S579" i="2"/>
  <c r="C579" i="2" s="1"/>
  <c r="R580" i="2"/>
  <c r="B580" i="2" s="1"/>
  <c r="S580" i="2"/>
  <c r="C580" i="2" s="1"/>
  <c r="R581" i="2"/>
  <c r="B581" i="2" s="1"/>
  <c r="S581" i="2"/>
  <c r="C581" i="2" s="1"/>
  <c r="R582" i="2"/>
  <c r="B582" i="2" s="1"/>
  <c r="S582" i="2"/>
  <c r="C582" i="2" s="1"/>
  <c r="R583" i="2"/>
  <c r="B583" i="2" s="1"/>
  <c r="S583" i="2"/>
  <c r="C583" i="2" s="1"/>
  <c r="R584" i="2"/>
  <c r="B584" i="2" s="1"/>
  <c r="S584" i="2"/>
  <c r="C584" i="2" s="1"/>
  <c r="R585" i="2"/>
  <c r="B585" i="2" s="1"/>
  <c r="S585" i="2"/>
  <c r="C585" i="2" s="1"/>
  <c r="R586" i="2"/>
  <c r="B586" i="2" s="1"/>
  <c r="S586" i="2"/>
  <c r="C586" i="2" s="1"/>
  <c r="R587" i="2"/>
  <c r="B587" i="2" s="1"/>
  <c r="S587" i="2"/>
  <c r="C587" i="2" s="1"/>
  <c r="R588" i="2"/>
  <c r="B588" i="2" s="1"/>
  <c r="S588" i="2"/>
  <c r="C588" i="2" s="1"/>
  <c r="R589" i="2"/>
  <c r="B589" i="2" s="1"/>
  <c r="S589" i="2"/>
  <c r="C589" i="2" s="1"/>
  <c r="R590" i="2"/>
  <c r="B590" i="2" s="1"/>
  <c r="S590" i="2"/>
  <c r="C590" i="2" s="1"/>
  <c r="R591" i="2"/>
  <c r="B591" i="2" s="1"/>
  <c r="S591" i="2"/>
  <c r="C591" i="2" s="1"/>
  <c r="R592" i="2"/>
  <c r="B592" i="2" s="1"/>
  <c r="S592" i="2"/>
  <c r="C592" i="2" s="1"/>
  <c r="R593" i="2"/>
  <c r="B593" i="2" s="1"/>
  <c r="S593" i="2"/>
  <c r="C593" i="2" s="1"/>
  <c r="R594" i="2"/>
  <c r="B594" i="2" s="1"/>
  <c r="S594" i="2"/>
  <c r="C594" i="2" s="1"/>
  <c r="R595" i="2"/>
  <c r="B595" i="2" s="1"/>
  <c r="S595" i="2"/>
  <c r="C595" i="2" s="1"/>
  <c r="R596" i="2"/>
  <c r="B596" i="2" s="1"/>
  <c r="S596" i="2"/>
  <c r="C596" i="2" s="1"/>
  <c r="R597" i="2"/>
  <c r="B597" i="2" s="1"/>
  <c r="S597" i="2"/>
  <c r="C597" i="2" s="1"/>
  <c r="R598" i="2"/>
  <c r="B598" i="2" s="1"/>
  <c r="S598" i="2"/>
  <c r="C598" i="2" s="1"/>
  <c r="R599" i="2"/>
  <c r="B599" i="2" s="1"/>
  <c r="S599" i="2"/>
  <c r="C599" i="2" s="1"/>
  <c r="R600" i="2"/>
  <c r="B600" i="2" s="1"/>
  <c r="S600" i="2"/>
  <c r="C600" i="2" s="1"/>
  <c r="R601" i="2"/>
  <c r="B601" i="2" s="1"/>
  <c r="S601" i="2"/>
  <c r="C601" i="2" s="1"/>
  <c r="R602" i="2"/>
  <c r="B602" i="2" s="1"/>
  <c r="S602" i="2"/>
  <c r="C602" i="2" s="1"/>
  <c r="R603" i="2"/>
  <c r="B603" i="2" s="1"/>
  <c r="S603" i="2"/>
  <c r="C603" i="2" s="1"/>
  <c r="R604" i="2"/>
  <c r="B604" i="2" s="1"/>
  <c r="S604" i="2"/>
  <c r="C604" i="2" s="1"/>
  <c r="R605" i="2"/>
  <c r="B605" i="2" s="1"/>
  <c r="S605" i="2"/>
  <c r="C605" i="2" s="1"/>
  <c r="R606" i="2"/>
  <c r="B606" i="2" s="1"/>
  <c r="S606" i="2"/>
  <c r="C606" i="2" s="1"/>
  <c r="R607" i="2"/>
  <c r="B607" i="2" s="1"/>
  <c r="S607" i="2"/>
  <c r="C607" i="2" s="1"/>
  <c r="R608" i="2"/>
  <c r="B608" i="2" s="1"/>
  <c r="S608" i="2"/>
  <c r="C608" i="2" s="1"/>
  <c r="R609" i="2"/>
  <c r="B609" i="2" s="1"/>
  <c r="S609" i="2"/>
  <c r="C609" i="2" s="1"/>
  <c r="R610" i="2"/>
  <c r="B610" i="2" s="1"/>
  <c r="S610" i="2"/>
  <c r="C610" i="2" s="1"/>
  <c r="R611" i="2"/>
  <c r="B611" i="2" s="1"/>
  <c r="S611" i="2"/>
  <c r="C611" i="2" s="1"/>
  <c r="R612" i="2"/>
  <c r="B612" i="2" s="1"/>
  <c r="S612" i="2"/>
  <c r="C612" i="2" s="1"/>
  <c r="R613" i="2"/>
  <c r="B613" i="2" s="1"/>
  <c r="S613" i="2"/>
  <c r="C613" i="2" s="1"/>
  <c r="R614" i="2"/>
  <c r="B614" i="2" s="1"/>
  <c r="S614" i="2"/>
  <c r="C614" i="2" s="1"/>
  <c r="R615" i="2"/>
  <c r="B615" i="2" s="1"/>
  <c r="S615" i="2"/>
  <c r="C615" i="2" s="1"/>
  <c r="R616" i="2"/>
  <c r="B616" i="2" s="1"/>
  <c r="S616" i="2"/>
  <c r="C616" i="2" s="1"/>
  <c r="R617" i="2"/>
  <c r="B617" i="2" s="1"/>
  <c r="S617" i="2"/>
  <c r="C617" i="2" s="1"/>
  <c r="R618" i="2"/>
  <c r="B618" i="2" s="1"/>
  <c r="S618" i="2"/>
  <c r="C618" i="2" s="1"/>
  <c r="R619" i="2"/>
  <c r="B619" i="2" s="1"/>
  <c r="S619" i="2"/>
  <c r="C619" i="2" s="1"/>
  <c r="R620" i="2"/>
  <c r="B620" i="2" s="1"/>
  <c r="S620" i="2"/>
  <c r="C620" i="2" s="1"/>
  <c r="R621" i="2"/>
  <c r="B621" i="2" s="1"/>
  <c r="S621" i="2"/>
  <c r="C621" i="2" s="1"/>
  <c r="R622" i="2"/>
  <c r="B622" i="2" s="1"/>
  <c r="S622" i="2"/>
  <c r="C622" i="2" s="1"/>
  <c r="R623" i="2"/>
  <c r="B623" i="2" s="1"/>
  <c r="S623" i="2"/>
  <c r="C623" i="2" s="1"/>
  <c r="R624" i="2"/>
  <c r="B624" i="2" s="1"/>
  <c r="S624" i="2"/>
  <c r="C624" i="2" s="1"/>
  <c r="R625" i="2"/>
  <c r="B625" i="2" s="1"/>
  <c r="S625" i="2"/>
  <c r="C625" i="2" s="1"/>
  <c r="R626" i="2"/>
  <c r="B626" i="2" s="1"/>
  <c r="S626" i="2"/>
  <c r="C626" i="2" s="1"/>
  <c r="R627" i="2"/>
  <c r="B627" i="2" s="1"/>
  <c r="S627" i="2"/>
  <c r="C627" i="2" s="1"/>
  <c r="R628" i="2"/>
  <c r="B628" i="2" s="1"/>
  <c r="S628" i="2"/>
  <c r="C628" i="2" s="1"/>
  <c r="R629" i="2"/>
  <c r="B629" i="2" s="1"/>
  <c r="S629" i="2"/>
  <c r="C629" i="2" s="1"/>
  <c r="R630" i="2"/>
  <c r="B630" i="2" s="1"/>
  <c r="S630" i="2"/>
  <c r="C630" i="2" s="1"/>
  <c r="R631" i="2"/>
  <c r="B631" i="2" s="1"/>
  <c r="S631" i="2"/>
  <c r="C631" i="2" s="1"/>
  <c r="R632" i="2"/>
  <c r="B632" i="2" s="1"/>
  <c r="S632" i="2"/>
  <c r="C632" i="2" s="1"/>
  <c r="R633" i="2"/>
  <c r="B633" i="2" s="1"/>
  <c r="S633" i="2"/>
  <c r="C633" i="2" s="1"/>
  <c r="R634" i="2"/>
  <c r="B634" i="2" s="1"/>
  <c r="S634" i="2"/>
  <c r="C634" i="2" s="1"/>
  <c r="R635" i="2"/>
  <c r="B635" i="2" s="1"/>
  <c r="S635" i="2"/>
  <c r="C635" i="2" s="1"/>
  <c r="R636" i="2"/>
  <c r="B636" i="2" s="1"/>
  <c r="S636" i="2"/>
  <c r="C636" i="2" s="1"/>
  <c r="R637" i="2"/>
  <c r="B637" i="2" s="1"/>
  <c r="S637" i="2"/>
  <c r="C637" i="2" s="1"/>
  <c r="R638" i="2"/>
  <c r="B638" i="2" s="1"/>
  <c r="S638" i="2"/>
  <c r="C638" i="2" s="1"/>
  <c r="R639" i="2"/>
  <c r="B639" i="2" s="1"/>
  <c r="S639" i="2"/>
  <c r="C639" i="2" s="1"/>
  <c r="R640" i="2"/>
  <c r="B640" i="2" s="1"/>
  <c r="S640" i="2"/>
  <c r="C640" i="2" s="1"/>
  <c r="R641" i="2"/>
  <c r="B641" i="2" s="1"/>
  <c r="S641" i="2"/>
  <c r="C641" i="2" s="1"/>
  <c r="R642" i="2"/>
  <c r="B642" i="2" s="1"/>
  <c r="S642" i="2"/>
  <c r="C642" i="2" s="1"/>
  <c r="R643" i="2"/>
  <c r="B643" i="2" s="1"/>
  <c r="S643" i="2"/>
  <c r="C643" i="2" s="1"/>
  <c r="R644" i="2"/>
  <c r="B644" i="2" s="1"/>
  <c r="S644" i="2"/>
  <c r="C644" i="2" s="1"/>
  <c r="R645" i="2"/>
  <c r="B645" i="2" s="1"/>
  <c r="S645" i="2"/>
  <c r="C645" i="2" s="1"/>
  <c r="R646" i="2"/>
  <c r="B646" i="2" s="1"/>
  <c r="S646" i="2"/>
  <c r="C646" i="2" s="1"/>
  <c r="R647" i="2"/>
  <c r="B647" i="2" s="1"/>
  <c r="S647" i="2"/>
  <c r="C647" i="2" s="1"/>
  <c r="R648" i="2"/>
  <c r="B648" i="2" s="1"/>
  <c r="S648" i="2"/>
  <c r="C648" i="2" s="1"/>
  <c r="R649" i="2"/>
  <c r="B649" i="2" s="1"/>
  <c r="S649" i="2"/>
  <c r="C649" i="2" s="1"/>
  <c r="R650" i="2"/>
  <c r="B650" i="2" s="1"/>
  <c r="S650" i="2"/>
  <c r="C650" i="2" s="1"/>
  <c r="R651" i="2"/>
  <c r="B651" i="2" s="1"/>
  <c r="S651" i="2"/>
  <c r="C651" i="2" s="1"/>
  <c r="R652" i="2"/>
  <c r="B652" i="2" s="1"/>
  <c r="S652" i="2"/>
  <c r="C652" i="2" s="1"/>
  <c r="R653" i="2"/>
  <c r="B653" i="2" s="1"/>
  <c r="S653" i="2"/>
  <c r="C653" i="2" s="1"/>
  <c r="R654" i="2"/>
  <c r="B654" i="2" s="1"/>
  <c r="S654" i="2"/>
  <c r="C654" i="2" s="1"/>
  <c r="R655" i="2"/>
  <c r="B655" i="2" s="1"/>
  <c r="S655" i="2"/>
  <c r="C655" i="2" s="1"/>
  <c r="R656" i="2"/>
  <c r="B656" i="2" s="1"/>
  <c r="S656" i="2"/>
  <c r="C656" i="2" s="1"/>
  <c r="R657" i="2"/>
  <c r="B657" i="2" s="1"/>
  <c r="S657" i="2"/>
  <c r="C657" i="2" s="1"/>
  <c r="R658" i="2"/>
  <c r="B658" i="2" s="1"/>
  <c r="S658" i="2"/>
  <c r="C658" i="2" s="1"/>
  <c r="R659" i="2"/>
  <c r="B659" i="2" s="1"/>
  <c r="S659" i="2"/>
  <c r="C659" i="2" s="1"/>
  <c r="R660" i="2"/>
  <c r="B660" i="2" s="1"/>
  <c r="S660" i="2"/>
  <c r="C660" i="2" s="1"/>
  <c r="R661" i="2"/>
  <c r="B661" i="2" s="1"/>
  <c r="S661" i="2"/>
  <c r="C661" i="2" s="1"/>
  <c r="R662" i="2"/>
  <c r="B662" i="2" s="1"/>
  <c r="S662" i="2"/>
  <c r="C662" i="2" s="1"/>
  <c r="R663" i="2"/>
  <c r="B663" i="2" s="1"/>
  <c r="S663" i="2"/>
  <c r="C663" i="2" s="1"/>
  <c r="R664" i="2"/>
  <c r="B664" i="2" s="1"/>
  <c r="S664" i="2"/>
  <c r="C664" i="2" s="1"/>
  <c r="R665" i="2"/>
  <c r="B665" i="2" s="1"/>
  <c r="S665" i="2"/>
  <c r="C665" i="2" s="1"/>
  <c r="R666" i="2"/>
  <c r="B666" i="2" s="1"/>
  <c r="S666" i="2"/>
  <c r="C666" i="2" s="1"/>
  <c r="R667" i="2"/>
  <c r="B667" i="2" s="1"/>
  <c r="S667" i="2"/>
  <c r="C667" i="2" s="1"/>
  <c r="R668" i="2"/>
  <c r="B668" i="2" s="1"/>
  <c r="S668" i="2"/>
  <c r="C668" i="2" s="1"/>
  <c r="R669" i="2"/>
  <c r="B669" i="2" s="1"/>
  <c r="S669" i="2"/>
  <c r="C669" i="2" s="1"/>
  <c r="R670" i="2"/>
  <c r="B670" i="2" s="1"/>
  <c r="S670" i="2"/>
  <c r="C670" i="2" s="1"/>
  <c r="R671" i="2"/>
  <c r="B671" i="2" s="1"/>
  <c r="S671" i="2"/>
  <c r="C671" i="2" s="1"/>
  <c r="R672" i="2"/>
  <c r="B672" i="2" s="1"/>
  <c r="S672" i="2"/>
  <c r="C672" i="2" s="1"/>
  <c r="R673" i="2"/>
  <c r="B673" i="2" s="1"/>
  <c r="S673" i="2"/>
  <c r="C673" i="2" s="1"/>
  <c r="R674" i="2"/>
  <c r="B674" i="2" s="1"/>
  <c r="S674" i="2"/>
  <c r="C674" i="2" s="1"/>
  <c r="R675" i="2"/>
  <c r="B675" i="2" s="1"/>
  <c r="S675" i="2"/>
  <c r="C675" i="2" s="1"/>
  <c r="R676" i="2"/>
  <c r="B676" i="2" s="1"/>
  <c r="S676" i="2"/>
  <c r="C676" i="2" s="1"/>
  <c r="R677" i="2"/>
  <c r="B677" i="2" s="1"/>
  <c r="S677" i="2"/>
  <c r="C677" i="2" s="1"/>
  <c r="R678" i="2"/>
  <c r="B678" i="2" s="1"/>
  <c r="S678" i="2"/>
  <c r="C678" i="2" s="1"/>
  <c r="R679" i="2"/>
  <c r="B679" i="2" s="1"/>
  <c r="S679" i="2"/>
  <c r="C679" i="2" s="1"/>
  <c r="R680" i="2"/>
  <c r="B680" i="2" s="1"/>
  <c r="S680" i="2"/>
  <c r="C680" i="2" s="1"/>
  <c r="R681" i="2"/>
  <c r="B681" i="2" s="1"/>
  <c r="S681" i="2"/>
  <c r="C681" i="2" s="1"/>
  <c r="R682" i="2"/>
  <c r="B682" i="2" s="1"/>
  <c r="S682" i="2"/>
  <c r="C682" i="2" s="1"/>
  <c r="R683" i="2"/>
  <c r="B683" i="2" s="1"/>
  <c r="S683" i="2"/>
  <c r="C683" i="2" s="1"/>
  <c r="R684" i="2"/>
  <c r="B684" i="2" s="1"/>
  <c r="S684" i="2"/>
  <c r="C684" i="2" s="1"/>
  <c r="R685" i="2"/>
  <c r="B685" i="2" s="1"/>
  <c r="S685" i="2"/>
  <c r="C685" i="2" s="1"/>
  <c r="R686" i="2"/>
  <c r="B686" i="2" s="1"/>
  <c r="S686" i="2"/>
  <c r="C686" i="2" s="1"/>
  <c r="R687" i="2"/>
  <c r="B687" i="2" s="1"/>
  <c r="S687" i="2"/>
  <c r="C687" i="2" s="1"/>
  <c r="R688" i="2"/>
  <c r="B688" i="2" s="1"/>
  <c r="S688" i="2"/>
  <c r="C688" i="2" s="1"/>
  <c r="R689" i="2"/>
  <c r="B689" i="2" s="1"/>
  <c r="S689" i="2"/>
  <c r="C689" i="2" s="1"/>
  <c r="R690" i="2"/>
  <c r="B690" i="2" s="1"/>
  <c r="S690" i="2"/>
  <c r="C690" i="2" s="1"/>
  <c r="R691" i="2"/>
  <c r="B691" i="2" s="1"/>
  <c r="S691" i="2"/>
  <c r="C691" i="2" s="1"/>
  <c r="R692" i="2"/>
  <c r="B692" i="2" s="1"/>
  <c r="S692" i="2"/>
  <c r="C692" i="2" s="1"/>
  <c r="R693" i="2"/>
  <c r="B693" i="2" s="1"/>
  <c r="S693" i="2"/>
  <c r="C693" i="2" s="1"/>
  <c r="R694" i="2"/>
  <c r="B694" i="2" s="1"/>
  <c r="S694" i="2"/>
  <c r="C694" i="2" s="1"/>
  <c r="R695" i="2"/>
  <c r="B695" i="2" s="1"/>
  <c r="S695" i="2"/>
  <c r="C695" i="2" s="1"/>
  <c r="R696" i="2"/>
  <c r="B696" i="2" s="1"/>
  <c r="S696" i="2"/>
  <c r="C696" i="2" s="1"/>
  <c r="S2" i="2"/>
  <c r="C2" i="2" s="1"/>
  <c r="R2" i="2"/>
  <c r="B2" i="2" s="1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646" i="2"/>
  <c r="Q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696" i="2"/>
  <c r="A2" i="1" l="1"/>
  <c r="F870" i="2"/>
  <c r="F868" i="2"/>
  <c r="F867" i="2"/>
  <c r="F869" i="2"/>
  <c r="F871" i="2"/>
  <c r="F865" i="2"/>
  <c r="F866" i="2"/>
  <c r="F862" i="2"/>
  <c r="F864" i="2"/>
  <c r="F863" i="2"/>
  <c r="G868" i="2"/>
  <c r="G870" i="2"/>
  <c r="G867" i="2"/>
  <c r="G869" i="2"/>
  <c r="G871" i="2"/>
  <c r="G864" i="2"/>
  <c r="G863" i="2"/>
  <c r="G865" i="2"/>
  <c r="G862" i="2"/>
  <c r="G866" i="2"/>
  <c r="E9" i="8"/>
  <c r="B10" i="8"/>
  <c r="B8" i="8"/>
  <c r="F9" i="8"/>
  <c r="C26" i="8" s="1"/>
  <c r="C10" i="8"/>
  <c r="F27" i="8" s="1"/>
  <c r="E10" i="8"/>
  <c r="B12" i="8"/>
  <c r="F10" i="8"/>
  <c r="C27" i="8" s="1"/>
  <c r="C12" i="8"/>
  <c r="F29" i="8" s="1"/>
  <c r="E11" i="8"/>
  <c r="B13" i="8"/>
  <c r="F11" i="8"/>
  <c r="C28" i="8" s="1"/>
  <c r="C13" i="8"/>
  <c r="F30" i="8" s="1"/>
  <c r="E12" i="8"/>
  <c r="B14" i="8"/>
  <c r="F12" i="8"/>
  <c r="C29" i="8" s="1"/>
  <c r="C14" i="8"/>
  <c r="F31" i="8" s="1"/>
  <c r="E14" i="8"/>
  <c r="B18" i="8"/>
  <c r="F14" i="8"/>
  <c r="C31" i="8" s="1"/>
  <c r="F8" i="8"/>
  <c r="C25" i="8" s="1"/>
  <c r="B9" i="8"/>
  <c r="E8" i="8"/>
  <c r="C9" i="8"/>
  <c r="F26" i="8" s="1"/>
  <c r="C8" i="8"/>
  <c r="F25" i="8" s="1"/>
  <c r="F18" i="8"/>
  <c r="C35" i="8" s="1"/>
  <c r="B15" i="8"/>
  <c r="C18" i="8"/>
  <c r="F35" i="8" s="1"/>
  <c r="C16" i="8"/>
  <c r="F33" i="8" s="1"/>
  <c r="F16" i="8"/>
  <c r="C33" i="8" s="1"/>
  <c r="B21" i="8"/>
  <c r="E20" i="8"/>
  <c r="B11" i="8"/>
  <c r="B20" i="8"/>
  <c r="F20" i="8"/>
  <c r="C37" i="8" s="1"/>
  <c r="E18" i="8"/>
  <c r="F17" i="8"/>
  <c r="C34" i="8" s="1"/>
  <c r="C17" i="8"/>
  <c r="F34" i="8" s="1"/>
  <c r="C21" i="8"/>
  <c r="F38" i="8" s="1"/>
  <c r="E16" i="8"/>
  <c r="F13" i="8"/>
  <c r="C30" i="8" s="1"/>
  <c r="F21" i="8"/>
  <c r="C38" i="8" s="1"/>
  <c r="F15" i="8"/>
  <c r="C32" i="8" s="1"/>
  <c r="F19" i="8"/>
  <c r="C36" i="8" s="1"/>
  <c r="B16" i="8"/>
  <c r="C19" i="8"/>
  <c r="F36" i="8" s="1"/>
  <c r="B17" i="8"/>
  <c r="C15" i="8"/>
  <c r="F32" i="8" s="1"/>
  <c r="B19" i="8"/>
  <c r="E19" i="8"/>
  <c r="E17" i="8"/>
  <c r="E21" i="8"/>
  <c r="E13" i="8"/>
  <c r="C11" i="8"/>
  <c r="F28" i="8" s="1"/>
  <c r="C20" i="8"/>
  <c r="F37" i="8" s="1"/>
  <c r="E15" i="8"/>
  <c r="G859" i="2"/>
  <c r="G861" i="2"/>
  <c r="G857" i="2"/>
  <c r="G858" i="2"/>
  <c r="G860" i="2"/>
  <c r="F860" i="2"/>
  <c r="F857" i="2"/>
  <c r="F861" i="2"/>
  <c r="F858" i="2"/>
  <c r="F859" i="2"/>
  <c r="A114" i="1"/>
  <c r="A112" i="1"/>
  <c r="A119" i="1"/>
  <c r="A115" i="1"/>
  <c r="A117" i="1"/>
  <c r="A120" i="1"/>
  <c r="A113" i="1"/>
  <c r="A116" i="1"/>
  <c r="A118" i="1"/>
  <c r="A121" i="1"/>
  <c r="F839" i="2"/>
  <c r="F856" i="2"/>
  <c r="F838" i="2"/>
  <c r="F851" i="2"/>
  <c r="F846" i="2"/>
  <c r="F849" i="2"/>
  <c r="F848" i="2"/>
  <c r="F843" i="2"/>
  <c r="F853" i="2"/>
  <c r="F837" i="2"/>
  <c r="F842" i="2"/>
  <c r="F854" i="2"/>
  <c r="F852" i="2"/>
  <c r="F841" i="2"/>
  <c r="F845" i="2"/>
  <c r="F855" i="2"/>
  <c r="F844" i="2"/>
  <c r="F840" i="2"/>
  <c r="F850" i="2"/>
  <c r="F847" i="2"/>
  <c r="G851" i="2"/>
  <c r="G847" i="2"/>
  <c r="G848" i="2"/>
  <c r="G846" i="2"/>
  <c r="G841" i="2"/>
  <c r="G853" i="2"/>
  <c r="G845" i="2"/>
  <c r="G839" i="2"/>
  <c r="G852" i="2"/>
  <c r="G838" i="2"/>
  <c r="G855" i="2"/>
  <c r="G843" i="2"/>
  <c r="G844" i="2"/>
  <c r="G840" i="2"/>
  <c r="G856" i="2"/>
  <c r="G850" i="2"/>
  <c r="G854" i="2"/>
  <c r="G837" i="2"/>
  <c r="G842" i="2"/>
  <c r="G849" i="2"/>
  <c r="F830" i="2"/>
  <c r="F826" i="2"/>
  <c r="F832" i="2"/>
  <c r="F836" i="2"/>
  <c r="F827" i="2"/>
  <c r="F824" i="2"/>
  <c r="F809" i="2"/>
  <c r="F831" i="2"/>
  <c r="F813" i="2"/>
  <c r="F825" i="2"/>
  <c r="F822" i="2"/>
  <c r="F833" i="2"/>
  <c r="F805" i="2"/>
  <c r="F804" i="2"/>
  <c r="F802" i="2"/>
  <c r="F823" i="2"/>
  <c r="F808" i="2"/>
  <c r="F818" i="2"/>
  <c r="F810" i="2"/>
  <c r="F812" i="2"/>
  <c r="F806" i="2"/>
  <c r="F803" i="2"/>
  <c r="F834" i="2"/>
  <c r="F817" i="2"/>
  <c r="F829" i="2"/>
  <c r="F814" i="2"/>
  <c r="F815" i="2"/>
  <c r="F807" i="2"/>
  <c r="F811" i="2"/>
  <c r="F835" i="2"/>
  <c r="F820" i="2"/>
  <c r="F819" i="2"/>
  <c r="F821" i="2"/>
  <c r="F828" i="2"/>
  <c r="F816" i="2"/>
  <c r="G833" i="2"/>
  <c r="G802" i="2"/>
  <c r="G818" i="2"/>
  <c r="G803" i="2"/>
  <c r="G836" i="2"/>
  <c r="G832" i="2"/>
  <c r="G817" i="2"/>
  <c r="G816" i="2"/>
  <c r="G807" i="2"/>
  <c r="G830" i="2"/>
  <c r="G823" i="2"/>
  <c r="G815" i="2"/>
  <c r="G805" i="2"/>
  <c r="G824" i="2"/>
  <c r="G809" i="2"/>
  <c r="G829" i="2"/>
  <c r="G814" i="2"/>
  <c r="G813" i="2"/>
  <c r="G806" i="2"/>
  <c r="G822" i="2"/>
  <c r="G811" i="2"/>
  <c r="G804" i="2"/>
  <c r="G828" i="2"/>
  <c r="G831" i="2"/>
  <c r="G827" i="2"/>
  <c r="G812" i="2"/>
  <c r="G825" i="2"/>
  <c r="G819" i="2"/>
  <c r="G808" i="2"/>
  <c r="G821" i="2"/>
  <c r="G810" i="2"/>
  <c r="G820" i="2"/>
  <c r="G826" i="2"/>
  <c r="G835" i="2"/>
  <c r="G834" i="2"/>
  <c r="F758" i="2"/>
  <c r="F753" i="2"/>
  <c r="F787" i="2"/>
  <c r="F790" i="2"/>
  <c r="F773" i="2"/>
  <c r="F786" i="2"/>
  <c r="F762" i="2"/>
  <c r="F785" i="2"/>
  <c r="F784" i="2"/>
  <c r="F759" i="2"/>
  <c r="F796" i="2"/>
  <c r="F779" i="2"/>
  <c r="F788" i="2"/>
  <c r="F775" i="2"/>
  <c r="F766" i="2"/>
  <c r="F783" i="2"/>
  <c r="F801" i="2"/>
  <c r="F760" i="2"/>
  <c r="F772" i="2"/>
  <c r="F800" i="2"/>
  <c r="F794" i="2"/>
  <c r="F764" i="2"/>
  <c r="F782" i="2"/>
  <c r="F781" i="2"/>
  <c r="F763" i="2"/>
  <c r="F795" i="2"/>
  <c r="F789" i="2"/>
  <c r="F777" i="2"/>
  <c r="F791" i="2"/>
  <c r="F768" i="2"/>
  <c r="F776" i="2"/>
  <c r="F770" i="2"/>
  <c r="F793" i="2"/>
  <c r="F756" i="2"/>
  <c r="F757" i="2"/>
  <c r="F780" i="2"/>
  <c r="F771" i="2"/>
  <c r="F765" i="2"/>
  <c r="F797" i="2"/>
  <c r="F754" i="2"/>
  <c r="F778" i="2"/>
  <c r="F792" i="2"/>
  <c r="F767" i="2"/>
  <c r="F774" i="2"/>
  <c r="F752" i="2"/>
  <c r="F755" i="2"/>
  <c r="F799" i="2"/>
  <c r="F761" i="2"/>
  <c r="F798" i="2"/>
  <c r="F769" i="2"/>
  <c r="G798" i="2"/>
  <c r="G764" i="2"/>
  <c r="G785" i="2"/>
  <c r="G787" i="2"/>
  <c r="G768" i="2"/>
  <c r="G781" i="2"/>
  <c r="G783" i="2"/>
  <c r="G780" i="2"/>
  <c r="G753" i="2"/>
  <c r="G777" i="2"/>
  <c r="G779" i="2"/>
  <c r="G774" i="2"/>
  <c r="G773" i="2"/>
  <c r="G775" i="2"/>
  <c r="G755" i="2"/>
  <c r="G770" i="2"/>
  <c r="G776" i="2"/>
  <c r="G778" i="2"/>
  <c r="G796" i="2"/>
  <c r="G769" i="2"/>
  <c r="G771" i="2"/>
  <c r="G786" i="2"/>
  <c r="G760" i="2"/>
  <c r="G752" i="2"/>
  <c r="G765" i="2"/>
  <c r="G767" i="2"/>
  <c r="G754" i="2"/>
  <c r="G794" i="2"/>
  <c r="G759" i="2"/>
  <c r="G763" i="2"/>
  <c r="G800" i="2"/>
  <c r="G801" i="2"/>
  <c r="G756" i="2"/>
  <c r="G762" i="2"/>
  <c r="G788" i="2"/>
  <c r="G797" i="2"/>
  <c r="G799" i="2"/>
  <c r="G792" i="2"/>
  <c r="G758" i="2"/>
  <c r="G790" i="2"/>
  <c r="G772" i="2"/>
  <c r="G766" i="2"/>
  <c r="G793" i="2"/>
  <c r="G789" i="2"/>
  <c r="G795" i="2"/>
  <c r="G784" i="2"/>
  <c r="G761" i="2"/>
  <c r="G791" i="2"/>
  <c r="G782" i="2"/>
  <c r="G757" i="2"/>
  <c r="AJ9" i="5"/>
  <c r="AR7" i="5"/>
  <c r="AR10" i="5"/>
  <c r="AR13" i="5"/>
  <c r="AR16" i="5"/>
  <c r="AR19" i="5"/>
  <c r="AR22" i="5"/>
  <c r="AR25" i="5"/>
  <c r="AR28" i="5"/>
  <c r="AR31" i="5"/>
  <c r="AR34" i="5"/>
  <c r="AR37" i="5"/>
  <c r="AR40" i="5"/>
  <c r="AR43" i="5"/>
  <c r="AR46" i="5"/>
  <c r="AR49" i="5"/>
  <c r="AR52" i="5"/>
  <c r="AR55" i="5"/>
  <c r="AR58" i="5"/>
  <c r="AR61" i="5"/>
  <c r="AR64" i="5"/>
  <c r="AR67" i="5"/>
  <c r="AR70" i="5"/>
  <c r="AR73" i="5"/>
  <c r="AR76" i="5"/>
  <c r="AR79" i="5"/>
  <c r="AR82" i="5"/>
  <c r="AR85" i="5"/>
  <c r="AR88" i="5"/>
  <c r="AR91" i="5"/>
  <c r="AR94" i="5"/>
  <c r="AJ10" i="5"/>
  <c r="AJ22" i="5"/>
  <c r="AJ34" i="5"/>
  <c r="AJ46" i="5"/>
  <c r="AJ58" i="5"/>
  <c r="AJ70" i="5"/>
  <c r="AJ82" i="5"/>
  <c r="AJ94" i="5"/>
  <c r="AG17" i="5"/>
  <c r="AG29" i="5"/>
  <c r="AG41" i="5"/>
  <c r="AG53" i="5"/>
  <c r="AG65" i="5"/>
  <c r="AG77" i="5"/>
  <c r="AG89" i="5"/>
  <c r="AE9" i="5"/>
  <c r="AE15" i="5"/>
  <c r="AE21" i="5"/>
  <c r="AE27" i="5"/>
  <c r="AE33" i="5"/>
  <c r="AE39" i="5"/>
  <c r="AE45" i="5"/>
  <c r="AE51" i="5"/>
  <c r="AE57" i="5"/>
  <c r="AE63" i="5"/>
  <c r="AE69" i="5"/>
  <c r="AE75" i="5"/>
  <c r="AE81" i="5"/>
  <c r="AE87" i="5"/>
  <c r="AE93" i="5"/>
  <c r="AE88" i="5"/>
  <c r="AR83" i="5"/>
  <c r="AJ50" i="5"/>
  <c r="AJ86" i="5"/>
  <c r="AG45" i="5"/>
  <c r="AG93" i="5"/>
  <c r="AE29" i="5"/>
  <c r="AM8" i="5"/>
  <c r="AM11" i="5"/>
  <c r="AM14" i="5"/>
  <c r="AM17" i="5"/>
  <c r="AM20" i="5"/>
  <c r="AM23" i="5"/>
  <c r="AM26" i="5"/>
  <c r="AM29" i="5"/>
  <c r="AM32" i="5"/>
  <c r="AM35" i="5"/>
  <c r="AM38" i="5"/>
  <c r="AM41" i="5"/>
  <c r="AM44" i="5"/>
  <c r="AM47" i="5"/>
  <c r="AM50" i="5"/>
  <c r="AM53" i="5"/>
  <c r="AM56" i="5"/>
  <c r="AM59" i="5"/>
  <c r="AM62" i="5"/>
  <c r="AM65" i="5"/>
  <c r="AM68" i="5"/>
  <c r="AM71" i="5"/>
  <c r="AM74" i="5"/>
  <c r="AM77" i="5"/>
  <c r="AM80" i="5"/>
  <c r="AM83" i="5"/>
  <c r="AM86" i="5"/>
  <c r="AM89" i="5"/>
  <c r="AM92" i="5"/>
  <c r="AR5" i="5"/>
  <c r="AJ11" i="5"/>
  <c r="AJ23" i="5"/>
  <c r="AJ35" i="5"/>
  <c r="AJ47" i="5"/>
  <c r="AJ59" i="5"/>
  <c r="AJ71" i="5"/>
  <c r="AJ83" i="5"/>
  <c r="AG6" i="5"/>
  <c r="AG18" i="5"/>
  <c r="AG30" i="5"/>
  <c r="AG42" i="5"/>
  <c r="AG54" i="5"/>
  <c r="AG66" i="5"/>
  <c r="AG78" i="5"/>
  <c r="AG90" i="5"/>
  <c r="AE76" i="5"/>
  <c r="AE94" i="5"/>
  <c r="AM5" i="5"/>
  <c r="AG9" i="5"/>
  <c r="AE11" i="5"/>
  <c r="AE41" i="5"/>
  <c r="AO8" i="5"/>
  <c r="AO11" i="5"/>
  <c r="AO14" i="5"/>
  <c r="AO17" i="5"/>
  <c r="AO20" i="5"/>
  <c r="AO23" i="5"/>
  <c r="AO26" i="5"/>
  <c r="AO29" i="5"/>
  <c r="AO32" i="5"/>
  <c r="AO35" i="5"/>
  <c r="AO38" i="5"/>
  <c r="AO41" i="5"/>
  <c r="AO44" i="5"/>
  <c r="AO47" i="5"/>
  <c r="AO50" i="5"/>
  <c r="AO53" i="5"/>
  <c r="AO56" i="5"/>
  <c r="AO59" i="5"/>
  <c r="AO62" i="5"/>
  <c r="AO65" i="5"/>
  <c r="AO68" i="5"/>
  <c r="AO71" i="5"/>
  <c r="AO74" i="5"/>
  <c r="AO77" i="5"/>
  <c r="AO80" i="5"/>
  <c r="AO83" i="5"/>
  <c r="AO86" i="5"/>
  <c r="AO89" i="5"/>
  <c r="AO92" i="5"/>
  <c r="AJ12" i="5"/>
  <c r="AJ24" i="5"/>
  <c r="AJ36" i="5"/>
  <c r="AJ48" i="5"/>
  <c r="AJ60" i="5"/>
  <c r="AJ72" i="5"/>
  <c r="AJ84" i="5"/>
  <c r="AG7" i="5"/>
  <c r="AG19" i="5"/>
  <c r="AG31" i="5"/>
  <c r="AG43" i="5"/>
  <c r="AG55" i="5"/>
  <c r="AG67" i="5"/>
  <c r="AG79" i="5"/>
  <c r="AG91" i="5"/>
  <c r="AE10" i="5"/>
  <c r="AE16" i="5"/>
  <c r="AE22" i="5"/>
  <c r="AE28" i="5"/>
  <c r="AE34" i="5"/>
  <c r="AE40" i="5"/>
  <c r="AE46" i="5"/>
  <c r="AE52" i="5"/>
  <c r="AE58" i="5"/>
  <c r="AE64" i="5"/>
  <c r="AE70" i="5"/>
  <c r="AE82" i="5"/>
  <c r="AR89" i="5"/>
  <c r="AJ38" i="5"/>
  <c r="AJ74" i="5"/>
  <c r="AG33" i="5"/>
  <c r="AG81" i="5"/>
  <c r="AE23" i="5"/>
  <c r="AE47" i="5"/>
  <c r="AO5" i="5"/>
  <c r="AJ13" i="5"/>
  <c r="AJ25" i="5"/>
  <c r="AJ37" i="5"/>
  <c r="AJ49" i="5"/>
  <c r="AJ61" i="5"/>
  <c r="AJ73" i="5"/>
  <c r="AJ85" i="5"/>
  <c r="AG8" i="5"/>
  <c r="AG20" i="5"/>
  <c r="AG32" i="5"/>
  <c r="AG44" i="5"/>
  <c r="AG56" i="5"/>
  <c r="AG68" i="5"/>
  <c r="AG80" i="5"/>
  <c r="AG92" i="5"/>
  <c r="AR86" i="5"/>
  <c r="AJ26" i="5"/>
  <c r="AJ62" i="5"/>
  <c r="AG57" i="5"/>
  <c r="AE35" i="5"/>
  <c r="AE5" i="5"/>
  <c r="AR8" i="5"/>
  <c r="AR11" i="5"/>
  <c r="AR14" i="5"/>
  <c r="AR17" i="5"/>
  <c r="AR20" i="5"/>
  <c r="AR23" i="5"/>
  <c r="AR26" i="5"/>
  <c r="AR29" i="5"/>
  <c r="AR32" i="5"/>
  <c r="AR35" i="5"/>
  <c r="AR38" i="5"/>
  <c r="AR41" i="5"/>
  <c r="AR44" i="5"/>
  <c r="AR47" i="5"/>
  <c r="AR50" i="5"/>
  <c r="AR53" i="5"/>
  <c r="AR56" i="5"/>
  <c r="AR59" i="5"/>
  <c r="AR62" i="5"/>
  <c r="AR65" i="5"/>
  <c r="AR68" i="5"/>
  <c r="AR71" i="5"/>
  <c r="AR74" i="5"/>
  <c r="AR77" i="5"/>
  <c r="AR80" i="5"/>
  <c r="AR92" i="5"/>
  <c r="AJ14" i="5"/>
  <c r="AG21" i="5"/>
  <c r="AG69" i="5"/>
  <c r="AE17" i="5"/>
  <c r="AM6" i="5"/>
  <c r="AM9" i="5"/>
  <c r="AM12" i="5"/>
  <c r="AM15" i="5"/>
  <c r="AM18" i="5"/>
  <c r="AM21" i="5"/>
  <c r="AM24" i="5"/>
  <c r="AM27" i="5"/>
  <c r="AM30" i="5"/>
  <c r="AM33" i="5"/>
  <c r="AM36" i="5"/>
  <c r="AM39" i="5"/>
  <c r="AM42" i="5"/>
  <c r="AM45" i="5"/>
  <c r="AM48" i="5"/>
  <c r="AM51" i="5"/>
  <c r="AM54" i="5"/>
  <c r="AM57" i="5"/>
  <c r="AM60" i="5"/>
  <c r="AM63" i="5"/>
  <c r="AM66" i="5"/>
  <c r="AM69" i="5"/>
  <c r="AM72" i="5"/>
  <c r="AM75" i="5"/>
  <c r="AM78" i="5"/>
  <c r="AM81" i="5"/>
  <c r="AM84" i="5"/>
  <c r="AM87" i="5"/>
  <c r="AM90" i="5"/>
  <c r="AM93" i="5"/>
  <c r="AJ5" i="5"/>
  <c r="AJ15" i="5"/>
  <c r="AJ27" i="5"/>
  <c r="AJ39" i="5"/>
  <c r="AJ51" i="5"/>
  <c r="AJ63" i="5"/>
  <c r="AJ75" i="5"/>
  <c r="AJ87" i="5"/>
  <c r="AG10" i="5"/>
  <c r="AG22" i="5"/>
  <c r="AG34" i="5"/>
  <c r="AG46" i="5"/>
  <c r="AG58" i="5"/>
  <c r="AG70" i="5"/>
  <c r="AG5" i="5"/>
  <c r="AJ17" i="5"/>
  <c r="AJ29" i="5"/>
  <c r="AJ41" i="5"/>
  <c r="AJ53" i="5"/>
  <c r="AJ65" i="5"/>
  <c r="AJ77" i="5"/>
  <c r="AJ89" i="5"/>
  <c r="AG12" i="5"/>
  <c r="AG24" i="5"/>
  <c r="AG36" i="5"/>
  <c r="AG48" i="5"/>
  <c r="AG60" i="5"/>
  <c r="AG72" i="5"/>
  <c r="AG84" i="5"/>
  <c r="AR42" i="5"/>
  <c r="AR45" i="5"/>
  <c r="AR48" i="5"/>
  <c r="AR6" i="5"/>
  <c r="AR9" i="5"/>
  <c r="AR12" i="5"/>
  <c r="AR15" i="5"/>
  <c r="AR18" i="5"/>
  <c r="AR21" i="5"/>
  <c r="AR24" i="5"/>
  <c r="AR27" i="5"/>
  <c r="AR30" i="5"/>
  <c r="AR33" i="5"/>
  <c r="AR36" i="5"/>
  <c r="AR39" i="5"/>
  <c r="AO6" i="5"/>
  <c r="AO18" i="5"/>
  <c r="AO30" i="5"/>
  <c r="AO42" i="5"/>
  <c r="AO52" i="5"/>
  <c r="AO61" i="5"/>
  <c r="AO70" i="5"/>
  <c r="AO79" i="5"/>
  <c r="AO88" i="5"/>
  <c r="AJ8" i="5"/>
  <c r="AJ42" i="5"/>
  <c r="AJ68" i="5"/>
  <c r="AG11" i="5"/>
  <c r="AM7" i="5"/>
  <c r="AM19" i="5"/>
  <c r="AM31" i="5"/>
  <c r="AM43" i="5"/>
  <c r="AO54" i="5"/>
  <c r="AO63" i="5"/>
  <c r="AO72" i="5"/>
  <c r="AO81" i="5"/>
  <c r="AO90" i="5"/>
  <c r="AJ16" i="5"/>
  <c r="AJ43" i="5"/>
  <c r="AJ69" i="5"/>
  <c r="AG13" i="5"/>
  <c r="AG39" i="5"/>
  <c r="AG71" i="5"/>
  <c r="AE6" i="5"/>
  <c r="AE18" i="5"/>
  <c r="AE30" i="5"/>
  <c r="AE42" i="5"/>
  <c r="AE84" i="5"/>
  <c r="AE31" i="5"/>
  <c r="AE65" i="5"/>
  <c r="AE85" i="5"/>
  <c r="AG26" i="5"/>
  <c r="AO69" i="5"/>
  <c r="AJ32" i="5"/>
  <c r="AE80" i="5"/>
  <c r="AR78" i="5"/>
  <c r="AJ92" i="5"/>
  <c r="AE38" i="5"/>
  <c r="AM52" i="5"/>
  <c r="AM79" i="5"/>
  <c r="AG37" i="5"/>
  <c r="AO7" i="5"/>
  <c r="AO19" i="5"/>
  <c r="AO31" i="5"/>
  <c r="AO43" i="5"/>
  <c r="AR54" i="5"/>
  <c r="AR63" i="5"/>
  <c r="AR72" i="5"/>
  <c r="AR81" i="5"/>
  <c r="AR90" i="5"/>
  <c r="AJ18" i="5"/>
  <c r="AJ44" i="5"/>
  <c r="AJ76" i="5"/>
  <c r="AG14" i="5"/>
  <c r="AG40" i="5"/>
  <c r="AG73" i="5"/>
  <c r="AE7" i="5"/>
  <c r="AE19" i="5"/>
  <c r="AE43" i="5"/>
  <c r="AE54" i="5"/>
  <c r="AE74" i="5"/>
  <c r="AM85" i="5"/>
  <c r="AE36" i="5"/>
  <c r="AO39" i="5"/>
  <c r="AG61" i="5"/>
  <c r="AR60" i="5"/>
  <c r="AJ33" i="5"/>
  <c r="AG62" i="5"/>
  <c r="AE61" i="5"/>
  <c r="AM70" i="5"/>
  <c r="AJ67" i="5"/>
  <c r="AE72" i="5"/>
  <c r="AE73" i="5"/>
  <c r="AO9" i="5"/>
  <c r="AO21" i="5"/>
  <c r="AO33" i="5"/>
  <c r="AO45" i="5"/>
  <c r="AM55" i="5"/>
  <c r="AM64" i="5"/>
  <c r="AM73" i="5"/>
  <c r="AM82" i="5"/>
  <c r="AM91" i="5"/>
  <c r="AJ19" i="5"/>
  <c r="AJ45" i="5"/>
  <c r="AJ78" i="5"/>
  <c r="AG15" i="5"/>
  <c r="AG47" i="5"/>
  <c r="AG74" i="5"/>
  <c r="AE55" i="5"/>
  <c r="AM13" i="5"/>
  <c r="AM58" i="5"/>
  <c r="AM76" i="5"/>
  <c r="AJ88" i="5"/>
  <c r="AE12" i="5"/>
  <c r="AE68" i="5"/>
  <c r="AO78" i="5"/>
  <c r="AE60" i="5"/>
  <c r="AR69" i="5"/>
  <c r="AJ66" i="5"/>
  <c r="AE14" i="5"/>
  <c r="AM61" i="5"/>
  <c r="AJ7" i="5"/>
  <c r="AG38" i="5"/>
  <c r="AE53" i="5"/>
  <c r="AM10" i="5"/>
  <c r="AM22" i="5"/>
  <c r="AM34" i="5"/>
  <c r="AM46" i="5"/>
  <c r="AO55" i="5"/>
  <c r="AO64" i="5"/>
  <c r="AO73" i="5"/>
  <c r="AO82" i="5"/>
  <c r="AO91" i="5"/>
  <c r="AJ20" i="5"/>
  <c r="AJ52" i="5"/>
  <c r="AJ79" i="5"/>
  <c r="AG16" i="5"/>
  <c r="AG49" i="5"/>
  <c r="AG75" i="5"/>
  <c r="AE8" i="5"/>
  <c r="AE20" i="5"/>
  <c r="AE32" i="5"/>
  <c r="AE44" i="5"/>
  <c r="AE66" i="5"/>
  <c r="AE77" i="5"/>
  <c r="AE86" i="5"/>
  <c r="AE89" i="5"/>
  <c r="AM49" i="5"/>
  <c r="AM94" i="5"/>
  <c r="AE24" i="5"/>
  <c r="AE79" i="5"/>
  <c r="AO87" i="5"/>
  <c r="AG86" i="5"/>
  <c r="AM40" i="5"/>
  <c r="AJ6" i="5"/>
  <c r="AE26" i="5"/>
  <c r="AO28" i="5"/>
  <c r="AM88" i="5"/>
  <c r="AG63" i="5"/>
  <c r="AG94" i="5"/>
  <c r="AO10" i="5"/>
  <c r="AO22" i="5"/>
  <c r="AO34" i="5"/>
  <c r="AO46" i="5"/>
  <c r="AO57" i="5"/>
  <c r="AO66" i="5"/>
  <c r="AO75" i="5"/>
  <c r="AO84" i="5"/>
  <c r="AO93" i="5"/>
  <c r="AJ21" i="5"/>
  <c r="AJ54" i="5"/>
  <c r="AJ80" i="5"/>
  <c r="AG23" i="5"/>
  <c r="AG50" i="5"/>
  <c r="AG76" i="5"/>
  <c r="AE56" i="5"/>
  <c r="AE67" i="5"/>
  <c r="AE78" i="5"/>
  <c r="AM37" i="5"/>
  <c r="AM67" i="5"/>
  <c r="AJ56" i="5"/>
  <c r="AG52" i="5"/>
  <c r="AE48" i="5"/>
  <c r="AO27" i="5"/>
  <c r="AG28" i="5"/>
  <c r="AE91" i="5"/>
  <c r="AR51" i="5"/>
  <c r="AO12" i="5"/>
  <c r="AO24" i="5"/>
  <c r="AO36" i="5"/>
  <c r="AO48" i="5"/>
  <c r="AR57" i="5"/>
  <c r="AR66" i="5"/>
  <c r="AR75" i="5"/>
  <c r="AR84" i="5"/>
  <c r="AR93" i="5"/>
  <c r="AJ28" i="5"/>
  <c r="AJ55" i="5"/>
  <c r="AJ81" i="5"/>
  <c r="AG25" i="5"/>
  <c r="AG51" i="5"/>
  <c r="AG82" i="5"/>
  <c r="AM25" i="5"/>
  <c r="AJ30" i="5"/>
  <c r="AG83" i="5"/>
  <c r="AE59" i="5"/>
  <c r="AO60" i="5"/>
  <c r="AJ91" i="5"/>
  <c r="AM16" i="5"/>
  <c r="AG35" i="5"/>
  <c r="AO40" i="5"/>
  <c r="AJ93" i="5"/>
  <c r="AE83" i="5"/>
  <c r="AG87" i="5"/>
  <c r="AE92" i="5"/>
  <c r="AO13" i="5"/>
  <c r="AO25" i="5"/>
  <c r="AO37" i="5"/>
  <c r="AO49" i="5"/>
  <c r="AO58" i="5"/>
  <c r="AO67" i="5"/>
  <c r="AO76" i="5"/>
  <c r="AO85" i="5"/>
  <c r="AO94" i="5"/>
  <c r="AJ31" i="5"/>
  <c r="AJ57" i="5"/>
  <c r="AJ90" i="5"/>
  <c r="AG27" i="5"/>
  <c r="AG59" i="5"/>
  <c r="AG85" i="5"/>
  <c r="AE13" i="5"/>
  <c r="AE25" i="5"/>
  <c r="AE37" i="5"/>
  <c r="AE49" i="5"/>
  <c r="AE90" i="5"/>
  <c r="AO15" i="5"/>
  <c r="AO51" i="5"/>
  <c r="AJ64" i="5"/>
  <c r="AE71" i="5"/>
  <c r="AM28" i="5"/>
  <c r="AR87" i="5"/>
  <c r="AE50" i="5"/>
  <c r="AO16" i="5"/>
  <c r="AJ40" i="5"/>
  <c r="AG88" i="5"/>
  <c r="AG64" i="5"/>
  <c r="AE62" i="5"/>
  <c r="AP7" i="5"/>
  <c r="AP10" i="5"/>
  <c r="AP13" i="5"/>
  <c r="AP16" i="5"/>
  <c r="AP19" i="5"/>
  <c r="AP22" i="5"/>
  <c r="AP25" i="5"/>
  <c r="AP28" i="5"/>
  <c r="AP31" i="5"/>
  <c r="AP34" i="5"/>
  <c r="AP37" i="5"/>
  <c r="AP40" i="5"/>
  <c r="AP43" i="5"/>
  <c r="AP46" i="5"/>
  <c r="AP49" i="5"/>
  <c r="AP52" i="5"/>
  <c r="AP55" i="5"/>
  <c r="AP58" i="5"/>
  <c r="AP61" i="5"/>
  <c r="AP64" i="5"/>
  <c r="AP67" i="5"/>
  <c r="AP70" i="5"/>
  <c r="AP73" i="5"/>
  <c r="AP76" i="5"/>
  <c r="AP79" i="5"/>
  <c r="AP82" i="5"/>
  <c r="AP85" i="5"/>
  <c r="AP88" i="5"/>
  <c r="AP91" i="5"/>
  <c r="AP94" i="5"/>
  <c r="AH94" i="5"/>
  <c r="AH9" i="5"/>
  <c r="AH15" i="5"/>
  <c r="AH21" i="5"/>
  <c r="AH27" i="5"/>
  <c r="AH33" i="5"/>
  <c r="AH39" i="5"/>
  <c r="AH45" i="5"/>
  <c r="AH51" i="5"/>
  <c r="AH57" i="5"/>
  <c r="AH63" i="5"/>
  <c r="AH69" i="5"/>
  <c r="AH75" i="5"/>
  <c r="AH81" i="5"/>
  <c r="AH87" i="5"/>
  <c r="AH93" i="5"/>
  <c r="AP5" i="5"/>
  <c r="AH88" i="5"/>
  <c r="AP8" i="5"/>
  <c r="AP11" i="5"/>
  <c r="AP14" i="5"/>
  <c r="AP17" i="5"/>
  <c r="AP20" i="5"/>
  <c r="AP23" i="5"/>
  <c r="AP26" i="5"/>
  <c r="AP29" i="5"/>
  <c r="AP32" i="5"/>
  <c r="AP35" i="5"/>
  <c r="AP38" i="5"/>
  <c r="AP41" i="5"/>
  <c r="AP44" i="5"/>
  <c r="AP47" i="5"/>
  <c r="AP50" i="5"/>
  <c r="AP53" i="5"/>
  <c r="AP56" i="5"/>
  <c r="AP59" i="5"/>
  <c r="AP62" i="5"/>
  <c r="AP65" i="5"/>
  <c r="AP68" i="5"/>
  <c r="AP71" i="5"/>
  <c r="AP74" i="5"/>
  <c r="AP77" i="5"/>
  <c r="AP80" i="5"/>
  <c r="AP83" i="5"/>
  <c r="AP86" i="5"/>
  <c r="AP89" i="5"/>
  <c r="AP92" i="5"/>
  <c r="AH10" i="5"/>
  <c r="AH16" i="5"/>
  <c r="AH22" i="5"/>
  <c r="AH28" i="5"/>
  <c r="AH34" i="5"/>
  <c r="AH40" i="5"/>
  <c r="AH46" i="5"/>
  <c r="AH52" i="5"/>
  <c r="AH58" i="5"/>
  <c r="AH64" i="5"/>
  <c r="AH70" i="5"/>
  <c r="AH76" i="5"/>
  <c r="AH82" i="5"/>
  <c r="AP6" i="5"/>
  <c r="AP9" i="5"/>
  <c r="AP12" i="5"/>
  <c r="AP15" i="5"/>
  <c r="AP18" i="5"/>
  <c r="AP21" i="5"/>
  <c r="AP24" i="5"/>
  <c r="AP27" i="5"/>
  <c r="AP30" i="5"/>
  <c r="AP33" i="5"/>
  <c r="AP36" i="5"/>
  <c r="AP39" i="5"/>
  <c r="AP42" i="5"/>
  <c r="AP45" i="5"/>
  <c r="AP48" i="5"/>
  <c r="AP51" i="5"/>
  <c r="AP54" i="5"/>
  <c r="AP57" i="5"/>
  <c r="AP60" i="5"/>
  <c r="AP63" i="5"/>
  <c r="AP66" i="5"/>
  <c r="AP69" i="5"/>
  <c r="AP72" i="5"/>
  <c r="AP75" i="5"/>
  <c r="AP78" i="5"/>
  <c r="AP81" i="5"/>
  <c r="AP84" i="5"/>
  <c r="AP87" i="5"/>
  <c r="AP90" i="5"/>
  <c r="AP93" i="5"/>
  <c r="AH6" i="5"/>
  <c r="AH12" i="5"/>
  <c r="AH18" i="5"/>
  <c r="AH24" i="5"/>
  <c r="AH30" i="5"/>
  <c r="AH36" i="5"/>
  <c r="AH42" i="5"/>
  <c r="AH48" i="5"/>
  <c r="AH54" i="5"/>
  <c r="AH60" i="5"/>
  <c r="AH66" i="5"/>
  <c r="AH72" i="5"/>
  <c r="AH78" i="5"/>
  <c r="AH84" i="5"/>
  <c r="AH90" i="5"/>
  <c r="AH53" i="5"/>
  <c r="AH62" i="5"/>
  <c r="AH73" i="5"/>
  <c r="AH89" i="5"/>
  <c r="AH13" i="5"/>
  <c r="AH26" i="5"/>
  <c r="AH17" i="5"/>
  <c r="AH83" i="5"/>
  <c r="AH5" i="5"/>
  <c r="AH49" i="5"/>
  <c r="AH14" i="5"/>
  <c r="AH7" i="5"/>
  <c r="AH19" i="5"/>
  <c r="AH31" i="5"/>
  <c r="AH43" i="5"/>
  <c r="AH65" i="5"/>
  <c r="AH74" i="5"/>
  <c r="AH85" i="5"/>
  <c r="AH67" i="5"/>
  <c r="AH71" i="5"/>
  <c r="AH38" i="5"/>
  <c r="AH55" i="5"/>
  <c r="AH91" i="5"/>
  <c r="AH61" i="5"/>
  <c r="AH8" i="5"/>
  <c r="AH20" i="5"/>
  <c r="AH32" i="5"/>
  <c r="AH44" i="5"/>
  <c r="AH77" i="5"/>
  <c r="AH86" i="5"/>
  <c r="AH56" i="5"/>
  <c r="AH37" i="5"/>
  <c r="AH11" i="5"/>
  <c r="AH23" i="5"/>
  <c r="AH35" i="5"/>
  <c r="AH47" i="5"/>
  <c r="AH25" i="5"/>
  <c r="AH80" i="5"/>
  <c r="AH41" i="5"/>
  <c r="AH92" i="5"/>
  <c r="AH29" i="5"/>
  <c r="AH59" i="5"/>
  <c r="AH68" i="5"/>
  <c r="AH79" i="5"/>
  <c r="AH50" i="5"/>
  <c r="E16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69" i="4"/>
  <c r="E68" i="4"/>
  <c r="E66" i="4"/>
  <c r="E64" i="4"/>
  <c r="E46" i="4"/>
  <c r="E34" i="4"/>
  <c r="E19" i="4"/>
  <c r="D68" i="4"/>
  <c r="D66" i="4"/>
  <c r="D64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E3" i="4"/>
  <c r="E61" i="4"/>
  <c r="E40" i="4"/>
  <c r="E28" i="4"/>
  <c r="E7" i="4"/>
  <c r="D63" i="4"/>
  <c r="D60" i="4"/>
  <c r="D57" i="4"/>
  <c r="D54" i="4"/>
  <c r="D51" i="4"/>
  <c r="D48" i="4"/>
  <c r="D45" i="4"/>
  <c r="D42" i="4"/>
  <c r="D39" i="4"/>
  <c r="D36" i="4"/>
  <c r="D33" i="4"/>
  <c r="D30" i="4"/>
  <c r="D27" i="4"/>
  <c r="D24" i="4"/>
  <c r="D21" i="4"/>
  <c r="D18" i="4"/>
  <c r="D15" i="4"/>
  <c r="D12" i="4"/>
  <c r="D9" i="4"/>
  <c r="D6" i="4"/>
  <c r="D3" i="4"/>
  <c r="E49" i="4"/>
  <c r="E22" i="4"/>
  <c r="E55" i="4"/>
  <c r="E13" i="4"/>
  <c r="E52" i="4"/>
  <c r="E37" i="4"/>
  <c r="E25" i="4"/>
  <c r="E4" i="4"/>
  <c r="E62" i="4"/>
  <c r="E59" i="4"/>
  <c r="E56" i="4"/>
  <c r="E53" i="4"/>
  <c r="E50" i="4"/>
  <c r="E47" i="4"/>
  <c r="E44" i="4"/>
  <c r="E41" i="4"/>
  <c r="E38" i="4"/>
  <c r="E35" i="4"/>
  <c r="E32" i="4"/>
  <c r="E29" i="4"/>
  <c r="E26" i="4"/>
  <c r="E23" i="4"/>
  <c r="E20" i="4"/>
  <c r="E17" i="4"/>
  <c r="E14" i="4"/>
  <c r="E11" i="4"/>
  <c r="E8" i="4"/>
  <c r="E5" i="4"/>
  <c r="E69" i="4"/>
  <c r="E67" i="4"/>
  <c r="E65" i="4"/>
  <c r="E43" i="4"/>
  <c r="E31" i="4"/>
  <c r="E10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69" i="4"/>
  <c r="D67" i="4"/>
  <c r="D65" i="4"/>
  <c r="A109" i="1"/>
  <c r="A108" i="1"/>
  <c r="A107" i="1"/>
  <c r="A106" i="1"/>
  <c r="A104" i="1"/>
  <c r="A103" i="1"/>
  <c r="A101" i="1"/>
  <c r="A111" i="1"/>
  <c r="A100" i="1"/>
  <c r="A110" i="1"/>
  <c r="A105" i="1"/>
  <c r="A102" i="1"/>
  <c r="F749" i="2"/>
  <c r="F750" i="2"/>
  <c r="F751" i="2"/>
  <c r="F738" i="2"/>
  <c r="F748" i="2"/>
  <c r="F747" i="2"/>
  <c r="F746" i="2"/>
  <c r="F745" i="2"/>
  <c r="F743" i="2"/>
  <c r="G740" i="2"/>
  <c r="F736" i="2"/>
  <c r="F744" i="2"/>
  <c r="F742" i="2"/>
  <c r="F740" i="2"/>
  <c r="G732" i="2"/>
  <c r="F732" i="2"/>
  <c r="G751" i="2"/>
  <c r="G747" i="2"/>
  <c r="G743" i="2"/>
  <c r="F739" i="2"/>
  <c r="G738" i="2"/>
  <c r="G746" i="2"/>
  <c r="G742" i="2"/>
  <c r="G750" i="2"/>
  <c r="G737" i="2"/>
  <c r="G749" i="2"/>
  <c r="G745" i="2"/>
  <c r="G741" i="2"/>
  <c r="F737" i="2"/>
  <c r="F741" i="2"/>
  <c r="G736" i="2"/>
  <c r="G748" i="2"/>
  <c r="G744" i="2"/>
  <c r="F735" i="2"/>
  <c r="G733" i="2"/>
  <c r="F733" i="2"/>
  <c r="G739" i="2"/>
  <c r="G735" i="2"/>
  <c r="G734" i="2"/>
  <c r="F734" i="2"/>
  <c r="P695" i="2"/>
  <c r="Q695" i="2"/>
  <c r="P694" i="2"/>
  <c r="Q694" i="2"/>
  <c r="P693" i="2"/>
  <c r="Q693" i="2"/>
  <c r="P692" i="2"/>
  <c r="Q692" i="2"/>
  <c r="I5" i="7"/>
  <c r="I6" i="7"/>
  <c r="I7" i="7"/>
  <c r="I8" i="7"/>
  <c r="I9" i="7"/>
  <c r="I10" i="7"/>
  <c r="I11" i="7"/>
  <c r="I12" i="7"/>
  <c r="I13" i="7"/>
  <c r="I14" i="7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M57" i="4"/>
  <c r="N57" i="4"/>
  <c r="M56" i="4"/>
  <c r="N56" i="4"/>
  <c r="M63" i="4"/>
  <c r="N63" i="4"/>
  <c r="M62" i="4"/>
  <c r="N62" i="4"/>
  <c r="I19" i="5"/>
  <c r="I20" i="5"/>
  <c r="I21" i="5"/>
  <c r="I22" i="5"/>
  <c r="I23" i="5"/>
  <c r="I24" i="5"/>
  <c r="I25" i="5"/>
  <c r="I26" i="5"/>
  <c r="I27" i="5"/>
  <c r="I18" i="5"/>
  <c r="H18" i="5"/>
  <c r="G19" i="5"/>
  <c r="G20" i="5"/>
  <c r="G21" i="5"/>
  <c r="G22" i="5"/>
  <c r="G23" i="5"/>
  <c r="G24" i="5"/>
  <c r="G25" i="5"/>
  <c r="G26" i="5"/>
  <c r="G27" i="5"/>
  <c r="G18" i="5"/>
  <c r="H19" i="5"/>
  <c r="H20" i="5"/>
  <c r="H21" i="5"/>
  <c r="H22" i="5"/>
  <c r="H23" i="5"/>
  <c r="H24" i="5"/>
  <c r="H25" i="5"/>
  <c r="H26" i="5"/>
  <c r="H27" i="5"/>
  <c r="I6" i="5"/>
  <c r="I7" i="5"/>
  <c r="I8" i="5"/>
  <c r="I9" i="5"/>
  <c r="I10" i="5"/>
  <c r="I11" i="5"/>
  <c r="I12" i="5"/>
  <c r="I13" i="5"/>
  <c r="I14" i="5"/>
  <c r="I5" i="5"/>
  <c r="M3" i="4"/>
  <c r="C65" i="4" s="1"/>
  <c r="N3" i="4"/>
  <c r="M2" i="4"/>
  <c r="C68" i="4" s="1"/>
  <c r="N2" i="4"/>
  <c r="B66" i="4" s="1"/>
  <c r="M4" i="4"/>
  <c r="N4" i="4"/>
  <c r="M7" i="4"/>
  <c r="N7" i="4"/>
  <c r="M6" i="4"/>
  <c r="N6" i="4"/>
  <c r="M8" i="4"/>
  <c r="N8" i="4"/>
  <c r="M9" i="4"/>
  <c r="N9" i="4"/>
  <c r="M11" i="4"/>
  <c r="N11" i="4"/>
  <c r="M10" i="4"/>
  <c r="N10" i="4"/>
  <c r="M12" i="4"/>
  <c r="N12" i="4"/>
  <c r="M13" i="4"/>
  <c r="N13" i="4"/>
  <c r="M14" i="4"/>
  <c r="N14" i="4"/>
  <c r="M15" i="4"/>
  <c r="N15" i="4"/>
  <c r="M17" i="4"/>
  <c r="N17" i="4"/>
  <c r="M16" i="4"/>
  <c r="N16" i="4"/>
  <c r="M19" i="4"/>
  <c r="N19" i="4"/>
  <c r="M18" i="4"/>
  <c r="N18" i="4"/>
  <c r="M20" i="4"/>
  <c r="N20" i="4"/>
  <c r="M21" i="4"/>
  <c r="N21" i="4"/>
  <c r="B21" i="4" s="1"/>
  <c r="M23" i="4"/>
  <c r="N23" i="4"/>
  <c r="M22" i="4"/>
  <c r="N22" i="4"/>
  <c r="M24" i="4"/>
  <c r="N24" i="4"/>
  <c r="M25" i="4"/>
  <c r="N25" i="4"/>
  <c r="M27" i="4"/>
  <c r="N27" i="4"/>
  <c r="M26" i="4"/>
  <c r="N26" i="4"/>
  <c r="M29" i="4"/>
  <c r="N29" i="4"/>
  <c r="M28" i="4"/>
  <c r="N28" i="4"/>
  <c r="M31" i="4"/>
  <c r="N31" i="4"/>
  <c r="M30" i="4"/>
  <c r="N30" i="4"/>
  <c r="M32" i="4"/>
  <c r="N32" i="4"/>
  <c r="M33" i="4"/>
  <c r="C33" i="4" s="1"/>
  <c r="N33" i="4"/>
  <c r="M35" i="4"/>
  <c r="N35" i="4"/>
  <c r="M34" i="4"/>
  <c r="N34" i="4"/>
  <c r="M37" i="4"/>
  <c r="N37" i="4"/>
  <c r="M36" i="4"/>
  <c r="N36" i="4"/>
  <c r="M39" i="4"/>
  <c r="N39" i="4"/>
  <c r="M38" i="4"/>
  <c r="N38" i="4"/>
  <c r="M40" i="4"/>
  <c r="N40" i="4"/>
  <c r="M41" i="4"/>
  <c r="N41" i="4"/>
  <c r="M42" i="4"/>
  <c r="N42" i="4"/>
  <c r="M43" i="4"/>
  <c r="N43" i="4"/>
  <c r="M44" i="4"/>
  <c r="N44" i="4"/>
  <c r="M45" i="4"/>
  <c r="N45" i="4"/>
  <c r="M47" i="4"/>
  <c r="N47" i="4"/>
  <c r="M46" i="4"/>
  <c r="N46" i="4"/>
  <c r="M48" i="4"/>
  <c r="N48" i="4"/>
  <c r="M49" i="4"/>
  <c r="N49" i="4"/>
  <c r="M50" i="4"/>
  <c r="N50" i="4"/>
  <c r="M51" i="4"/>
  <c r="C51" i="4" s="1"/>
  <c r="N51" i="4"/>
  <c r="M52" i="4"/>
  <c r="N52" i="4"/>
  <c r="M53" i="4"/>
  <c r="N53" i="4"/>
  <c r="M54" i="4"/>
  <c r="N54" i="4"/>
  <c r="M55" i="4"/>
  <c r="N55" i="4"/>
  <c r="M59" i="4"/>
  <c r="N59" i="4"/>
  <c r="M58" i="4"/>
  <c r="C58" i="4" s="1"/>
  <c r="N58" i="4"/>
  <c r="M61" i="4"/>
  <c r="N61" i="4"/>
  <c r="M60" i="4"/>
  <c r="N60" i="4"/>
  <c r="N5" i="4"/>
  <c r="M5" i="4"/>
  <c r="U6" i="5" l="1"/>
  <c r="Z8" i="5"/>
  <c r="Y7" i="5"/>
  <c r="W9" i="5"/>
  <c r="U11" i="5"/>
  <c r="X12" i="5"/>
  <c r="V14" i="5"/>
  <c r="U9" i="5"/>
  <c r="U5" i="5"/>
  <c r="Z9" i="5"/>
  <c r="V6" i="5"/>
  <c r="U8" i="5"/>
  <c r="X9" i="5"/>
  <c r="V11" i="5"/>
  <c r="Y12" i="5"/>
  <c r="W14" i="5"/>
  <c r="W7" i="5"/>
  <c r="Z10" i="5"/>
  <c r="X6" i="5"/>
  <c r="V8" i="5"/>
  <c r="Y9" i="5"/>
  <c r="W11" i="5"/>
  <c r="U13" i="5"/>
  <c r="X14" i="5"/>
  <c r="Y13" i="5"/>
  <c r="Z11" i="5"/>
  <c r="Y6" i="5"/>
  <c r="W8" i="5"/>
  <c r="U10" i="5"/>
  <c r="X11" i="5"/>
  <c r="V13" i="5"/>
  <c r="Y14" i="5"/>
  <c r="Z14" i="5"/>
  <c r="Z12" i="5"/>
  <c r="U7" i="5"/>
  <c r="X8" i="5"/>
  <c r="V10" i="5"/>
  <c r="Y11" i="5"/>
  <c r="W13" i="5"/>
  <c r="Y5" i="5"/>
  <c r="Z6" i="5"/>
  <c r="Z13" i="5"/>
  <c r="V7" i="5"/>
  <c r="Y8" i="5"/>
  <c r="W10" i="5"/>
  <c r="U12" i="5"/>
  <c r="X13" i="5"/>
  <c r="X5" i="5"/>
  <c r="X10" i="5"/>
  <c r="Z7" i="5"/>
  <c r="Z5" i="5"/>
  <c r="X7" i="5"/>
  <c r="V9" i="5"/>
  <c r="Y10" i="5"/>
  <c r="W12" i="5"/>
  <c r="U14" i="5"/>
  <c r="W5" i="5"/>
  <c r="V12" i="5"/>
  <c r="W6" i="5"/>
  <c r="E870" i="2"/>
  <c r="E864" i="2"/>
  <c r="E867" i="2"/>
  <c r="E869" i="2"/>
  <c r="E871" i="2"/>
  <c r="E865" i="2"/>
  <c r="E868" i="2"/>
  <c r="E862" i="2"/>
  <c r="E863" i="2"/>
  <c r="E866" i="2"/>
  <c r="D865" i="2"/>
  <c r="D867" i="2"/>
  <c r="D869" i="2"/>
  <c r="D871" i="2"/>
  <c r="D868" i="2"/>
  <c r="D870" i="2"/>
  <c r="D864" i="2"/>
  <c r="D866" i="2"/>
  <c r="D863" i="2"/>
  <c r="D862" i="2"/>
  <c r="G18" i="8"/>
  <c r="E35" i="8"/>
  <c r="D861" i="2"/>
  <c r="D858" i="2"/>
  <c r="D860" i="2"/>
  <c r="D857" i="2"/>
  <c r="D859" i="2"/>
  <c r="D17" i="8"/>
  <c r="B34" i="8"/>
  <c r="E25" i="8"/>
  <c r="G8" i="8"/>
  <c r="B30" i="8"/>
  <c r="D30" i="8" s="1"/>
  <c r="D13" i="8"/>
  <c r="B37" i="8"/>
  <c r="D20" i="8"/>
  <c r="B26" i="8"/>
  <c r="D9" i="8"/>
  <c r="E28" i="8"/>
  <c r="G11" i="8"/>
  <c r="B33" i="8"/>
  <c r="D16" i="8"/>
  <c r="B28" i="8"/>
  <c r="D11" i="8"/>
  <c r="E32" i="8"/>
  <c r="G15" i="8"/>
  <c r="E37" i="8"/>
  <c r="G20" i="8"/>
  <c r="B38" i="8"/>
  <c r="D21" i="8"/>
  <c r="B35" i="8"/>
  <c r="D35" i="8" s="1"/>
  <c r="D18" i="8"/>
  <c r="B29" i="8"/>
  <c r="D12" i="8"/>
  <c r="E31" i="8"/>
  <c r="G14" i="8"/>
  <c r="E27" i="8"/>
  <c r="G10" i="8"/>
  <c r="E857" i="2"/>
  <c r="E861" i="2"/>
  <c r="E858" i="2"/>
  <c r="E860" i="2"/>
  <c r="E859" i="2"/>
  <c r="G13" i="8"/>
  <c r="E30" i="8"/>
  <c r="G21" i="8"/>
  <c r="E38" i="8"/>
  <c r="G16" i="8"/>
  <c r="E33" i="8"/>
  <c r="E34" i="8"/>
  <c r="G17" i="8"/>
  <c r="B32" i="8"/>
  <c r="D15" i="8"/>
  <c r="B31" i="8"/>
  <c r="D31" i="8" s="1"/>
  <c r="D14" i="8"/>
  <c r="B25" i="8"/>
  <c r="D8" i="8"/>
  <c r="E36" i="8"/>
  <c r="G19" i="8"/>
  <c r="E29" i="8"/>
  <c r="G12" i="8"/>
  <c r="B27" i="8"/>
  <c r="D27" i="8" s="1"/>
  <c r="D10" i="8"/>
  <c r="B36" i="8"/>
  <c r="D19" i="8"/>
  <c r="G9" i="8"/>
  <c r="E26" i="8"/>
  <c r="E853" i="2"/>
  <c r="E851" i="2"/>
  <c r="E847" i="2"/>
  <c r="E841" i="2"/>
  <c r="E854" i="2"/>
  <c r="E843" i="2"/>
  <c r="E845" i="2"/>
  <c r="E842" i="2"/>
  <c r="E849" i="2"/>
  <c r="E844" i="2"/>
  <c r="E855" i="2"/>
  <c r="E856" i="2"/>
  <c r="E848" i="2"/>
  <c r="E839" i="2"/>
  <c r="E850" i="2"/>
  <c r="E840" i="2"/>
  <c r="E838" i="2"/>
  <c r="E852" i="2"/>
  <c r="E846" i="2"/>
  <c r="E837" i="2"/>
  <c r="D846" i="2"/>
  <c r="D849" i="2"/>
  <c r="D838" i="2"/>
  <c r="D852" i="2"/>
  <c r="D840" i="2"/>
  <c r="D853" i="2"/>
  <c r="D839" i="2"/>
  <c r="D848" i="2"/>
  <c r="D855" i="2"/>
  <c r="D847" i="2"/>
  <c r="D851" i="2"/>
  <c r="D854" i="2"/>
  <c r="D856" i="2"/>
  <c r="D843" i="2"/>
  <c r="D850" i="2"/>
  <c r="D837" i="2"/>
  <c r="D844" i="2"/>
  <c r="D841" i="2"/>
  <c r="D845" i="2"/>
  <c r="D842" i="2"/>
  <c r="D817" i="2"/>
  <c r="D828" i="2"/>
  <c r="D836" i="2"/>
  <c r="D823" i="2"/>
  <c r="D834" i="2"/>
  <c r="D814" i="2"/>
  <c r="D820" i="2"/>
  <c r="D816" i="2"/>
  <c r="D824" i="2"/>
  <c r="D808" i="2"/>
  <c r="D830" i="2"/>
  <c r="D832" i="2"/>
  <c r="D822" i="2"/>
  <c r="D811" i="2"/>
  <c r="D821" i="2"/>
  <c r="D831" i="2"/>
  <c r="D827" i="2"/>
  <c r="D818" i="2"/>
  <c r="D812" i="2"/>
  <c r="D826" i="2"/>
  <c r="D806" i="2"/>
  <c r="D804" i="2"/>
  <c r="D810" i="2"/>
  <c r="D833" i="2"/>
  <c r="D802" i="2"/>
  <c r="D835" i="2"/>
  <c r="D829" i="2"/>
  <c r="D807" i="2"/>
  <c r="D803" i="2"/>
  <c r="D819" i="2"/>
  <c r="D809" i="2"/>
  <c r="D805" i="2"/>
  <c r="D813" i="2"/>
  <c r="D815" i="2"/>
  <c r="D825" i="2"/>
  <c r="E828" i="2"/>
  <c r="E815" i="2"/>
  <c r="E833" i="2"/>
  <c r="E818" i="2"/>
  <c r="E804" i="2"/>
  <c r="E822" i="2"/>
  <c r="E825" i="2"/>
  <c r="E836" i="2"/>
  <c r="E817" i="2"/>
  <c r="E831" i="2"/>
  <c r="E808" i="2"/>
  <c r="E806" i="2"/>
  <c r="E810" i="2"/>
  <c r="E807" i="2"/>
  <c r="E803" i="2"/>
  <c r="E812" i="2"/>
  <c r="E835" i="2"/>
  <c r="E821" i="2"/>
  <c r="E814" i="2"/>
  <c r="E834" i="2"/>
  <c r="E827" i="2"/>
  <c r="E805" i="2"/>
  <c r="E816" i="2"/>
  <c r="E832" i="2"/>
  <c r="E819" i="2"/>
  <c r="E823" i="2"/>
  <c r="E824" i="2"/>
  <c r="E811" i="2"/>
  <c r="E813" i="2"/>
  <c r="E802" i="2"/>
  <c r="E820" i="2"/>
  <c r="E830" i="2"/>
  <c r="E826" i="2"/>
  <c r="E809" i="2"/>
  <c r="E829" i="2"/>
  <c r="AS49" i="5"/>
  <c r="AS16" i="5"/>
  <c r="AS60" i="5"/>
  <c r="AK63" i="5"/>
  <c r="AK38" i="5"/>
  <c r="AK40" i="5"/>
  <c r="AS19" i="5"/>
  <c r="AS68" i="5"/>
  <c r="AS32" i="5"/>
  <c r="D743" i="2"/>
  <c r="AS37" i="5"/>
  <c r="AK27" i="5"/>
  <c r="AS13" i="5"/>
  <c r="E643" i="2"/>
  <c r="E427" i="2"/>
  <c r="D749" i="2"/>
  <c r="E300" i="2"/>
  <c r="E535" i="2"/>
  <c r="E319" i="2"/>
  <c r="D741" i="2"/>
  <c r="E616" i="2"/>
  <c r="E580" i="2"/>
  <c r="E544" i="2"/>
  <c r="E508" i="2"/>
  <c r="E472" i="2"/>
  <c r="E436" i="2"/>
  <c r="E400" i="2"/>
  <c r="E364" i="2"/>
  <c r="E328" i="2"/>
  <c r="E749" i="2"/>
  <c r="AK51" i="5"/>
  <c r="AS24" i="5"/>
  <c r="E391" i="2"/>
  <c r="E742" i="2"/>
  <c r="E571" i="2"/>
  <c r="E499" i="2"/>
  <c r="E355" i="2"/>
  <c r="E553" i="2"/>
  <c r="E445" i="2"/>
  <c r="E337" i="2"/>
  <c r="AS85" i="5"/>
  <c r="E607" i="2"/>
  <c r="E463" i="2"/>
  <c r="D735" i="2"/>
  <c r="AK88" i="5"/>
  <c r="AS67" i="5"/>
  <c r="AK85" i="5"/>
  <c r="AK52" i="5"/>
  <c r="AK14" i="5"/>
  <c r="AS7" i="5"/>
  <c r="AK91" i="5"/>
  <c r="AS65" i="5"/>
  <c r="AS29" i="5"/>
  <c r="AK93" i="5"/>
  <c r="AK53" i="5"/>
  <c r="D738" i="2"/>
  <c r="E741" i="2"/>
  <c r="D742" i="2"/>
  <c r="D745" i="2"/>
  <c r="D744" i="2"/>
  <c r="AK59" i="5"/>
  <c r="AS25" i="5"/>
  <c r="AK83" i="5"/>
  <c r="AS93" i="5"/>
  <c r="AS28" i="5"/>
  <c r="AS91" i="5"/>
  <c r="AS45" i="5"/>
  <c r="AK61" i="5"/>
  <c r="AK37" i="5"/>
  <c r="AS90" i="5"/>
  <c r="AK92" i="5"/>
  <c r="AK79" i="5"/>
  <c r="AS62" i="5"/>
  <c r="AS26" i="5"/>
  <c r="AK45" i="5"/>
  <c r="AK41" i="5"/>
  <c r="E736" i="2"/>
  <c r="E382" i="2"/>
  <c r="AS84" i="5"/>
  <c r="AS82" i="5"/>
  <c r="AK74" i="5"/>
  <c r="AS33" i="5"/>
  <c r="AS39" i="5"/>
  <c r="AS81" i="5"/>
  <c r="AS88" i="5"/>
  <c r="AK84" i="5"/>
  <c r="AK69" i="5"/>
  <c r="AK80" i="5"/>
  <c r="AK67" i="5"/>
  <c r="AS59" i="5"/>
  <c r="AS23" i="5"/>
  <c r="AK90" i="5"/>
  <c r="AK29" i="5"/>
  <c r="E481" i="2"/>
  <c r="E598" i="2"/>
  <c r="E490" i="2"/>
  <c r="E798" i="2"/>
  <c r="E752" i="2"/>
  <c r="E759" i="2"/>
  <c r="E772" i="2"/>
  <c r="E778" i="2"/>
  <c r="E771" i="2"/>
  <c r="E765" i="2"/>
  <c r="E761" i="2"/>
  <c r="E790" i="2"/>
  <c r="E785" i="2"/>
  <c r="E776" i="2"/>
  <c r="E770" i="2"/>
  <c r="E764" i="2"/>
  <c r="E800" i="2"/>
  <c r="E782" i="2"/>
  <c r="E769" i="2"/>
  <c r="E756" i="2"/>
  <c r="E796" i="2"/>
  <c r="E792" i="2"/>
  <c r="E801" i="2"/>
  <c r="E795" i="2"/>
  <c r="E781" i="2"/>
  <c r="E797" i="2"/>
  <c r="E758" i="2"/>
  <c r="E784" i="2"/>
  <c r="E768" i="2"/>
  <c r="E760" i="2"/>
  <c r="E786" i="2"/>
  <c r="E793" i="2"/>
  <c r="E789" i="2"/>
  <c r="E753" i="2"/>
  <c r="E788" i="2"/>
  <c r="E777" i="2"/>
  <c r="E773" i="2"/>
  <c r="E767" i="2"/>
  <c r="E754" i="2"/>
  <c r="E763" i="2"/>
  <c r="E755" i="2"/>
  <c r="E787" i="2"/>
  <c r="E766" i="2"/>
  <c r="E757" i="2"/>
  <c r="E774" i="2"/>
  <c r="E762" i="2"/>
  <c r="E783" i="2"/>
  <c r="E780" i="2"/>
  <c r="E779" i="2"/>
  <c r="E775" i="2"/>
  <c r="E799" i="2"/>
  <c r="E794" i="2"/>
  <c r="E791" i="2"/>
  <c r="D748" i="2"/>
  <c r="D747" i="2"/>
  <c r="E735" i="2"/>
  <c r="E746" i="2"/>
  <c r="E738" i="2"/>
  <c r="AS48" i="5"/>
  <c r="AS75" i="5"/>
  <c r="AS73" i="5"/>
  <c r="AK47" i="5"/>
  <c r="AS21" i="5"/>
  <c r="AS72" i="5"/>
  <c r="AS79" i="5"/>
  <c r="AK72" i="5"/>
  <c r="AK21" i="5"/>
  <c r="AK68" i="5"/>
  <c r="AK55" i="5"/>
  <c r="AS92" i="5"/>
  <c r="AS56" i="5"/>
  <c r="AS20" i="5"/>
  <c r="AK78" i="5"/>
  <c r="AK17" i="5"/>
  <c r="D751" i="2"/>
  <c r="D750" i="2"/>
  <c r="D734" i="2"/>
  <c r="E734" i="2"/>
  <c r="E732" i="2"/>
  <c r="E751" i="2"/>
  <c r="AK87" i="5"/>
  <c r="AK82" i="5"/>
  <c r="AS36" i="5"/>
  <c r="AS66" i="5"/>
  <c r="AS64" i="5"/>
  <c r="AK15" i="5"/>
  <c r="AS9" i="5"/>
  <c r="AS63" i="5"/>
  <c r="AS70" i="5"/>
  <c r="AK60" i="5"/>
  <c r="AK5" i="5"/>
  <c r="AK56" i="5"/>
  <c r="AS5" i="5"/>
  <c r="AK43" i="5"/>
  <c r="AS89" i="5"/>
  <c r="AS53" i="5"/>
  <c r="AS17" i="5"/>
  <c r="AK66" i="5"/>
  <c r="E373" i="2"/>
  <c r="E106" i="2"/>
  <c r="E740" i="2"/>
  <c r="E743" i="2"/>
  <c r="AS51" i="5"/>
  <c r="AS57" i="5"/>
  <c r="AK86" i="5"/>
  <c r="AS55" i="5"/>
  <c r="AS54" i="5"/>
  <c r="AS61" i="5"/>
  <c r="AK48" i="5"/>
  <c r="AK70" i="5"/>
  <c r="AK44" i="5"/>
  <c r="AK31" i="5"/>
  <c r="AS86" i="5"/>
  <c r="AS50" i="5"/>
  <c r="AS14" i="5"/>
  <c r="AK54" i="5"/>
  <c r="AK65" i="5"/>
  <c r="E239" i="2"/>
  <c r="D737" i="2"/>
  <c r="E562" i="2"/>
  <c r="E454" i="2"/>
  <c r="E346" i="2"/>
  <c r="D740" i="2"/>
  <c r="E737" i="2"/>
  <c r="AS15" i="5"/>
  <c r="AS94" i="5"/>
  <c r="AK25" i="5"/>
  <c r="AS12" i="5"/>
  <c r="AS46" i="5"/>
  <c r="AS87" i="5"/>
  <c r="AS78" i="5"/>
  <c r="AS52" i="5"/>
  <c r="AK36" i="5"/>
  <c r="AK58" i="5"/>
  <c r="AK32" i="5"/>
  <c r="AK19" i="5"/>
  <c r="AS83" i="5"/>
  <c r="AS47" i="5"/>
  <c r="AS11" i="5"/>
  <c r="AK42" i="5"/>
  <c r="E589" i="2"/>
  <c r="E733" i="2"/>
  <c r="E744" i="2"/>
  <c r="E747" i="2"/>
  <c r="AS40" i="5"/>
  <c r="AK76" i="5"/>
  <c r="AS34" i="5"/>
  <c r="AK75" i="5"/>
  <c r="AK71" i="5"/>
  <c r="AS42" i="5"/>
  <c r="AK24" i="5"/>
  <c r="AK46" i="5"/>
  <c r="AK20" i="5"/>
  <c r="AK81" i="5"/>
  <c r="AK7" i="5"/>
  <c r="AS80" i="5"/>
  <c r="AS44" i="5"/>
  <c r="AS8" i="5"/>
  <c r="AK30" i="5"/>
  <c r="D739" i="2"/>
  <c r="E625" i="2"/>
  <c r="E517" i="2"/>
  <c r="E409" i="2"/>
  <c r="D800" i="2"/>
  <c r="D783" i="2"/>
  <c r="D770" i="2"/>
  <c r="D756" i="2"/>
  <c r="D801" i="2"/>
  <c r="D789" i="2"/>
  <c r="D753" i="2"/>
  <c r="D799" i="2"/>
  <c r="D798" i="2"/>
  <c r="D790" i="2"/>
  <c r="D778" i="2"/>
  <c r="D767" i="2"/>
  <c r="D763" i="2"/>
  <c r="D755" i="2"/>
  <c r="D797" i="2"/>
  <c r="D758" i="2"/>
  <c r="D788" i="2"/>
  <c r="D775" i="2"/>
  <c r="D766" i="2"/>
  <c r="D762" i="2"/>
  <c r="D752" i="2"/>
  <c r="D787" i="2"/>
  <c r="D759" i="2"/>
  <c r="D776" i="2"/>
  <c r="D764" i="2"/>
  <c r="D754" i="2"/>
  <c r="D793" i="2"/>
  <c r="D796" i="2"/>
  <c r="D792" i="2"/>
  <c r="D786" i="2"/>
  <c r="D780" i="2"/>
  <c r="D768" i="2"/>
  <c r="D795" i="2"/>
  <c r="D785" i="2"/>
  <c r="D784" i="2"/>
  <c r="D773" i="2"/>
  <c r="D777" i="2"/>
  <c r="D771" i="2"/>
  <c r="D781" i="2"/>
  <c r="D772" i="2"/>
  <c r="D761" i="2"/>
  <c r="D782" i="2"/>
  <c r="D760" i="2"/>
  <c r="D779" i="2"/>
  <c r="D791" i="2"/>
  <c r="D765" i="2"/>
  <c r="D757" i="2"/>
  <c r="D794" i="2"/>
  <c r="D774" i="2"/>
  <c r="D769" i="2"/>
  <c r="D746" i="2"/>
  <c r="D733" i="2"/>
  <c r="E739" i="2"/>
  <c r="E748" i="2"/>
  <c r="AK64" i="5"/>
  <c r="AS76" i="5"/>
  <c r="AK35" i="5"/>
  <c r="AK50" i="5"/>
  <c r="AS22" i="5"/>
  <c r="AK49" i="5"/>
  <c r="AK39" i="5"/>
  <c r="AS30" i="5"/>
  <c r="AK12" i="5"/>
  <c r="AK34" i="5"/>
  <c r="AK8" i="5"/>
  <c r="AK33" i="5"/>
  <c r="AS77" i="5"/>
  <c r="AS41" i="5"/>
  <c r="AK18" i="5"/>
  <c r="D732" i="2"/>
  <c r="E745" i="2"/>
  <c r="AK28" i="5"/>
  <c r="AK23" i="5"/>
  <c r="AS10" i="5"/>
  <c r="AK16" i="5"/>
  <c r="AS43" i="5"/>
  <c r="AS69" i="5"/>
  <c r="AK13" i="5"/>
  <c r="AS18" i="5"/>
  <c r="AK22" i="5"/>
  <c r="AK57" i="5"/>
  <c r="AS74" i="5"/>
  <c r="AS38" i="5"/>
  <c r="AK6" i="5"/>
  <c r="AK89" i="5"/>
  <c r="E634" i="2"/>
  <c r="E526" i="2"/>
  <c r="E418" i="2"/>
  <c r="E310" i="2"/>
  <c r="D27" i="2"/>
  <c r="E246" i="2"/>
  <c r="E150" i="2"/>
  <c r="E225" i="2"/>
  <c r="D736" i="2"/>
  <c r="E750" i="2"/>
  <c r="AS58" i="5"/>
  <c r="AS27" i="5"/>
  <c r="AK94" i="5"/>
  <c r="AK62" i="5"/>
  <c r="AK73" i="5"/>
  <c r="AS31" i="5"/>
  <c r="AK26" i="5"/>
  <c r="AK11" i="5"/>
  <c r="AS6" i="5"/>
  <c r="AK10" i="5"/>
  <c r="AS71" i="5"/>
  <c r="AS35" i="5"/>
  <c r="AK9" i="5"/>
  <c r="AK77" i="5"/>
  <c r="B61" i="4"/>
  <c r="B52" i="4"/>
  <c r="B47" i="4"/>
  <c r="B40" i="4"/>
  <c r="B35" i="4"/>
  <c r="B29" i="4"/>
  <c r="B23" i="4"/>
  <c r="B17" i="4"/>
  <c r="B11" i="4"/>
  <c r="B56" i="4"/>
  <c r="B68" i="4"/>
  <c r="B65" i="4"/>
  <c r="C61" i="4"/>
  <c r="C52" i="4"/>
  <c r="C47" i="4"/>
  <c r="C40" i="4"/>
  <c r="C35" i="4"/>
  <c r="C29" i="4"/>
  <c r="C23" i="4"/>
  <c r="C17" i="4"/>
  <c r="C11" i="4"/>
  <c r="C56" i="4"/>
  <c r="C67" i="4"/>
  <c r="B26" i="4"/>
  <c r="C38" i="4"/>
  <c r="C3" i="4"/>
  <c r="B59" i="4"/>
  <c r="B50" i="4"/>
  <c r="B44" i="4"/>
  <c r="B39" i="4"/>
  <c r="B32" i="4"/>
  <c r="B27" i="4"/>
  <c r="B20" i="4"/>
  <c r="B14" i="4"/>
  <c r="B8" i="4"/>
  <c r="B33" i="4"/>
  <c r="C15" i="4"/>
  <c r="C57" i="4"/>
  <c r="C59" i="4"/>
  <c r="C50" i="4"/>
  <c r="C44" i="4"/>
  <c r="C39" i="4"/>
  <c r="C32" i="4"/>
  <c r="C27" i="4"/>
  <c r="C20" i="4"/>
  <c r="C14" i="4"/>
  <c r="C8" i="4"/>
  <c r="C64" i="4"/>
  <c r="B69" i="4"/>
  <c r="B55" i="4"/>
  <c r="B43" i="4"/>
  <c r="B36" i="4"/>
  <c r="B30" i="4"/>
  <c r="B25" i="4"/>
  <c r="B18" i="4"/>
  <c r="B13" i="4"/>
  <c r="B6" i="4"/>
  <c r="C66" i="4"/>
  <c r="B15" i="4"/>
  <c r="C45" i="4"/>
  <c r="C9" i="4"/>
  <c r="B49" i="4"/>
  <c r="C55" i="4"/>
  <c r="C49" i="4"/>
  <c r="C43" i="4"/>
  <c r="C36" i="4"/>
  <c r="C30" i="4"/>
  <c r="C25" i="4"/>
  <c r="C18" i="4"/>
  <c r="C13" i="4"/>
  <c r="C6" i="4"/>
  <c r="B45" i="4"/>
  <c r="B54" i="4"/>
  <c r="B37" i="4"/>
  <c r="B24" i="4"/>
  <c r="B19" i="4"/>
  <c r="B7" i="4"/>
  <c r="B62" i="4"/>
  <c r="B58" i="4"/>
  <c r="B9" i="4"/>
  <c r="B48" i="4"/>
  <c r="B5" i="4"/>
  <c r="C54" i="4"/>
  <c r="C48" i="4"/>
  <c r="C42" i="4"/>
  <c r="C37" i="4"/>
  <c r="C31" i="4"/>
  <c r="C24" i="4"/>
  <c r="C19" i="4"/>
  <c r="C12" i="4"/>
  <c r="C7" i="4"/>
  <c r="C62" i="4"/>
  <c r="B38" i="4"/>
  <c r="B57" i="4"/>
  <c r="C26" i="4"/>
  <c r="C5" i="4"/>
  <c r="B42" i="4"/>
  <c r="B12" i="4"/>
  <c r="B60" i="4"/>
  <c r="B53" i="4"/>
  <c r="B46" i="4"/>
  <c r="B41" i="4"/>
  <c r="B34" i="4"/>
  <c r="B28" i="4"/>
  <c r="B22" i="4"/>
  <c r="B16" i="4"/>
  <c r="B10" i="4"/>
  <c r="B4" i="4"/>
  <c r="B63" i="4"/>
  <c r="B67" i="4"/>
  <c r="B64" i="4"/>
  <c r="B51" i="4"/>
  <c r="B3" i="4"/>
  <c r="C21" i="4"/>
  <c r="B31" i="4"/>
  <c r="C60" i="4"/>
  <c r="C53" i="4"/>
  <c r="C46" i="4"/>
  <c r="C41" i="4"/>
  <c r="C34" i="4"/>
  <c r="C28" i="4"/>
  <c r="C22" i="4"/>
  <c r="C16" i="4"/>
  <c r="C10" i="4"/>
  <c r="C4" i="4"/>
  <c r="C63" i="4"/>
  <c r="V5" i="5"/>
  <c r="F25" i="5"/>
  <c r="G42" i="5"/>
  <c r="F23" i="7"/>
  <c r="C25" i="5"/>
  <c r="B2" i="4"/>
  <c r="C18" i="5"/>
  <c r="F23" i="5"/>
  <c r="D25" i="5"/>
  <c r="F20" i="5"/>
  <c r="F26" i="5"/>
  <c r="F41" i="5"/>
  <c r="C22" i="5"/>
  <c r="C20" i="5"/>
  <c r="C24" i="5"/>
  <c r="C21" i="5"/>
  <c r="F27" i="5"/>
  <c r="C19" i="5"/>
  <c r="F22" i="5"/>
  <c r="E2" i="4"/>
  <c r="C27" i="5"/>
  <c r="C2" i="4"/>
  <c r="F18" i="5"/>
  <c r="F19" i="5"/>
  <c r="F24" i="5"/>
  <c r="F36" i="5"/>
  <c r="G25" i="7"/>
  <c r="G28" i="7"/>
  <c r="C26" i="5"/>
  <c r="F35" i="5"/>
  <c r="F37" i="5"/>
  <c r="F39" i="5"/>
  <c r="F26" i="7"/>
  <c r="D20" i="5"/>
  <c r="F21" i="5"/>
  <c r="F42" i="5"/>
  <c r="G37" i="5"/>
  <c r="G27" i="7"/>
  <c r="F25" i="7"/>
  <c r="D27" i="5"/>
  <c r="G43" i="5"/>
  <c r="G26" i="7"/>
  <c r="F24" i="7"/>
  <c r="D24" i="5"/>
  <c r="F34" i="5"/>
  <c r="G41" i="5"/>
  <c r="G24" i="7"/>
  <c r="F22" i="7"/>
  <c r="F43" i="5"/>
  <c r="G23" i="7"/>
  <c r="F21" i="7"/>
  <c r="D22" i="5"/>
  <c r="E22" i="5" s="1"/>
  <c r="G22" i="7"/>
  <c r="F20" i="7"/>
  <c r="C23" i="5"/>
  <c r="G39" i="5"/>
  <c r="H39" i="5" s="1"/>
  <c r="G21" i="7"/>
  <c r="F40" i="5"/>
  <c r="G38" i="5"/>
  <c r="G20" i="7"/>
  <c r="D19" i="5"/>
  <c r="E19" i="5" s="1"/>
  <c r="F38" i="5"/>
  <c r="G40" i="5"/>
  <c r="F29" i="7"/>
  <c r="D18" i="5"/>
  <c r="G36" i="5"/>
  <c r="F28" i="7"/>
  <c r="D21" i="5"/>
  <c r="E21" i="5" s="1"/>
  <c r="G35" i="5"/>
  <c r="G29" i="7"/>
  <c r="F27" i="7"/>
  <c r="D23" i="5"/>
  <c r="D26" i="5"/>
  <c r="G34" i="5"/>
  <c r="E688" i="2"/>
  <c r="E679" i="2"/>
  <c r="E670" i="2"/>
  <c r="E661" i="2"/>
  <c r="E652" i="2"/>
  <c r="E254" i="2"/>
  <c r="E139" i="2"/>
  <c r="E640" i="2"/>
  <c r="E631" i="2"/>
  <c r="E622" i="2"/>
  <c r="E613" i="2"/>
  <c r="E604" i="2"/>
  <c r="E595" i="2"/>
  <c r="E586" i="2"/>
  <c r="E577" i="2"/>
  <c r="E568" i="2"/>
  <c r="E559" i="2"/>
  <c r="E550" i="2"/>
  <c r="E541" i="2"/>
  <c r="E532" i="2"/>
  <c r="E523" i="2"/>
  <c r="E514" i="2"/>
  <c r="E505" i="2"/>
  <c r="E496" i="2"/>
  <c r="E487" i="2"/>
  <c r="E478" i="2"/>
  <c r="E469" i="2"/>
  <c r="E460" i="2"/>
  <c r="E451" i="2"/>
  <c r="E442" i="2"/>
  <c r="E433" i="2"/>
  <c r="E424" i="2"/>
  <c r="E415" i="2"/>
  <c r="E406" i="2"/>
  <c r="E397" i="2"/>
  <c r="E388" i="2"/>
  <c r="E379" i="2"/>
  <c r="E370" i="2"/>
  <c r="E361" i="2"/>
  <c r="E352" i="2"/>
  <c r="E343" i="2"/>
  <c r="E334" i="2"/>
  <c r="E325" i="2"/>
  <c r="E316" i="2"/>
  <c r="E307" i="2"/>
  <c r="E297" i="2"/>
  <c r="E685" i="2"/>
  <c r="E676" i="2"/>
  <c r="E667" i="2"/>
  <c r="E658" i="2"/>
  <c r="E649" i="2"/>
  <c r="E290" i="2"/>
  <c r="E264" i="2"/>
  <c r="E218" i="2"/>
  <c r="E185" i="2"/>
  <c r="E131" i="2"/>
  <c r="D592" i="2"/>
  <c r="E228" i="2"/>
  <c r="D157" i="2"/>
  <c r="E646" i="2"/>
  <c r="E637" i="2"/>
  <c r="E628" i="2"/>
  <c r="E619" i="2"/>
  <c r="E610" i="2"/>
  <c r="E601" i="2"/>
  <c r="E592" i="2"/>
  <c r="E583" i="2"/>
  <c r="E574" i="2"/>
  <c r="E565" i="2"/>
  <c r="E556" i="2"/>
  <c r="E547" i="2"/>
  <c r="E538" i="2"/>
  <c r="E529" i="2"/>
  <c r="E520" i="2"/>
  <c r="E511" i="2"/>
  <c r="E502" i="2"/>
  <c r="E493" i="2"/>
  <c r="E484" i="2"/>
  <c r="E475" i="2"/>
  <c r="E466" i="2"/>
  <c r="E457" i="2"/>
  <c r="E448" i="2"/>
  <c r="E439" i="2"/>
  <c r="E430" i="2"/>
  <c r="E421" i="2"/>
  <c r="E412" i="2"/>
  <c r="E403" i="2"/>
  <c r="E394" i="2"/>
  <c r="E385" i="2"/>
  <c r="E376" i="2"/>
  <c r="E367" i="2"/>
  <c r="E358" i="2"/>
  <c r="E349" i="2"/>
  <c r="E340" i="2"/>
  <c r="E331" i="2"/>
  <c r="E322" i="2"/>
  <c r="E313" i="2"/>
  <c r="E691" i="2"/>
  <c r="E682" i="2"/>
  <c r="E673" i="2"/>
  <c r="E664" i="2"/>
  <c r="E655" i="2"/>
  <c r="E257" i="2"/>
  <c r="E98" i="2"/>
  <c r="E15" i="2"/>
  <c r="D339" i="2"/>
  <c r="D300" i="2"/>
  <c r="D626" i="2"/>
  <c r="D18" i="2"/>
  <c r="E275" i="2"/>
  <c r="E203" i="2"/>
  <c r="D428" i="2"/>
  <c r="D199" i="2"/>
  <c r="D610" i="2"/>
  <c r="D574" i="2"/>
  <c r="D232" i="2"/>
  <c r="E193" i="2"/>
  <c r="E181" i="2"/>
  <c r="E157" i="2"/>
  <c r="E145" i="2"/>
  <c r="E121" i="2"/>
  <c r="E85" i="2"/>
  <c r="E25" i="2"/>
  <c r="E47" i="2"/>
  <c r="E74" i="2"/>
  <c r="E83" i="2"/>
  <c r="E125" i="2"/>
  <c r="E141" i="2"/>
  <c r="E148" i="2"/>
  <c r="E156" i="2"/>
  <c r="E212" i="2"/>
  <c r="E219" i="2"/>
  <c r="E248" i="2"/>
  <c r="E255" i="2"/>
  <c r="E284" i="2"/>
  <c r="E291" i="2"/>
  <c r="E27" i="2"/>
  <c r="E101" i="2"/>
  <c r="E163" i="2"/>
  <c r="E170" i="2"/>
  <c r="E177" i="2"/>
  <c r="E184" i="2"/>
  <c r="E198" i="2"/>
  <c r="E227" i="2"/>
  <c r="E234" i="2"/>
  <c r="E263" i="2"/>
  <c r="E270" i="2"/>
  <c r="E299" i="2"/>
  <c r="E306" i="2"/>
  <c r="E312" i="2"/>
  <c r="E318" i="2"/>
  <c r="E324" i="2"/>
  <c r="E330" i="2"/>
  <c r="E336" i="2"/>
  <c r="E342" i="2"/>
  <c r="E348" i="2"/>
  <c r="E354" i="2"/>
  <c r="E360" i="2"/>
  <c r="E366" i="2"/>
  <c r="E372" i="2"/>
  <c r="E378" i="2"/>
  <c r="E384" i="2"/>
  <c r="E390" i="2"/>
  <c r="E396" i="2"/>
  <c r="E402" i="2"/>
  <c r="E408" i="2"/>
  <c r="E414" i="2"/>
  <c r="E420" i="2"/>
  <c r="E426" i="2"/>
  <c r="E432" i="2"/>
  <c r="E438" i="2"/>
  <c r="E444" i="2"/>
  <c r="E450" i="2"/>
  <c r="E456" i="2"/>
  <c r="E462" i="2"/>
  <c r="E468" i="2"/>
  <c r="E474" i="2"/>
  <c r="E480" i="2"/>
  <c r="E486" i="2"/>
  <c r="E492" i="2"/>
  <c r="E498" i="2"/>
  <c r="E504" i="2"/>
  <c r="E510" i="2"/>
  <c r="E516" i="2"/>
  <c r="E522" i="2"/>
  <c r="E528" i="2"/>
  <c r="E534" i="2"/>
  <c r="E540" i="2"/>
  <c r="E546" i="2"/>
  <c r="E552" i="2"/>
  <c r="E558" i="2"/>
  <c r="E564" i="2"/>
  <c r="E570" i="2"/>
  <c r="E576" i="2"/>
  <c r="E582" i="2"/>
  <c r="E588" i="2"/>
  <c r="E594" i="2"/>
  <c r="E600" i="2"/>
  <c r="E606" i="2"/>
  <c r="E612" i="2"/>
  <c r="E618" i="2"/>
  <c r="E624" i="2"/>
  <c r="E630" i="2"/>
  <c r="E636" i="2"/>
  <c r="E642" i="2"/>
  <c r="E648" i="2"/>
  <c r="E654" i="2"/>
  <c r="E660" i="2"/>
  <c r="E666" i="2"/>
  <c r="E672" i="2"/>
  <c r="E678" i="2"/>
  <c r="E684" i="2"/>
  <c r="E690" i="2"/>
  <c r="E19" i="2"/>
  <c r="E67" i="2"/>
  <c r="E75" i="2"/>
  <c r="E93" i="2"/>
  <c r="E120" i="2"/>
  <c r="E134" i="2"/>
  <c r="E142" i="2"/>
  <c r="E192" i="2"/>
  <c r="E206" i="2"/>
  <c r="E213" i="2"/>
  <c r="E242" i="2"/>
  <c r="E249" i="2"/>
  <c r="E278" i="2"/>
  <c r="E285" i="2"/>
  <c r="E10" i="2"/>
  <c r="E59" i="2"/>
  <c r="E3" i="2"/>
  <c r="E50" i="2"/>
  <c r="E103" i="2"/>
  <c r="E112" i="2"/>
  <c r="E143" i="2"/>
  <c r="E158" i="2"/>
  <c r="E165" i="2"/>
  <c r="E172" i="2"/>
  <c r="E200" i="2"/>
  <c r="E207" i="2"/>
  <c r="E236" i="2"/>
  <c r="E243" i="2"/>
  <c r="E272" i="2"/>
  <c r="E279" i="2"/>
  <c r="E4" i="2"/>
  <c r="E41" i="2"/>
  <c r="E69" i="2"/>
  <c r="E95" i="2"/>
  <c r="E129" i="2"/>
  <c r="E179" i="2"/>
  <c r="E186" i="2"/>
  <c r="E215" i="2"/>
  <c r="E222" i="2"/>
  <c r="E251" i="2"/>
  <c r="E258" i="2"/>
  <c r="E287" i="2"/>
  <c r="E294" i="2"/>
  <c r="E308" i="2"/>
  <c r="E314" i="2"/>
  <c r="E320" i="2"/>
  <c r="E326" i="2"/>
  <c r="E332" i="2"/>
  <c r="E338" i="2"/>
  <c r="E344" i="2"/>
  <c r="E350" i="2"/>
  <c r="E356" i="2"/>
  <c r="E362" i="2"/>
  <c r="E368" i="2"/>
  <c r="E374" i="2"/>
  <c r="E380" i="2"/>
  <c r="E386" i="2"/>
  <c r="E392" i="2"/>
  <c r="E398" i="2"/>
  <c r="E404" i="2"/>
  <c r="E410" i="2"/>
  <c r="E416" i="2"/>
  <c r="E422" i="2"/>
  <c r="E428" i="2"/>
  <c r="E434" i="2"/>
  <c r="E440" i="2"/>
  <c r="E446" i="2"/>
  <c r="E452" i="2"/>
  <c r="E458" i="2"/>
  <c r="E464" i="2"/>
  <c r="E470" i="2"/>
  <c r="E476" i="2"/>
  <c r="E482" i="2"/>
  <c r="E488" i="2"/>
  <c r="E494" i="2"/>
  <c r="E500" i="2"/>
  <c r="E506" i="2"/>
  <c r="E512" i="2"/>
  <c r="E518" i="2"/>
  <c r="E524" i="2"/>
  <c r="E530" i="2"/>
  <c r="E536" i="2"/>
  <c r="E542" i="2"/>
  <c r="E548" i="2"/>
  <c r="E554" i="2"/>
  <c r="E560" i="2"/>
  <c r="E566" i="2"/>
  <c r="E572" i="2"/>
  <c r="E578" i="2"/>
  <c r="E584" i="2"/>
  <c r="E590" i="2"/>
  <c r="E596" i="2"/>
  <c r="E602" i="2"/>
  <c r="E608" i="2"/>
  <c r="E614" i="2"/>
  <c r="E620" i="2"/>
  <c r="E626" i="2"/>
  <c r="E632" i="2"/>
  <c r="E638" i="2"/>
  <c r="E644" i="2"/>
  <c r="E650" i="2"/>
  <c r="E656" i="2"/>
  <c r="E662" i="2"/>
  <c r="E668" i="2"/>
  <c r="E674" i="2"/>
  <c r="E680" i="2"/>
  <c r="E686" i="2"/>
  <c r="E22" i="2"/>
  <c r="E31" i="2"/>
  <c r="E87" i="2"/>
  <c r="E122" i="2"/>
  <c r="E152" i="2"/>
  <c r="E159" i="2"/>
  <c r="E166" i="2"/>
  <c r="E194" i="2"/>
  <c r="E201" i="2"/>
  <c r="E230" i="2"/>
  <c r="E237" i="2"/>
  <c r="E266" i="2"/>
  <c r="E273" i="2"/>
  <c r="E302" i="2"/>
  <c r="E62" i="2"/>
  <c r="E70" i="2"/>
  <c r="E105" i="2"/>
  <c r="E114" i="2"/>
  <c r="E130" i="2"/>
  <c r="E138" i="2"/>
  <c r="E174" i="2"/>
  <c r="E209" i="2"/>
  <c r="E216" i="2"/>
  <c r="E245" i="2"/>
  <c r="E252" i="2"/>
  <c r="E281" i="2"/>
  <c r="E288" i="2"/>
  <c r="E309" i="2"/>
  <c r="E315" i="2"/>
  <c r="E321" i="2"/>
  <c r="E327" i="2"/>
  <c r="E333" i="2"/>
  <c r="E339" i="2"/>
  <c r="E345" i="2"/>
  <c r="E351" i="2"/>
  <c r="E357" i="2"/>
  <c r="E363" i="2"/>
  <c r="E369" i="2"/>
  <c r="E375" i="2"/>
  <c r="E381" i="2"/>
  <c r="E387" i="2"/>
  <c r="E393" i="2"/>
  <c r="E399" i="2"/>
  <c r="E405" i="2"/>
  <c r="E411" i="2"/>
  <c r="E417" i="2"/>
  <c r="E423" i="2"/>
  <c r="E429" i="2"/>
  <c r="E435" i="2"/>
  <c r="E441" i="2"/>
  <c r="E447" i="2"/>
  <c r="E453" i="2"/>
  <c r="E459" i="2"/>
  <c r="E465" i="2"/>
  <c r="E471" i="2"/>
  <c r="E477" i="2"/>
  <c r="E483" i="2"/>
  <c r="E489" i="2"/>
  <c r="E495" i="2"/>
  <c r="E501" i="2"/>
  <c r="E507" i="2"/>
  <c r="E513" i="2"/>
  <c r="E519" i="2"/>
  <c r="E525" i="2"/>
  <c r="E531" i="2"/>
  <c r="E537" i="2"/>
  <c r="E543" i="2"/>
  <c r="E549" i="2"/>
  <c r="E555" i="2"/>
  <c r="E561" i="2"/>
  <c r="E567" i="2"/>
  <c r="E573" i="2"/>
  <c r="E579" i="2"/>
  <c r="E585" i="2"/>
  <c r="E591" i="2"/>
  <c r="E597" i="2"/>
  <c r="E603" i="2"/>
  <c r="E609" i="2"/>
  <c r="E615" i="2"/>
  <c r="E621" i="2"/>
  <c r="E627" i="2"/>
  <c r="E633" i="2"/>
  <c r="E639" i="2"/>
  <c r="E645" i="2"/>
  <c r="E651" i="2"/>
  <c r="E657" i="2"/>
  <c r="E663" i="2"/>
  <c r="E669" i="2"/>
  <c r="E675" i="2"/>
  <c r="E681" i="2"/>
  <c r="E687" i="2"/>
  <c r="E53" i="2"/>
  <c r="E123" i="2"/>
  <c r="E160" i="2"/>
  <c r="E167" i="2"/>
  <c r="E188" i="2"/>
  <c r="E195" i="2"/>
  <c r="E224" i="2"/>
  <c r="E231" i="2"/>
  <c r="E260" i="2"/>
  <c r="E267" i="2"/>
  <c r="E296" i="2"/>
  <c r="E303" i="2"/>
  <c r="E82" i="2"/>
  <c r="E124" i="2"/>
  <c r="E147" i="2"/>
  <c r="E161" i="2"/>
  <c r="E168" i="2"/>
  <c r="E7" i="2"/>
  <c r="E65" i="2"/>
  <c r="E91" i="2"/>
  <c r="E132" i="2"/>
  <c r="E176" i="2"/>
  <c r="E183" i="2"/>
  <c r="E190" i="2"/>
  <c r="E197" i="2"/>
  <c r="E204" i="2"/>
  <c r="E233" i="2"/>
  <c r="E240" i="2"/>
  <c r="E269" i="2"/>
  <c r="E276" i="2"/>
  <c r="E305" i="2"/>
  <c r="E311" i="2"/>
  <c r="E317" i="2"/>
  <c r="E323" i="2"/>
  <c r="E329" i="2"/>
  <c r="E335" i="2"/>
  <c r="E341" i="2"/>
  <c r="E347" i="2"/>
  <c r="E353" i="2"/>
  <c r="E359" i="2"/>
  <c r="E365" i="2"/>
  <c r="E371" i="2"/>
  <c r="E377" i="2"/>
  <c r="E383" i="2"/>
  <c r="E389" i="2"/>
  <c r="E395" i="2"/>
  <c r="E401" i="2"/>
  <c r="E407" i="2"/>
  <c r="E413" i="2"/>
  <c r="E419" i="2"/>
  <c r="E425" i="2"/>
  <c r="E431" i="2"/>
  <c r="E437" i="2"/>
  <c r="E443" i="2"/>
  <c r="E449" i="2"/>
  <c r="E455" i="2"/>
  <c r="E461" i="2"/>
  <c r="E467" i="2"/>
  <c r="E473" i="2"/>
  <c r="E479" i="2"/>
  <c r="E485" i="2"/>
  <c r="E491" i="2"/>
  <c r="E497" i="2"/>
  <c r="E503" i="2"/>
  <c r="E509" i="2"/>
  <c r="E515" i="2"/>
  <c r="E521" i="2"/>
  <c r="E527" i="2"/>
  <c r="E533" i="2"/>
  <c r="E539" i="2"/>
  <c r="E545" i="2"/>
  <c r="E551" i="2"/>
  <c r="E557" i="2"/>
  <c r="E563" i="2"/>
  <c r="E569" i="2"/>
  <c r="E575" i="2"/>
  <c r="E581" i="2"/>
  <c r="E587" i="2"/>
  <c r="E593" i="2"/>
  <c r="E599" i="2"/>
  <c r="E605" i="2"/>
  <c r="E611" i="2"/>
  <c r="E617" i="2"/>
  <c r="E623" i="2"/>
  <c r="E629" i="2"/>
  <c r="E635" i="2"/>
  <c r="E641" i="2"/>
  <c r="E647" i="2"/>
  <c r="E653" i="2"/>
  <c r="E659" i="2"/>
  <c r="E665" i="2"/>
  <c r="E671" i="2"/>
  <c r="E677" i="2"/>
  <c r="E683" i="2"/>
  <c r="E689" i="2"/>
  <c r="D46" i="2"/>
  <c r="E293" i="2"/>
  <c r="E221" i="2"/>
  <c r="E178" i="2"/>
  <c r="D123" i="2"/>
  <c r="E282" i="2"/>
  <c r="E261" i="2"/>
  <c r="E210" i="2"/>
  <c r="D555" i="2"/>
  <c r="D130" i="2"/>
  <c r="D539" i="2"/>
  <c r="D126" i="2"/>
  <c r="D8" i="2"/>
  <c r="D389" i="2"/>
  <c r="D257" i="2"/>
  <c r="D672" i="2"/>
  <c r="D198" i="2"/>
  <c r="D390" i="2"/>
  <c r="D168" i="2"/>
  <c r="D621" i="2"/>
  <c r="D108" i="2"/>
  <c r="D421" i="2"/>
  <c r="D513" i="2"/>
  <c r="D342" i="2"/>
  <c r="D248" i="2"/>
  <c r="D269" i="2"/>
  <c r="D277" i="2"/>
  <c r="D152" i="2"/>
  <c r="D329" i="2"/>
  <c r="D379" i="2"/>
  <c r="D616" i="2"/>
  <c r="D508" i="2"/>
  <c r="D346" i="2"/>
  <c r="E154" i="2"/>
  <c r="E175" i="2"/>
  <c r="D502" i="2"/>
  <c r="D685" i="2"/>
  <c r="D673" i="2"/>
  <c r="D661" i="2"/>
  <c r="E116" i="2"/>
  <c r="E118" i="2"/>
  <c r="E109" i="2"/>
  <c r="E107" i="2"/>
  <c r="E61" i="2"/>
  <c r="E38" i="2"/>
  <c r="E86" i="2"/>
  <c r="E81" i="2"/>
  <c r="E71" i="2"/>
  <c r="E55" i="2"/>
  <c r="E49" i="2"/>
  <c r="E35" i="2"/>
  <c r="E46" i="2"/>
  <c r="E37" i="2"/>
  <c r="E14" i="2"/>
  <c r="D663" i="2"/>
  <c r="D632" i="2"/>
  <c r="D446" i="2"/>
  <c r="D457" i="2"/>
  <c r="D249" i="2"/>
  <c r="D680" i="2"/>
  <c r="D677" i="2"/>
  <c r="D614" i="2"/>
  <c r="D401" i="2"/>
  <c r="D638" i="2"/>
  <c r="D546" i="2"/>
  <c r="D491" i="2"/>
  <c r="D71" i="2"/>
  <c r="D208" i="2"/>
  <c r="D476" i="2"/>
  <c r="D564" i="2"/>
  <c r="D237" i="2"/>
  <c r="D460" i="2"/>
  <c r="D295" i="2"/>
  <c r="D611" i="2"/>
  <c r="D393" i="2"/>
  <c r="D150" i="2"/>
  <c r="D408" i="2"/>
  <c r="D642" i="2"/>
  <c r="D253" i="2"/>
  <c r="D15" i="2"/>
  <c r="D31" i="2"/>
  <c r="D313" i="2"/>
  <c r="D16" i="2"/>
  <c r="D172" i="2"/>
  <c r="D414" i="2"/>
  <c r="D228" i="2"/>
  <c r="D74" i="2"/>
  <c r="D355" i="2"/>
  <c r="D192" i="2"/>
  <c r="D49" i="2"/>
  <c r="D352" i="2"/>
  <c r="D213" i="2"/>
  <c r="D70" i="2"/>
  <c r="D398" i="2"/>
  <c r="D259" i="2"/>
  <c r="D117" i="2"/>
  <c r="D222" i="2"/>
  <c r="D80" i="2"/>
  <c r="D337" i="2"/>
  <c r="D185" i="2"/>
  <c r="D42" i="2"/>
  <c r="D29" i="2"/>
  <c r="D230" i="2"/>
  <c r="D88" i="2"/>
  <c r="D608" i="2"/>
  <c r="D487" i="2"/>
  <c r="D350" i="2"/>
  <c r="D47" i="2"/>
  <c r="D467" i="2"/>
  <c r="D578" i="2"/>
  <c r="D268" i="2"/>
  <c r="D370" i="2"/>
  <c r="D39" i="2"/>
  <c r="D633" i="2"/>
  <c r="D19" i="2"/>
  <c r="D289" i="2"/>
  <c r="D115" i="2"/>
  <c r="D62" i="2"/>
  <c r="D180" i="2"/>
  <c r="D341" i="2"/>
  <c r="D58" i="2"/>
  <c r="D247" i="2"/>
  <c r="D211" i="2"/>
  <c r="D326" i="2"/>
  <c r="D30" i="2"/>
  <c r="D219" i="2"/>
  <c r="D674" i="2"/>
  <c r="D689" i="2"/>
  <c r="D83" i="2"/>
  <c r="D138" i="2"/>
  <c r="D381" i="2"/>
  <c r="D525" i="2"/>
  <c r="D482" i="2"/>
  <c r="D218" i="2"/>
  <c r="D174" i="2"/>
  <c r="D543" i="2"/>
  <c r="D430" i="2"/>
  <c r="D654" i="2"/>
  <c r="D366" i="2"/>
  <c r="D385" i="2"/>
  <c r="D186" i="2"/>
  <c r="D158" i="2"/>
  <c r="D500" i="2"/>
  <c r="D403" i="2"/>
  <c r="D217" i="2"/>
  <c r="D344" i="2"/>
  <c r="D37" i="2"/>
  <c r="D201" i="2"/>
  <c r="D386" i="2"/>
  <c r="D105" i="2"/>
  <c r="D68" i="2"/>
  <c r="D173" i="2"/>
  <c r="D17" i="2"/>
  <c r="D76" i="2"/>
  <c r="D299" i="2"/>
  <c r="D690" i="2"/>
  <c r="D668" i="2"/>
  <c r="D567" i="2"/>
  <c r="D566" i="2"/>
  <c r="D358" i="2"/>
  <c r="D507" i="2"/>
  <c r="D470" i="2"/>
  <c r="D338" i="2"/>
  <c r="D671" i="2"/>
  <c r="D12" i="2"/>
  <c r="D575" i="2"/>
  <c r="D612" i="2"/>
  <c r="D426" i="2"/>
  <c r="D587" i="2"/>
  <c r="D452" i="2"/>
  <c r="D311" i="2"/>
  <c r="D191" i="2"/>
  <c r="D551" i="2"/>
  <c r="D440" i="2"/>
  <c r="D131" i="2"/>
  <c r="D154" i="2"/>
  <c r="D469" i="2"/>
  <c r="D627" i="2"/>
  <c r="D262" i="2"/>
  <c r="D226" i="2"/>
  <c r="D255" i="2"/>
  <c r="D597" i="2"/>
  <c r="D427" i="2"/>
  <c r="D354" i="2"/>
  <c r="D60" i="2"/>
  <c r="D214" i="2"/>
  <c r="D388" i="2"/>
  <c r="D356" i="2"/>
  <c r="D181" i="2"/>
  <c r="D26" i="2"/>
  <c r="D309" i="2"/>
  <c r="D144" i="2"/>
  <c r="D445" i="2"/>
  <c r="D306" i="2"/>
  <c r="D165" i="2"/>
  <c r="D22" i="2"/>
  <c r="D351" i="2"/>
  <c r="D212" i="2"/>
  <c r="D69" i="2"/>
  <c r="D175" i="2"/>
  <c r="D32" i="2"/>
  <c r="D290" i="2"/>
  <c r="D137" i="2"/>
  <c r="D5" i="2"/>
  <c r="D324" i="2"/>
  <c r="D183" i="2"/>
  <c r="D40" i="2"/>
  <c r="D135" i="2"/>
  <c r="D312" i="2"/>
  <c r="D54" i="2"/>
  <c r="D244" i="2"/>
  <c r="D20" i="2"/>
  <c r="D234" i="2"/>
  <c r="D164" i="2"/>
  <c r="D340" i="2"/>
  <c r="D82" i="2"/>
  <c r="D260" i="2"/>
  <c r="D433" i="2"/>
  <c r="D204" i="2"/>
  <c r="D402" i="2"/>
  <c r="D169" i="2"/>
  <c r="D425" i="2"/>
  <c r="D279" i="2"/>
  <c r="D155" i="2"/>
  <c r="D103" i="2"/>
  <c r="D307" i="2"/>
  <c r="D579" i="2"/>
  <c r="D429" i="2"/>
  <c r="D451" i="2"/>
  <c r="D160" i="2"/>
  <c r="D435" i="2"/>
  <c r="D264" i="2"/>
  <c r="D602" i="2"/>
  <c r="D397" i="2"/>
  <c r="D392" i="2"/>
  <c r="D548" i="2"/>
  <c r="D107" i="2"/>
  <c r="D284" i="2"/>
  <c r="D461" i="2"/>
  <c r="D498" i="2"/>
  <c r="D275" i="2"/>
  <c r="D594" i="2"/>
  <c r="D667" i="2"/>
  <c r="D662" i="2"/>
  <c r="D631" i="2"/>
  <c r="D595" i="2"/>
  <c r="D523" i="2"/>
  <c r="D544" i="2"/>
  <c r="D256" i="2"/>
  <c r="D13" i="2"/>
  <c r="D359" i="2"/>
  <c r="D453" i="2"/>
  <c r="D484" i="2"/>
  <c r="D122" i="2"/>
  <c r="D586" i="2"/>
  <c r="D159" i="2"/>
  <c r="D3" i="2"/>
  <c r="D78" i="2"/>
  <c r="D56" i="2"/>
  <c r="D9" i="2"/>
  <c r="D188" i="2"/>
  <c r="D375" i="2"/>
  <c r="D106" i="2"/>
  <c r="D282" i="2"/>
  <c r="D25" i="2"/>
  <c r="D227" i="2"/>
  <c r="D424" i="2"/>
  <c r="D205" i="2"/>
  <c r="D458" i="2"/>
  <c r="D327" i="2"/>
  <c r="D266" i="2"/>
  <c r="D136" i="2"/>
  <c r="D382" i="2"/>
  <c r="D624" i="2"/>
  <c r="D477" i="2"/>
  <c r="D480" i="2"/>
  <c r="D343" i="2"/>
  <c r="D481" i="2"/>
  <c r="D417" i="2"/>
  <c r="D238" i="2"/>
  <c r="D531" i="2"/>
  <c r="D422" i="2"/>
  <c r="D569" i="2"/>
  <c r="D146" i="2"/>
  <c r="D613" i="2"/>
  <c r="D506" i="2"/>
  <c r="D629" i="2"/>
  <c r="D541" i="2"/>
  <c r="D623" i="2"/>
  <c r="D683" i="2"/>
  <c r="D669" i="2"/>
  <c r="D589" i="2"/>
  <c r="D335" i="2"/>
  <c r="D271" i="2"/>
  <c r="D193" i="2"/>
  <c r="D606" i="2"/>
  <c r="D292" i="2"/>
  <c r="D649" i="2"/>
  <c r="D497" i="2"/>
  <c r="D596" i="2"/>
  <c r="D679" i="2"/>
  <c r="D267" i="2"/>
  <c r="D171" i="2"/>
  <c r="D41" i="2"/>
  <c r="D90" i="2"/>
  <c r="D278" i="2"/>
  <c r="D92" i="2"/>
  <c r="D21" i="2"/>
  <c r="D200" i="2"/>
  <c r="D409" i="2"/>
  <c r="D118" i="2"/>
  <c r="D294" i="2"/>
  <c r="D61" i="2"/>
  <c r="D239" i="2"/>
  <c r="D14" i="2"/>
  <c r="D252" i="2"/>
  <c r="D468" i="2"/>
  <c r="D369" i="2"/>
  <c r="D336" i="2"/>
  <c r="D210" i="2"/>
  <c r="D406" i="2"/>
  <c r="D651" i="2"/>
  <c r="D516" i="2"/>
  <c r="D492" i="2"/>
  <c r="D493" i="2"/>
  <c r="D540" i="2"/>
  <c r="D438" i="2"/>
  <c r="D472" i="2"/>
  <c r="D584" i="2"/>
  <c r="D431" i="2"/>
  <c r="D599" i="2"/>
  <c r="D576" i="2"/>
  <c r="D308" i="2"/>
  <c r="D521" i="2"/>
  <c r="D215" i="2"/>
  <c r="D583" i="2"/>
  <c r="D647" i="2"/>
  <c r="D640" i="2"/>
  <c r="D604" i="2"/>
  <c r="D246" i="2"/>
  <c r="D448" i="2"/>
  <c r="D316" i="2"/>
  <c r="D646" i="2"/>
  <c r="D557" i="2"/>
  <c r="D577" i="2"/>
  <c r="D675" i="2"/>
  <c r="D195" i="2"/>
  <c r="D53" i="2"/>
  <c r="D102" i="2"/>
  <c r="D302" i="2"/>
  <c r="D104" i="2"/>
  <c r="D33" i="2"/>
  <c r="D223" i="2"/>
  <c r="D420" i="2"/>
  <c r="D129" i="2"/>
  <c r="D318" i="2"/>
  <c r="D73" i="2"/>
  <c r="D251" i="2"/>
  <c r="D38" i="2"/>
  <c r="D263" i="2"/>
  <c r="D479" i="2"/>
  <c r="D423" i="2"/>
  <c r="D357" i="2"/>
  <c r="D273" i="2"/>
  <c r="D475" i="2"/>
  <c r="D660" i="2"/>
  <c r="D526" i="2"/>
  <c r="D517" i="2"/>
  <c r="D528" i="2"/>
  <c r="D591" i="2"/>
  <c r="D495" i="2"/>
  <c r="D511" i="2"/>
  <c r="D449" i="2"/>
  <c r="D605" i="2"/>
  <c r="D167" i="2"/>
  <c r="D320" i="2"/>
  <c r="D530" i="2"/>
  <c r="D501" i="2"/>
  <c r="D601" i="2"/>
  <c r="D650" i="2"/>
  <c r="D681" i="2"/>
  <c r="D688" i="2"/>
  <c r="D676" i="2"/>
  <c r="D619" i="2"/>
  <c r="D441" i="2"/>
  <c r="D580" i="2"/>
  <c r="D363" i="2"/>
  <c r="D134" i="2"/>
  <c r="D7" i="2"/>
  <c r="D207" i="2"/>
  <c r="D65" i="2"/>
  <c r="D114" i="2"/>
  <c r="D314" i="2"/>
  <c r="D116" i="2"/>
  <c r="D45" i="2"/>
  <c r="D235" i="2"/>
  <c r="D432" i="2"/>
  <c r="D141" i="2"/>
  <c r="D330" i="2"/>
  <c r="D85" i="2"/>
  <c r="D274" i="2"/>
  <c r="D50" i="2"/>
  <c r="D286" i="2"/>
  <c r="D488" i="2"/>
  <c r="D489" i="2"/>
  <c r="D483" i="2"/>
  <c r="D301" i="2"/>
  <c r="D87" i="2"/>
  <c r="D625" i="2"/>
  <c r="D559" i="2"/>
  <c r="D538" i="2"/>
  <c r="D328" i="2"/>
  <c r="D600" i="2"/>
  <c r="D562" i="2"/>
  <c r="D514" i="2"/>
  <c r="D325" i="2"/>
  <c r="D455" i="2"/>
  <c r="D353" i="2"/>
  <c r="D170" i="2"/>
  <c r="D362" i="2"/>
  <c r="D554" i="2"/>
  <c r="D552" i="2"/>
  <c r="D637" i="2"/>
  <c r="D653" i="2"/>
  <c r="D664" i="2"/>
  <c r="D44" i="2"/>
  <c r="D413" i="2"/>
  <c r="D465" i="2"/>
  <c r="D242" i="2"/>
  <c r="D348" i="2"/>
  <c r="D270" i="2"/>
  <c r="D153" i="2"/>
  <c r="D97" i="2"/>
  <c r="D86" i="2"/>
  <c r="D55" i="2"/>
  <c r="D504" i="2"/>
  <c r="D331" i="2"/>
  <c r="D280" i="2"/>
  <c r="D643" i="2"/>
  <c r="D598" i="2"/>
  <c r="D48" i="2"/>
  <c r="D609" i="2"/>
  <c r="D373" i="2"/>
  <c r="D529" i="2"/>
  <c r="D471" i="2"/>
  <c r="D485" i="2"/>
  <c r="D644" i="2"/>
  <c r="D182" i="2"/>
  <c r="D365" i="2"/>
  <c r="D572" i="2"/>
  <c r="D442" i="2"/>
  <c r="D332" i="2"/>
  <c r="D659" i="2"/>
  <c r="D678" i="2"/>
  <c r="D691" i="2"/>
  <c r="D505" i="2"/>
  <c r="D147" i="2"/>
  <c r="D94" i="2"/>
  <c r="D241" i="2"/>
  <c r="D125" i="2"/>
  <c r="D127" i="2"/>
  <c r="D444" i="2"/>
  <c r="D364" i="2"/>
  <c r="D285" i="2"/>
  <c r="D570" i="2"/>
  <c r="D52" i="2"/>
  <c r="D254" i="2"/>
  <c r="D89" i="2"/>
  <c r="D149" i="2"/>
  <c r="D360" i="2"/>
  <c r="D139" i="2"/>
  <c r="D81" i="2"/>
  <c r="D281" i="2"/>
  <c r="D454" i="2"/>
  <c r="D177" i="2"/>
  <c r="D376" i="2"/>
  <c r="D109" i="2"/>
  <c r="D321" i="2"/>
  <c r="D98" i="2"/>
  <c r="D322" i="2"/>
  <c r="D43" i="2"/>
  <c r="D91" i="2"/>
  <c r="D524" i="2"/>
  <c r="D459" i="2"/>
  <c r="D361" i="2"/>
  <c r="D36" i="2"/>
  <c r="D607" i="2"/>
  <c r="D634" i="2"/>
  <c r="D111" i="2"/>
  <c r="D636" i="2"/>
  <c r="D418" i="2"/>
  <c r="D532" i="2"/>
  <c r="D377" i="2"/>
  <c r="D494" i="2"/>
  <c r="D75" i="2"/>
  <c r="D203" i="2"/>
  <c r="D371" i="2"/>
  <c r="D581" i="2"/>
  <c r="D648" i="2"/>
  <c r="D419" i="2"/>
  <c r="D405" i="2"/>
  <c r="D666" i="2"/>
  <c r="D655" i="2"/>
  <c r="D628" i="2"/>
  <c r="D556" i="2"/>
  <c r="D287" i="2"/>
  <c r="D57" i="2"/>
  <c r="D265" i="2"/>
  <c r="D151" i="2"/>
  <c r="D189" i="2"/>
  <c r="D120" i="2"/>
  <c r="D333" i="2"/>
  <c r="D110" i="2"/>
  <c r="D124" i="2"/>
  <c r="D560" i="2"/>
  <c r="D474" i="2"/>
  <c r="D384" i="2"/>
  <c r="D99" i="2"/>
  <c r="D652" i="2"/>
  <c r="D162" i="2"/>
  <c r="D645" i="2"/>
  <c r="D439" i="2"/>
  <c r="D547" i="2"/>
  <c r="D510" i="2"/>
  <c r="D509" i="2"/>
  <c r="D11" i="2"/>
  <c r="D206" i="2"/>
  <c r="D374" i="2"/>
  <c r="D593" i="2"/>
  <c r="D617" i="2"/>
  <c r="D304" i="2"/>
  <c r="D533" i="2"/>
  <c r="D571" i="2"/>
  <c r="D535" i="2"/>
  <c r="D176" i="2"/>
  <c r="D303" i="2"/>
  <c r="D28" i="2"/>
  <c r="D499" i="2"/>
  <c r="D64" i="2"/>
  <c r="D161" i="2"/>
  <c r="D93" i="2"/>
  <c r="D293" i="2"/>
  <c r="D387" i="2"/>
  <c r="D79" i="2"/>
  <c r="D100" i="2"/>
  <c r="D276" i="2"/>
  <c r="D113" i="2"/>
  <c r="D197" i="2"/>
  <c r="D383" i="2"/>
  <c r="D128" i="2"/>
  <c r="D305" i="2"/>
  <c r="D10" i="2"/>
  <c r="D224" i="2"/>
  <c r="D399" i="2"/>
  <c r="D132" i="2"/>
  <c r="D367" i="2"/>
  <c r="D121" i="2"/>
  <c r="D345" i="2"/>
  <c r="D202" i="2"/>
  <c r="D23" i="2"/>
  <c r="D24" i="2"/>
  <c r="D84" i="2"/>
  <c r="D462" i="2"/>
  <c r="D148" i="2"/>
  <c r="D258" i="2"/>
  <c r="D2" i="2"/>
  <c r="D231" i="2"/>
  <c r="D72" i="2"/>
  <c r="D520" i="2"/>
  <c r="D550" i="2"/>
  <c r="D518" i="2"/>
  <c r="D534" i="2"/>
  <c r="D233" i="2"/>
  <c r="D404" i="2"/>
  <c r="D630" i="2"/>
  <c r="D272" i="2"/>
  <c r="D473" i="2"/>
  <c r="D658" i="2"/>
  <c r="D682" i="2"/>
  <c r="D622" i="2"/>
  <c r="D466" i="2"/>
  <c r="D66" i="2"/>
  <c r="D216" i="2"/>
  <c r="D450" i="2"/>
  <c r="D77" i="2"/>
  <c r="D310" i="2"/>
  <c r="D101" i="2"/>
  <c r="D372" i="2"/>
  <c r="D464" i="2"/>
  <c r="D334" i="2"/>
  <c r="D163" i="2"/>
  <c r="D112" i="2"/>
  <c r="D288" i="2"/>
  <c r="D4" i="2"/>
  <c r="D209" i="2"/>
  <c r="D395" i="2"/>
  <c r="D187" i="2"/>
  <c r="D140" i="2"/>
  <c r="D317" i="2"/>
  <c r="D34" i="2"/>
  <c r="D236" i="2"/>
  <c r="D410" i="2"/>
  <c r="D156" i="2"/>
  <c r="D378" i="2"/>
  <c r="D133" i="2"/>
  <c r="D368" i="2"/>
  <c r="D229" i="2"/>
  <c r="D95" i="2"/>
  <c r="D96" i="2"/>
  <c r="D250" i="2"/>
  <c r="D490" i="2"/>
  <c r="D283" i="2"/>
  <c r="D315" i="2"/>
  <c r="D243" i="2"/>
  <c r="D291" i="2"/>
  <c r="D51" i="2"/>
  <c r="D553" i="2"/>
  <c r="D568" i="2"/>
  <c r="D486" i="2"/>
  <c r="D527" i="2"/>
  <c r="D561" i="2"/>
  <c r="D245" i="2"/>
  <c r="D416" i="2"/>
  <c r="D657" i="2"/>
  <c r="D585" i="2"/>
  <c r="D512" i="2"/>
  <c r="D687" i="2"/>
  <c r="D670" i="2"/>
  <c r="D565" i="2"/>
  <c r="D463" i="2"/>
  <c r="D380" i="2"/>
  <c r="D412" i="2"/>
  <c r="D415" i="2"/>
  <c r="D496" i="2"/>
  <c r="D391" i="2"/>
  <c r="D686" i="2"/>
  <c r="D665" i="2"/>
  <c r="D656" i="2"/>
  <c r="D545" i="2"/>
  <c r="D522" i="2"/>
  <c r="D620" i="2"/>
  <c r="D573" i="2"/>
  <c r="D179" i="2"/>
  <c r="D563" i="2"/>
  <c r="D443" i="2"/>
  <c r="D323" i="2"/>
  <c r="D221" i="2"/>
  <c r="D119" i="2"/>
  <c r="D635" i="2"/>
  <c r="D536" i="2"/>
  <c r="D434" i="2"/>
  <c r="D400" i="2"/>
  <c r="D63" i="2"/>
  <c r="D394" i="2"/>
  <c r="D618" i="2"/>
  <c r="D319" i="2"/>
  <c r="D411" i="2"/>
  <c r="D537" i="2"/>
  <c r="D190" i="2"/>
  <c r="D615" i="2"/>
  <c r="D220" i="2"/>
  <c r="D142" i="2"/>
  <c r="D178" i="2"/>
  <c r="D542" i="2"/>
  <c r="D184" i="2"/>
  <c r="D143" i="2"/>
  <c r="D298" i="2"/>
  <c r="D145" i="2"/>
  <c r="D436" i="2"/>
  <c r="D297" i="2"/>
  <c r="D684" i="2"/>
  <c r="D641" i="2"/>
  <c r="D639" i="2"/>
  <c r="D519" i="2"/>
  <c r="D603" i="2"/>
  <c r="D515" i="2"/>
  <c r="D296" i="2"/>
  <c r="D194" i="2"/>
  <c r="D35" i="2"/>
  <c r="D590" i="2"/>
  <c r="D503" i="2"/>
  <c r="D407" i="2"/>
  <c r="D456" i="2"/>
  <c r="D349" i="2"/>
  <c r="D166" i="2"/>
  <c r="D582" i="2"/>
  <c r="D196" i="2"/>
  <c r="D261" i="2"/>
  <c r="D549" i="2"/>
  <c r="D225" i="2"/>
  <c r="D588" i="2"/>
  <c r="D558" i="2"/>
  <c r="D447" i="2"/>
  <c r="D67" i="2"/>
  <c r="D396" i="2"/>
  <c r="D59" i="2"/>
  <c r="D347" i="2"/>
  <c r="D6" i="2"/>
  <c r="D240" i="2"/>
  <c r="D437" i="2"/>
  <c r="D478" i="2"/>
  <c r="E113" i="2"/>
  <c r="E73" i="2"/>
  <c r="E39" i="2"/>
  <c r="E34" i="2"/>
  <c r="E238" i="2"/>
  <c r="E226" i="2"/>
  <c r="E214" i="2"/>
  <c r="E202" i="2"/>
  <c r="E77" i="2"/>
  <c r="E97" i="2"/>
  <c r="E26" i="2"/>
  <c r="E111" i="2"/>
  <c r="E43" i="2"/>
  <c r="E137" i="2"/>
  <c r="E304" i="2"/>
  <c r="E292" i="2"/>
  <c r="E280" i="2"/>
  <c r="E268" i="2"/>
  <c r="E256" i="2"/>
  <c r="E244" i="2"/>
  <c r="E232" i="2"/>
  <c r="E220" i="2"/>
  <c r="E208" i="2"/>
  <c r="E196" i="2"/>
  <c r="E100" i="2"/>
  <c r="E88" i="2"/>
  <c r="E76" i="2"/>
  <c r="E64" i="2"/>
  <c r="E52" i="2"/>
  <c r="E40" i="2"/>
  <c r="E28" i="2"/>
  <c r="E16" i="2"/>
  <c r="E13" i="2"/>
  <c r="E171" i="2"/>
  <c r="E135" i="2"/>
  <c r="E8" i="2"/>
  <c r="E20" i="2"/>
  <c r="E32" i="2"/>
  <c r="E44" i="2"/>
  <c r="E56" i="2"/>
  <c r="E68" i="2"/>
  <c r="E80" i="2"/>
  <c r="E92" i="2"/>
  <c r="E104" i="2"/>
  <c r="E115" i="2"/>
  <c r="E133" i="2"/>
  <c r="E151" i="2"/>
  <c r="E169" i="2"/>
  <c r="E187" i="2"/>
  <c r="E12" i="2"/>
  <c r="E24" i="2"/>
  <c r="E36" i="2"/>
  <c r="E48" i="2"/>
  <c r="E60" i="2"/>
  <c r="E72" i="2"/>
  <c r="E84" i="2"/>
  <c r="E96" i="2"/>
  <c r="E108" i="2"/>
  <c r="E119" i="2"/>
  <c r="E126" i="2"/>
  <c r="E144" i="2"/>
  <c r="E155" i="2"/>
  <c r="E162" i="2"/>
  <c r="E173" i="2"/>
  <c r="E180" i="2"/>
  <c r="E191" i="2"/>
  <c r="E9" i="2"/>
  <c r="E21" i="2"/>
  <c r="E33" i="2"/>
  <c r="E45" i="2"/>
  <c r="E57" i="2"/>
  <c r="E2" i="2"/>
  <c r="E6" i="2"/>
  <c r="E18" i="2"/>
  <c r="E30" i="2"/>
  <c r="E42" i="2"/>
  <c r="E54" i="2"/>
  <c r="E66" i="2"/>
  <c r="E78" i="2"/>
  <c r="E90" i="2"/>
  <c r="E102" i="2"/>
  <c r="E110" i="2"/>
  <c r="E117" i="2"/>
  <c r="E128" i="2"/>
  <c r="E146" i="2"/>
  <c r="E153" i="2"/>
  <c r="E164" i="2"/>
  <c r="E182" i="2"/>
  <c r="E189" i="2"/>
  <c r="E199" i="2"/>
  <c r="E205" i="2"/>
  <c r="E211" i="2"/>
  <c r="E217" i="2"/>
  <c r="E223" i="2"/>
  <c r="E229" i="2"/>
  <c r="E235" i="2"/>
  <c r="E241" i="2"/>
  <c r="E247" i="2"/>
  <c r="E250" i="2"/>
  <c r="E253" i="2"/>
  <c r="E259" i="2"/>
  <c r="E262" i="2"/>
  <c r="E265" i="2"/>
  <c r="E271" i="2"/>
  <c r="E274" i="2"/>
  <c r="E277" i="2"/>
  <c r="E283" i="2"/>
  <c r="E286" i="2"/>
  <c r="E289" i="2"/>
  <c r="E295" i="2"/>
  <c r="E298" i="2"/>
  <c r="E301" i="2"/>
  <c r="D11" i="5"/>
  <c r="E149" i="2"/>
  <c r="E140" i="2"/>
  <c r="E136" i="2"/>
  <c r="E127" i="2"/>
  <c r="E99" i="2"/>
  <c r="E79" i="2"/>
  <c r="E63" i="2"/>
  <c r="E58" i="2"/>
  <c r="E29" i="2"/>
  <c r="E94" i="2"/>
  <c r="E89" i="2"/>
  <c r="E51" i="2"/>
  <c r="E23" i="2"/>
  <c r="E17" i="2"/>
  <c r="E11" i="2"/>
  <c r="E5" i="2"/>
  <c r="G48" i="2"/>
  <c r="D694" i="2"/>
  <c r="D695" i="2"/>
  <c r="D692" i="2"/>
  <c r="D717" i="2"/>
  <c r="D720" i="2"/>
  <c r="D723" i="2"/>
  <c r="D726" i="2"/>
  <c r="D729" i="2"/>
  <c r="D697" i="2"/>
  <c r="D700" i="2"/>
  <c r="D706" i="2"/>
  <c r="D721" i="2"/>
  <c r="D724" i="2"/>
  <c r="D727" i="2"/>
  <c r="D730" i="2"/>
  <c r="D698" i="2"/>
  <c r="D701" i="2"/>
  <c r="D704" i="2"/>
  <c r="D710" i="2"/>
  <c r="D713" i="2"/>
  <c r="D716" i="2"/>
  <c r="D709" i="2"/>
  <c r="D707" i="2"/>
  <c r="D715" i="2"/>
  <c r="D718" i="2"/>
  <c r="D719" i="2"/>
  <c r="D722" i="2"/>
  <c r="D725" i="2"/>
  <c r="D728" i="2"/>
  <c r="D731" i="2"/>
  <c r="D702" i="2"/>
  <c r="D705" i="2"/>
  <c r="D711" i="2"/>
  <c r="D699" i="2"/>
  <c r="D708" i="2"/>
  <c r="D714" i="2"/>
  <c r="D703" i="2"/>
  <c r="D712" i="2"/>
  <c r="E717" i="2"/>
  <c r="E720" i="2"/>
  <c r="E723" i="2"/>
  <c r="E726" i="2"/>
  <c r="E729" i="2"/>
  <c r="E697" i="2"/>
  <c r="E700" i="2"/>
  <c r="E703" i="2"/>
  <c r="E706" i="2"/>
  <c r="E709" i="2"/>
  <c r="E712" i="2"/>
  <c r="E715" i="2"/>
  <c r="E708" i="2"/>
  <c r="E718" i="2"/>
  <c r="E721" i="2"/>
  <c r="E724" i="2"/>
  <c r="E727" i="2"/>
  <c r="E730" i="2"/>
  <c r="E698" i="2"/>
  <c r="E701" i="2"/>
  <c r="E704" i="2"/>
  <c r="E707" i="2"/>
  <c r="E710" i="2"/>
  <c r="E713" i="2"/>
  <c r="E716" i="2"/>
  <c r="E719" i="2"/>
  <c r="E722" i="2"/>
  <c r="E731" i="2"/>
  <c r="E699" i="2"/>
  <c r="E705" i="2"/>
  <c r="E711" i="2"/>
  <c r="E728" i="2"/>
  <c r="E702" i="2"/>
  <c r="E714" i="2"/>
  <c r="E725" i="2"/>
  <c r="E694" i="2"/>
  <c r="E692" i="2"/>
  <c r="E695" i="2"/>
  <c r="E693" i="2"/>
  <c r="E696" i="2"/>
  <c r="D696" i="2"/>
  <c r="D693" i="2"/>
  <c r="G700" i="2"/>
  <c r="E27" i="5" l="1"/>
  <c r="H26" i="7"/>
  <c r="G31" i="8"/>
  <c r="D32" i="8"/>
  <c r="G25" i="8"/>
  <c r="G30" i="8"/>
  <c r="D25" i="8"/>
  <c r="B3" i="8"/>
  <c r="F3" i="8"/>
  <c r="G29" i="8"/>
  <c r="D29" i="8"/>
  <c r="D34" i="8"/>
  <c r="G34" i="8"/>
  <c r="D28" i="8"/>
  <c r="G28" i="8"/>
  <c r="D33" i="8"/>
  <c r="G33" i="8"/>
  <c r="G36" i="8"/>
  <c r="D36" i="8"/>
  <c r="G38" i="8"/>
  <c r="D38" i="8"/>
  <c r="G27" i="8"/>
  <c r="D26" i="8"/>
  <c r="G26" i="8"/>
  <c r="G32" i="8"/>
  <c r="D37" i="8"/>
  <c r="G37" i="8"/>
  <c r="G35" i="8"/>
  <c r="U24" i="5"/>
  <c r="E20" i="5"/>
  <c r="E24" i="5"/>
  <c r="U19" i="5"/>
  <c r="W21" i="5"/>
  <c r="Y23" i="5"/>
  <c r="V26" i="5"/>
  <c r="V19" i="5"/>
  <c r="X21" i="5"/>
  <c r="W26" i="5"/>
  <c r="W19" i="5"/>
  <c r="Y21" i="5"/>
  <c r="V24" i="5"/>
  <c r="X26" i="5"/>
  <c r="X19" i="5"/>
  <c r="U22" i="5"/>
  <c r="W24" i="5"/>
  <c r="Y26" i="5"/>
  <c r="U26" i="5"/>
  <c r="Y19" i="5"/>
  <c r="V22" i="5"/>
  <c r="X24" i="5"/>
  <c r="U27" i="5"/>
  <c r="U20" i="5"/>
  <c r="W22" i="5"/>
  <c r="Y24" i="5"/>
  <c r="V27" i="5"/>
  <c r="V20" i="5"/>
  <c r="X22" i="5"/>
  <c r="U25" i="5"/>
  <c r="W27" i="5"/>
  <c r="W20" i="5"/>
  <c r="Y22" i="5"/>
  <c r="V25" i="5"/>
  <c r="X27" i="5"/>
  <c r="X20" i="5"/>
  <c r="U23" i="5"/>
  <c r="W25" i="5"/>
  <c r="Y27" i="5"/>
  <c r="X23" i="5"/>
  <c r="Y20" i="5"/>
  <c r="V23" i="5"/>
  <c r="X25" i="5"/>
  <c r="Y18" i="5"/>
  <c r="U18" i="5"/>
  <c r="U21" i="5"/>
  <c r="W23" i="5"/>
  <c r="Y25" i="5"/>
  <c r="V18" i="5"/>
  <c r="V21" i="5"/>
  <c r="N19" i="5"/>
  <c r="P21" i="5"/>
  <c r="R23" i="5"/>
  <c r="O26" i="5"/>
  <c r="O19" i="5"/>
  <c r="Q21" i="5"/>
  <c r="N24" i="5"/>
  <c r="P26" i="5"/>
  <c r="P19" i="5"/>
  <c r="R21" i="5"/>
  <c r="O24" i="5"/>
  <c r="Q26" i="5"/>
  <c r="N18" i="5"/>
  <c r="Q19" i="5"/>
  <c r="N22" i="5"/>
  <c r="P24" i="5"/>
  <c r="R26" i="5"/>
  <c r="R19" i="5"/>
  <c r="O22" i="5"/>
  <c r="Q24" i="5"/>
  <c r="N27" i="5"/>
  <c r="O21" i="5"/>
  <c r="N20" i="5"/>
  <c r="P22" i="5"/>
  <c r="R24" i="5"/>
  <c r="O27" i="5"/>
  <c r="N26" i="5"/>
  <c r="O20" i="5"/>
  <c r="Q22" i="5"/>
  <c r="N25" i="5"/>
  <c r="P27" i="5"/>
  <c r="P20" i="5"/>
  <c r="R22" i="5"/>
  <c r="O25" i="5"/>
  <c r="Q27" i="5"/>
  <c r="Q23" i="5"/>
  <c r="Q20" i="5"/>
  <c r="N23" i="5"/>
  <c r="P25" i="5"/>
  <c r="R27" i="5"/>
  <c r="R20" i="5"/>
  <c r="O23" i="5"/>
  <c r="Q25" i="5"/>
  <c r="R18" i="5"/>
  <c r="N21" i="5"/>
  <c r="P23" i="5"/>
  <c r="R25" i="5"/>
  <c r="O18" i="5"/>
  <c r="E26" i="5"/>
  <c r="H42" i="5"/>
  <c r="H27" i="7"/>
  <c r="H23" i="7"/>
  <c r="H28" i="7"/>
  <c r="H40" i="5"/>
  <c r="H37" i="5"/>
  <c r="H24" i="7"/>
  <c r="H35" i="5"/>
  <c r="H36" i="5"/>
  <c r="E18" i="5"/>
  <c r="E25" i="5"/>
  <c r="H25" i="7"/>
  <c r="H29" i="7"/>
  <c r="H41" i="5"/>
  <c r="H21" i="7"/>
  <c r="F30" i="7"/>
  <c r="H20" i="7"/>
  <c r="E23" i="5"/>
  <c r="H43" i="5"/>
  <c r="H38" i="5"/>
  <c r="H22" i="7"/>
  <c r="G30" i="7"/>
  <c r="G44" i="5"/>
  <c r="H34" i="5"/>
  <c r="F44" i="5"/>
  <c r="D14" i="7"/>
  <c r="D42" i="5"/>
  <c r="J42" i="5" s="1"/>
  <c r="K9" i="5"/>
  <c r="G166" i="2"/>
  <c r="D6" i="7"/>
  <c r="G181" i="2"/>
  <c r="D5" i="5"/>
  <c r="K7" i="5"/>
  <c r="K13" i="7"/>
  <c r="E50" i="5"/>
  <c r="K7" i="7"/>
  <c r="G84" i="2"/>
  <c r="G111" i="2"/>
  <c r="G167" i="2"/>
  <c r="G193" i="2"/>
  <c r="G57" i="2"/>
  <c r="G113" i="2"/>
  <c r="G133" i="2"/>
  <c r="G12" i="2"/>
  <c r="G714" i="2"/>
  <c r="G100" i="2"/>
  <c r="G149" i="2"/>
  <c r="G224" i="2"/>
  <c r="G91" i="2"/>
  <c r="G21" i="2"/>
  <c r="G716" i="2"/>
  <c r="G721" i="2"/>
  <c r="G64" i="2"/>
  <c r="G145" i="2"/>
  <c r="G699" i="2"/>
  <c r="G118" i="2"/>
  <c r="G55" i="2"/>
  <c r="G693" i="2"/>
  <c r="G28" i="2"/>
  <c r="G692" i="2"/>
  <c r="G705" i="2"/>
  <c r="G715" i="2"/>
  <c r="G704" i="2"/>
  <c r="G708" i="2"/>
  <c r="G720" i="2"/>
  <c r="G731" i="2"/>
  <c r="G707" i="2"/>
  <c r="G172" i="2"/>
  <c r="G147" i="2"/>
  <c r="G717" i="2"/>
  <c r="G723" i="2"/>
  <c r="G725" i="2"/>
  <c r="G713" i="2"/>
  <c r="G185" i="2"/>
  <c r="G20" i="2"/>
  <c r="G212" i="2"/>
  <c r="G190" i="2"/>
  <c r="G729" i="2"/>
  <c r="G711" i="2"/>
  <c r="G719" i="2"/>
  <c r="G697" i="2"/>
  <c r="G718" i="2"/>
  <c r="G702" i="2"/>
  <c r="G703" i="2"/>
  <c r="G724" i="2"/>
  <c r="G701" i="2"/>
  <c r="G698" i="2"/>
  <c r="G706" i="2"/>
  <c r="G727" i="2"/>
  <c r="G722" i="2"/>
  <c r="G709" i="2"/>
  <c r="G730" i="2"/>
  <c r="G712" i="2"/>
  <c r="G728" i="2"/>
  <c r="G710" i="2"/>
  <c r="G726" i="2"/>
  <c r="G19" i="2"/>
  <c r="G93" i="2"/>
  <c r="D11" i="7"/>
  <c r="E55" i="5"/>
  <c r="K5" i="7"/>
  <c r="K8" i="5"/>
  <c r="D9" i="5"/>
  <c r="D37" i="5"/>
  <c r="J37" i="5" s="1"/>
  <c r="G151" i="2"/>
  <c r="G106" i="2"/>
  <c r="G70" i="2"/>
  <c r="G34" i="2"/>
  <c r="G99" i="2"/>
  <c r="G63" i="2"/>
  <c r="G27" i="2"/>
  <c r="G142" i="2"/>
  <c r="G83" i="2"/>
  <c r="G230" i="2"/>
  <c r="G165" i="2"/>
  <c r="D38" i="5"/>
  <c r="J38" i="5" s="1"/>
  <c r="D8" i="7"/>
  <c r="G695" i="2"/>
  <c r="D13" i="5"/>
  <c r="K12" i="7"/>
  <c r="K14" i="5"/>
  <c r="K9" i="7"/>
  <c r="K11" i="7"/>
  <c r="D43" i="5"/>
  <c r="J43" i="5" s="1"/>
  <c r="E48" i="5"/>
  <c r="G4" i="2"/>
  <c r="G148" i="2"/>
  <c r="G103" i="2"/>
  <c r="G67" i="2"/>
  <c r="G31" i="2"/>
  <c r="G96" i="2"/>
  <c r="G60" i="2"/>
  <c r="G24" i="2"/>
  <c r="G154" i="2"/>
  <c r="W18" i="5"/>
  <c r="X18" i="5"/>
  <c r="G65" i="2"/>
  <c r="G227" i="2"/>
  <c r="D7" i="5"/>
  <c r="K13" i="5"/>
  <c r="D10" i="7"/>
  <c r="G187" i="2"/>
  <c r="G139" i="2"/>
  <c r="G97" i="2"/>
  <c r="G61" i="2"/>
  <c r="G25" i="2"/>
  <c r="G90" i="2"/>
  <c r="G54" i="2"/>
  <c r="G18" i="2"/>
  <c r="G178" i="2"/>
  <c r="G8" i="2"/>
  <c r="G218" i="2"/>
  <c r="G62" i="2"/>
  <c r="Q18" i="5"/>
  <c r="P18" i="5"/>
  <c r="E53" i="5"/>
  <c r="D36" i="5"/>
  <c r="J36" i="5" s="1"/>
  <c r="G184" i="2"/>
  <c r="G136" i="2"/>
  <c r="G94" i="2"/>
  <c r="G58" i="2"/>
  <c r="G22" i="2"/>
  <c r="G87" i="2"/>
  <c r="G51" i="2"/>
  <c r="G15" i="2"/>
  <c r="D35" i="5"/>
  <c r="J35" i="5" s="1"/>
  <c r="G691" i="2"/>
  <c r="G14" i="2"/>
  <c r="G215" i="2"/>
  <c r="K11" i="5"/>
  <c r="D8" i="5"/>
  <c r="D7" i="7"/>
  <c r="D9" i="7"/>
  <c r="K5" i="5"/>
  <c r="D12" i="5"/>
  <c r="G696" i="2"/>
  <c r="D12" i="7"/>
  <c r="G129" i="2"/>
  <c r="G175" i="2"/>
  <c r="G127" i="2"/>
  <c r="G88" i="2"/>
  <c r="G52" i="2"/>
  <c r="G16" i="2"/>
  <c r="G81" i="2"/>
  <c r="G45" i="2"/>
  <c r="G9" i="2"/>
  <c r="G11" i="2"/>
  <c r="G104" i="2"/>
  <c r="G144" i="2"/>
  <c r="G153" i="2"/>
  <c r="G179" i="2"/>
  <c r="G188" i="2"/>
  <c r="G236" i="2"/>
  <c r="G243" i="2"/>
  <c r="G254" i="2"/>
  <c r="G162" i="2"/>
  <c r="G171" i="2"/>
  <c r="G247" i="2"/>
  <c r="G265" i="2"/>
  <c r="G272" i="2"/>
  <c r="G285" i="2"/>
  <c r="G295" i="2"/>
  <c r="G35" i="2"/>
  <c r="G41" i="2"/>
  <c r="G74" i="2"/>
  <c r="G114" i="2"/>
  <c r="G123" i="2"/>
  <c r="G244" i="2"/>
  <c r="G47" i="2"/>
  <c r="G53" i="2"/>
  <c r="G80" i="2"/>
  <c r="G95" i="2"/>
  <c r="G110" i="2"/>
  <c r="G119" i="2"/>
  <c r="G132" i="2"/>
  <c r="G141" i="2"/>
  <c r="G59" i="2"/>
  <c r="G128" i="2"/>
  <c r="G137" i="2"/>
  <c r="G150" i="2"/>
  <c r="G159" i="2"/>
  <c r="G198" i="2"/>
  <c r="G202" i="2"/>
  <c r="G210" i="2"/>
  <c r="G214" i="2"/>
  <c r="G101" i="2"/>
  <c r="G146" i="2"/>
  <c r="G155" i="2"/>
  <c r="G168" i="2"/>
  <c r="G177" i="2"/>
  <c r="G234" i="2"/>
  <c r="G245" i="2"/>
  <c r="G252" i="2"/>
  <c r="G263" i="2"/>
  <c r="G86" i="2"/>
  <c r="G120" i="2"/>
  <c r="G164" i="2"/>
  <c r="G173" i="2"/>
  <c r="G186" i="2"/>
  <c r="G238" i="2"/>
  <c r="G256" i="2"/>
  <c r="G277" i="2"/>
  <c r="G290" i="2"/>
  <c r="G71" i="2"/>
  <c r="G92" i="2"/>
  <c r="G107" i="2"/>
  <c r="G116" i="2"/>
  <c r="G138" i="2"/>
  <c r="G182" i="2"/>
  <c r="G191" i="2"/>
  <c r="G195" i="2"/>
  <c r="G199" i="2"/>
  <c r="G207" i="2"/>
  <c r="G211" i="2"/>
  <c r="G219" i="2"/>
  <c r="G223" i="2"/>
  <c r="G50" i="2"/>
  <c r="G56" i="2"/>
  <c r="G77" i="2"/>
  <c r="G108" i="2"/>
  <c r="G117" i="2"/>
  <c r="G143" i="2"/>
  <c r="G152" i="2"/>
  <c r="G174" i="2"/>
  <c r="G98" i="2"/>
  <c r="G126" i="2"/>
  <c r="G135" i="2"/>
  <c r="G161" i="2"/>
  <c r="G170" i="2"/>
  <c r="G192" i="2"/>
  <c r="G196" i="2"/>
  <c r="G204" i="2"/>
  <c r="G208" i="2"/>
  <c r="G216" i="2"/>
  <c r="G220" i="2"/>
  <c r="G228" i="2"/>
  <c r="G232" i="2"/>
  <c r="G250" i="2"/>
  <c r="G268" i="2"/>
  <c r="G125" i="2"/>
  <c r="G213" i="2"/>
  <c r="G280" i="2"/>
  <c r="G298" i="2"/>
  <c r="G308" i="2"/>
  <c r="G321" i="2"/>
  <c r="G334" i="2"/>
  <c r="G344" i="2"/>
  <c r="G357" i="2"/>
  <c r="G370" i="2"/>
  <c r="G380" i="2"/>
  <c r="G393" i="2"/>
  <c r="G406" i="2"/>
  <c r="G416" i="2"/>
  <c r="G429" i="2"/>
  <c r="G442" i="2"/>
  <c r="G229" i="2"/>
  <c r="G248" i="2"/>
  <c r="G257" i="2"/>
  <c r="G261" i="2"/>
  <c r="G273" i="2"/>
  <c r="G291" i="2"/>
  <c r="G305" i="2"/>
  <c r="G318" i="2"/>
  <c r="G331" i="2"/>
  <c r="G341" i="2"/>
  <c r="G354" i="2"/>
  <c r="G367" i="2"/>
  <c r="G239" i="2"/>
  <c r="G284" i="2"/>
  <c r="G315" i="2"/>
  <c r="G328" i="2"/>
  <c r="G338" i="2"/>
  <c r="G351" i="2"/>
  <c r="G364" i="2"/>
  <c r="G374" i="2"/>
  <c r="G387" i="2"/>
  <c r="G400" i="2"/>
  <c r="G410" i="2"/>
  <c r="G423" i="2"/>
  <c r="G436" i="2"/>
  <c r="G446" i="2"/>
  <c r="G449" i="2"/>
  <c r="G452" i="2"/>
  <c r="G455" i="2"/>
  <c r="G458" i="2"/>
  <c r="G461" i="2"/>
  <c r="G464" i="2"/>
  <c r="G467" i="2"/>
  <c r="G470" i="2"/>
  <c r="G473" i="2"/>
  <c r="G476" i="2"/>
  <c r="G479" i="2"/>
  <c r="G482" i="2"/>
  <c r="G485" i="2"/>
  <c r="G44" i="2"/>
  <c r="G225" i="2"/>
  <c r="G253" i="2"/>
  <c r="G266" i="2"/>
  <c r="G270" i="2"/>
  <c r="G274" i="2"/>
  <c r="G288" i="2"/>
  <c r="G292" i="2"/>
  <c r="G302" i="2"/>
  <c r="G312" i="2"/>
  <c r="G325" i="2"/>
  <c r="G335" i="2"/>
  <c r="G348" i="2"/>
  <c r="G361" i="2"/>
  <c r="G371" i="2"/>
  <c r="G384" i="2"/>
  <c r="G397" i="2"/>
  <c r="G407" i="2"/>
  <c r="G420" i="2"/>
  <c r="G433" i="2"/>
  <c r="G443" i="2"/>
  <c r="G134" i="2"/>
  <c r="G180" i="2"/>
  <c r="G249" i="2"/>
  <c r="G258" i="2"/>
  <c r="G262" i="2"/>
  <c r="G281" i="2"/>
  <c r="G299" i="2"/>
  <c r="G309" i="2"/>
  <c r="G322" i="2"/>
  <c r="G332" i="2"/>
  <c r="G345" i="2"/>
  <c r="G358" i="2"/>
  <c r="G368" i="2"/>
  <c r="G381" i="2"/>
  <c r="G394" i="2"/>
  <c r="G404" i="2"/>
  <c r="G417" i="2"/>
  <c r="G430" i="2"/>
  <c r="G440" i="2"/>
  <c r="G235" i="2"/>
  <c r="G240" i="2"/>
  <c r="G278" i="2"/>
  <c r="G296" i="2"/>
  <c r="G306" i="2"/>
  <c r="G319" i="2"/>
  <c r="G329" i="2"/>
  <c r="G342" i="2"/>
  <c r="G355" i="2"/>
  <c r="G365" i="2"/>
  <c r="G378" i="2"/>
  <c r="G391" i="2"/>
  <c r="G401" i="2"/>
  <c r="G414" i="2"/>
  <c r="G427" i="2"/>
  <c r="G437" i="2"/>
  <c r="G89" i="2"/>
  <c r="G226" i="2"/>
  <c r="G231" i="2"/>
  <c r="G267" i="2"/>
  <c r="G271" i="2"/>
  <c r="G289" i="2"/>
  <c r="G316" i="2"/>
  <c r="G326" i="2"/>
  <c r="G339" i="2"/>
  <c r="G29" i="2"/>
  <c r="G38" i="2"/>
  <c r="G156" i="2"/>
  <c r="G205" i="2"/>
  <c r="G259" i="2"/>
  <c r="G275" i="2"/>
  <c r="G282" i="2"/>
  <c r="G293" i="2"/>
  <c r="G303" i="2"/>
  <c r="G313" i="2"/>
  <c r="G323" i="2"/>
  <c r="G336" i="2"/>
  <c r="G349" i="2"/>
  <c r="G359" i="2"/>
  <c r="G372" i="2"/>
  <c r="G385" i="2"/>
  <c r="G395" i="2"/>
  <c r="G408" i="2"/>
  <c r="G421" i="2"/>
  <c r="G431" i="2"/>
  <c r="G444" i="2"/>
  <c r="G241" i="2"/>
  <c r="G286" i="2"/>
  <c r="G300" i="2"/>
  <c r="G310" i="2"/>
  <c r="G320" i="2"/>
  <c r="G333" i="2"/>
  <c r="G346" i="2"/>
  <c r="G356" i="2"/>
  <c r="G369" i="2"/>
  <c r="G382" i="2"/>
  <c r="G392" i="2"/>
  <c r="G405" i="2"/>
  <c r="G418" i="2"/>
  <c r="G428" i="2"/>
  <c r="G441" i="2"/>
  <c r="G5" i="2"/>
  <c r="G23" i="2"/>
  <c r="G201" i="2"/>
  <c r="G237" i="2"/>
  <c r="G260" i="2"/>
  <c r="G264" i="2"/>
  <c r="G283" i="2"/>
  <c r="G304" i="2"/>
  <c r="G314" i="2"/>
  <c r="G327" i="2"/>
  <c r="G340" i="2"/>
  <c r="G350" i="2"/>
  <c r="G363" i="2"/>
  <c r="G376" i="2"/>
  <c r="G386" i="2"/>
  <c r="G399" i="2"/>
  <c r="G412" i="2"/>
  <c r="G422" i="2"/>
  <c r="G217" i="2"/>
  <c r="G269" i="2"/>
  <c r="G287" i="2"/>
  <c r="G347" i="2"/>
  <c r="G352" i="2"/>
  <c r="G362" i="2"/>
  <c r="G419" i="2"/>
  <c r="G489" i="2"/>
  <c r="G502" i="2"/>
  <c r="G337" i="2"/>
  <c r="G396" i="2"/>
  <c r="G424" i="2"/>
  <c r="G450" i="2"/>
  <c r="G457" i="2"/>
  <c r="G468" i="2"/>
  <c r="G475" i="2"/>
  <c r="G486" i="2"/>
  <c r="G499" i="2"/>
  <c r="G276" i="2"/>
  <c r="G294" i="2"/>
  <c r="G311" i="2"/>
  <c r="G377" i="2"/>
  <c r="G496" i="2"/>
  <c r="G509" i="2"/>
  <c r="G512" i="2"/>
  <c r="G515" i="2"/>
  <c r="G518" i="2"/>
  <c r="G521" i="2"/>
  <c r="G524" i="2"/>
  <c r="G527" i="2"/>
  <c r="G530" i="2"/>
  <c r="G533" i="2"/>
  <c r="G536" i="2"/>
  <c r="G539" i="2"/>
  <c r="G542" i="2"/>
  <c r="G545" i="2"/>
  <c r="G548" i="2"/>
  <c r="G551" i="2"/>
  <c r="G554" i="2"/>
  <c r="G557" i="2"/>
  <c r="G560" i="2"/>
  <c r="G563" i="2"/>
  <c r="G566" i="2"/>
  <c r="G569" i="2"/>
  <c r="G572" i="2"/>
  <c r="G575" i="2"/>
  <c r="G578" i="2"/>
  <c r="G581" i="2"/>
  <c r="G584" i="2"/>
  <c r="G587" i="2"/>
  <c r="G590" i="2"/>
  <c r="G593" i="2"/>
  <c r="G596" i="2"/>
  <c r="G599" i="2"/>
  <c r="G602" i="2"/>
  <c r="G605" i="2"/>
  <c r="G608" i="2"/>
  <c r="G611" i="2"/>
  <c r="G614" i="2"/>
  <c r="G617" i="2"/>
  <c r="G620" i="2"/>
  <c r="G623" i="2"/>
  <c r="G626" i="2"/>
  <c r="G629" i="2"/>
  <c r="G632" i="2"/>
  <c r="G635" i="2"/>
  <c r="G638" i="2"/>
  <c r="G641" i="2"/>
  <c r="G251" i="2"/>
  <c r="G317" i="2"/>
  <c r="G343" i="2"/>
  <c r="G353" i="2"/>
  <c r="G373" i="2"/>
  <c r="G415" i="2"/>
  <c r="G434" i="2"/>
  <c r="G438" i="2"/>
  <c r="G447" i="2"/>
  <c r="G454" i="2"/>
  <c r="G465" i="2"/>
  <c r="G472" i="2"/>
  <c r="G483" i="2"/>
  <c r="G493" i="2"/>
  <c r="G506" i="2"/>
  <c r="G301" i="2"/>
  <c r="G383" i="2"/>
  <c r="G411" i="2"/>
  <c r="G425" i="2"/>
  <c r="G490" i="2"/>
  <c r="G503" i="2"/>
  <c r="G307" i="2"/>
  <c r="G388" i="2"/>
  <c r="G402" i="2"/>
  <c r="G451" i="2"/>
  <c r="G462" i="2"/>
  <c r="G469" i="2"/>
  <c r="G480" i="2"/>
  <c r="G487" i="2"/>
  <c r="G500" i="2"/>
  <c r="G233" i="2"/>
  <c r="G246" i="2"/>
  <c r="G398" i="2"/>
  <c r="G439" i="2"/>
  <c r="G497" i="2"/>
  <c r="G507" i="2"/>
  <c r="G510" i="2"/>
  <c r="G513" i="2"/>
  <c r="G516" i="2"/>
  <c r="G519" i="2"/>
  <c r="G522" i="2"/>
  <c r="G525" i="2"/>
  <c r="G528" i="2"/>
  <c r="G531" i="2"/>
  <c r="G534" i="2"/>
  <c r="G537" i="2"/>
  <c r="G540" i="2"/>
  <c r="G543" i="2"/>
  <c r="G546" i="2"/>
  <c r="G549" i="2"/>
  <c r="G552" i="2"/>
  <c r="G555" i="2"/>
  <c r="G558" i="2"/>
  <c r="G561" i="2"/>
  <c r="G564" i="2"/>
  <c r="G567" i="2"/>
  <c r="G570" i="2"/>
  <c r="G573" i="2"/>
  <c r="G576" i="2"/>
  <c r="G579" i="2"/>
  <c r="G582" i="2"/>
  <c r="G585" i="2"/>
  <c r="G588" i="2"/>
  <c r="G591" i="2"/>
  <c r="G594" i="2"/>
  <c r="G597" i="2"/>
  <c r="G600" i="2"/>
  <c r="G603" i="2"/>
  <c r="G606" i="2"/>
  <c r="G609" i="2"/>
  <c r="G612" i="2"/>
  <c r="G615" i="2"/>
  <c r="G618" i="2"/>
  <c r="G621" i="2"/>
  <c r="G624" i="2"/>
  <c r="G627" i="2"/>
  <c r="G630" i="2"/>
  <c r="G633" i="2"/>
  <c r="G636" i="2"/>
  <c r="G639" i="2"/>
  <c r="G642" i="2"/>
  <c r="G645" i="2"/>
  <c r="G648" i="2"/>
  <c r="G651" i="2"/>
  <c r="G654" i="2"/>
  <c r="G657" i="2"/>
  <c r="G660" i="2"/>
  <c r="G663" i="2"/>
  <c r="G666" i="2"/>
  <c r="G669" i="2"/>
  <c r="G672" i="2"/>
  <c r="G675" i="2"/>
  <c r="G678" i="2"/>
  <c r="G681" i="2"/>
  <c r="G684" i="2"/>
  <c r="G687" i="2"/>
  <c r="G324" i="2"/>
  <c r="G360" i="2"/>
  <c r="G379" i="2"/>
  <c r="G426" i="2"/>
  <c r="G435" i="2"/>
  <c r="G448" i="2"/>
  <c r="G459" i="2"/>
  <c r="G466" i="2"/>
  <c r="G477" i="2"/>
  <c r="G484" i="2"/>
  <c r="G494" i="2"/>
  <c r="G504" i="2"/>
  <c r="G491" i="2"/>
  <c r="G501" i="2"/>
  <c r="G279" i="2"/>
  <c r="G297" i="2"/>
  <c r="G375" i="2"/>
  <c r="G389" i="2"/>
  <c r="G403" i="2"/>
  <c r="G222" i="2"/>
  <c r="G242" i="2"/>
  <c r="G366" i="2"/>
  <c r="G413" i="2"/>
  <c r="G432" i="2"/>
  <c r="G445" i="2"/>
  <c r="G495" i="2"/>
  <c r="G508" i="2"/>
  <c r="G511" i="2"/>
  <c r="G514" i="2"/>
  <c r="G517" i="2"/>
  <c r="G520" i="2"/>
  <c r="G523" i="2"/>
  <c r="G526" i="2"/>
  <c r="G529" i="2"/>
  <c r="G532" i="2"/>
  <c r="G535" i="2"/>
  <c r="G538" i="2"/>
  <c r="G541" i="2"/>
  <c r="G544" i="2"/>
  <c r="G547" i="2"/>
  <c r="G550" i="2"/>
  <c r="G553" i="2"/>
  <c r="G556" i="2"/>
  <c r="G559" i="2"/>
  <c r="G562" i="2"/>
  <c r="G565" i="2"/>
  <c r="G568" i="2"/>
  <c r="G571" i="2"/>
  <c r="G574" i="2"/>
  <c r="G577" i="2"/>
  <c r="G580" i="2"/>
  <c r="G583" i="2"/>
  <c r="G586" i="2"/>
  <c r="G589" i="2"/>
  <c r="G592" i="2"/>
  <c r="G595" i="2"/>
  <c r="G598" i="2"/>
  <c r="G601" i="2"/>
  <c r="G604" i="2"/>
  <c r="G607" i="2"/>
  <c r="G610" i="2"/>
  <c r="G613" i="2"/>
  <c r="G616" i="2"/>
  <c r="G619" i="2"/>
  <c r="G622" i="2"/>
  <c r="G625" i="2"/>
  <c r="G628" i="2"/>
  <c r="G631" i="2"/>
  <c r="G634" i="2"/>
  <c r="G637" i="2"/>
  <c r="G640" i="2"/>
  <c r="G409" i="2"/>
  <c r="G471" i="2"/>
  <c r="G674" i="2"/>
  <c r="G488" i="2"/>
  <c r="G650" i="2"/>
  <c r="G456" i="2"/>
  <c r="G643" i="2"/>
  <c r="G647" i="2"/>
  <c r="G655" i="2"/>
  <c r="G659" i="2"/>
  <c r="G667" i="2"/>
  <c r="G671" i="2"/>
  <c r="G683" i="2"/>
  <c r="G662" i="2"/>
  <c r="G255" i="2"/>
  <c r="G478" i="2"/>
  <c r="G505" i="2"/>
  <c r="G682" i="2"/>
  <c r="G330" i="2"/>
  <c r="G644" i="2"/>
  <c r="G652" i="2"/>
  <c r="G656" i="2"/>
  <c r="G664" i="2"/>
  <c r="G668" i="2"/>
  <c r="G676" i="2"/>
  <c r="G680" i="2"/>
  <c r="G688" i="2"/>
  <c r="G646" i="2"/>
  <c r="G690" i="2"/>
  <c r="G463" i="2"/>
  <c r="G474" i="2"/>
  <c r="G453" i="2"/>
  <c r="G460" i="2"/>
  <c r="G658" i="2"/>
  <c r="G390" i="2"/>
  <c r="G649" i="2"/>
  <c r="G653" i="2"/>
  <c r="G661" i="2"/>
  <c r="G665" i="2"/>
  <c r="G677" i="2"/>
  <c r="G689" i="2"/>
  <c r="G686" i="2"/>
  <c r="G189" i="2"/>
  <c r="G481" i="2"/>
  <c r="G492" i="2"/>
  <c r="G498" i="2"/>
  <c r="G670" i="2"/>
  <c r="G206" i="2"/>
  <c r="G197" i="2"/>
  <c r="E56" i="5"/>
  <c r="D13" i="7"/>
  <c r="E57" i="5"/>
  <c r="G124" i="2"/>
  <c r="G85" i="2"/>
  <c r="G49" i="2"/>
  <c r="G13" i="2"/>
  <c r="G78" i="2"/>
  <c r="G42" i="2"/>
  <c r="G6" i="2"/>
  <c r="G17" i="2"/>
  <c r="E37" i="7"/>
  <c r="G203" i="2"/>
  <c r="G209" i="2"/>
  <c r="D34" i="5"/>
  <c r="K10" i="7"/>
  <c r="D41" i="5"/>
  <c r="J41" i="5" s="1"/>
  <c r="D40" i="5"/>
  <c r="J40" i="5" s="1"/>
  <c r="D14" i="5"/>
  <c r="D6" i="5"/>
  <c r="K10" i="5"/>
  <c r="G679" i="2"/>
  <c r="G3" i="2"/>
  <c r="G169" i="2"/>
  <c r="G121" i="2"/>
  <c r="G82" i="2"/>
  <c r="G46" i="2"/>
  <c r="G10" i="2"/>
  <c r="G75" i="2"/>
  <c r="G39" i="2"/>
  <c r="G2" i="2"/>
  <c r="G26" i="2"/>
  <c r="G200" i="2"/>
  <c r="G221" i="2"/>
  <c r="E54" i="5"/>
  <c r="D21" i="7"/>
  <c r="J21" i="7" s="1"/>
  <c r="K6" i="5"/>
  <c r="E36" i="7"/>
  <c r="E49" i="5"/>
  <c r="G694" i="2"/>
  <c r="E52" i="5"/>
  <c r="G685" i="2"/>
  <c r="G122" i="2"/>
  <c r="G163" i="2"/>
  <c r="G115" i="2"/>
  <c r="G79" i="2"/>
  <c r="G43" i="2"/>
  <c r="G7" i="2"/>
  <c r="G72" i="2"/>
  <c r="G36" i="2"/>
  <c r="G194" i="2"/>
  <c r="K12" i="5"/>
  <c r="D27" i="7"/>
  <c r="J27" i="7" s="1"/>
  <c r="K14" i="7"/>
  <c r="K6" i="7"/>
  <c r="D10" i="5"/>
  <c r="F694" i="2"/>
  <c r="D39" i="5"/>
  <c r="J39" i="5" s="1"/>
  <c r="G673" i="2"/>
  <c r="G140" i="2"/>
  <c r="G160" i="2"/>
  <c r="G112" i="2"/>
  <c r="G76" i="2"/>
  <c r="G40" i="2"/>
  <c r="G105" i="2"/>
  <c r="G69" i="2"/>
  <c r="G33" i="2"/>
  <c r="G176" i="2"/>
  <c r="G32" i="2"/>
  <c r="K8" i="7"/>
  <c r="D5" i="7"/>
  <c r="E51" i="5"/>
  <c r="F695" i="2"/>
  <c r="G158" i="2"/>
  <c r="G157" i="2"/>
  <c r="G109" i="2"/>
  <c r="G73" i="2"/>
  <c r="G37" i="2"/>
  <c r="G102" i="2"/>
  <c r="G66" i="2"/>
  <c r="G30" i="2"/>
  <c r="G130" i="2"/>
  <c r="G68" i="2"/>
  <c r="G131" i="2"/>
  <c r="G183" i="2"/>
  <c r="F4" i="8" l="1"/>
  <c r="B4" i="8"/>
  <c r="AQ48" i="5"/>
  <c r="AI85" i="5"/>
  <c r="AI82" i="5"/>
  <c r="AQ39" i="5"/>
  <c r="AQ75" i="5"/>
  <c r="AI83" i="5"/>
  <c r="AI79" i="5"/>
  <c r="AQ30" i="5"/>
  <c r="AI77" i="5"/>
  <c r="AQ66" i="5"/>
  <c r="AI84" i="5"/>
  <c r="AI81" i="5"/>
  <c r="AQ12" i="5"/>
  <c r="AI78" i="5"/>
  <c r="AQ21" i="5"/>
  <c r="AQ57" i="5"/>
  <c r="AI80" i="5"/>
  <c r="AQ94" i="5"/>
  <c r="AI54" i="5"/>
  <c r="AI58" i="5"/>
  <c r="AI51" i="5"/>
  <c r="AQ45" i="5"/>
  <c r="AI52" i="5"/>
  <c r="AI56" i="5"/>
  <c r="AI50" i="5"/>
  <c r="AQ82" i="5"/>
  <c r="AQ36" i="5"/>
  <c r="AQ73" i="5"/>
  <c r="AQ27" i="5"/>
  <c r="AI53" i="5"/>
  <c r="AI55" i="5"/>
  <c r="AQ64" i="5"/>
  <c r="AQ18" i="5"/>
  <c r="AQ9" i="5"/>
  <c r="AI57" i="5"/>
  <c r="AQ91" i="5"/>
  <c r="AQ85" i="5"/>
  <c r="AQ49" i="5"/>
  <c r="AI91" i="5"/>
  <c r="AI94" i="5"/>
  <c r="AQ40" i="5"/>
  <c r="AI89" i="5"/>
  <c r="AQ76" i="5"/>
  <c r="AI93" i="5"/>
  <c r="AI90" i="5"/>
  <c r="AI87" i="5"/>
  <c r="AQ31" i="5"/>
  <c r="AI92" i="5"/>
  <c r="AQ67" i="5"/>
  <c r="AI88" i="5"/>
  <c r="AI86" i="5"/>
  <c r="AQ22" i="5"/>
  <c r="AQ58" i="5"/>
  <c r="AQ13" i="5"/>
  <c r="AI5" i="5"/>
  <c r="AQ41" i="5"/>
  <c r="AI11" i="5"/>
  <c r="AQ77" i="5"/>
  <c r="AI13" i="5"/>
  <c r="AI7" i="5"/>
  <c r="AQ32" i="5"/>
  <c r="AQ68" i="5"/>
  <c r="AQ50" i="5"/>
  <c r="AI12" i="5"/>
  <c r="AQ23" i="5"/>
  <c r="AI9" i="5"/>
  <c r="AI6" i="5"/>
  <c r="AI10" i="5"/>
  <c r="AQ59" i="5"/>
  <c r="AI8" i="5"/>
  <c r="AQ14" i="5"/>
  <c r="AQ86" i="5"/>
  <c r="AQ44" i="5"/>
  <c r="AQ80" i="5"/>
  <c r="AQ7" i="5"/>
  <c r="AI39" i="5"/>
  <c r="AI36" i="5"/>
  <c r="AI40" i="5"/>
  <c r="AI33" i="5"/>
  <c r="AQ16" i="5"/>
  <c r="AI34" i="5"/>
  <c r="AQ71" i="5"/>
  <c r="AI38" i="5"/>
  <c r="AI32" i="5"/>
  <c r="AQ62" i="5"/>
  <c r="AQ25" i="5"/>
  <c r="AI35" i="5"/>
  <c r="AQ89" i="5"/>
  <c r="AQ53" i="5"/>
  <c r="AI37" i="5"/>
  <c r="AQ83" i="5"/>
  <c r="AI62" i="5"/>
  <c r="AQ10" i="5"/>
  <c r="AQ74" i="5"/>
  <c r="AQ46" i="5"/>
  <c r="AQ37" i="5"/>
  <c r="AI65" i="5"/>
  <c r="AI67" i="5"/>
  <c r="AI59" i="5"/>
  <c r="AI61" i="5"/>
  <c r="AQ28" i="5"/>
  <c r="AQ92" i="5"/>
  <c r="AI66" i="5"/>
  <c r="AI63" i="5"/>
  <c r="AQ19" i="5"/>
  <c r="AI60" i="5"/>
  <c r="AI64" i="5"/>
  <c r="AQ55" i="5"/>
  <c r="AI48" i="5"/>
  <c r="AQ81" i="5"/>
  <c r="AI45" i="5"/>
  <c r="AI42" i="5"/>
  <c r="AI46" i="5"/>
  <c r="AQ35" i="5"/>
  <c r="AI44" i="5"/>
  <c r="AQ72" i="5"/>
  <c r="AQ26" i="5"/>
  <c r="AQ63" i="5"/>
  <c r="AI47" i="5"/>
  <c r="AI49" i="5"/>
  <c r="AI41" i="5"/>
  <c r="AQ17" i="5"/>
  <c r="AI43" i="5"/>
  <c r="AQ8" i="5"/>
  <c r="AQ90" i="5"/>
  <c r="AQ54" i="5"/>
  <c r="AQ42" i="5"/>
  <c r="AI17" i="5"/>
  <c r="AI19" i="5"/>
  <c r="AQ78" i="5"/>
  <c r="AQ5" i="5"/>
  <c r="AQ33" i="5"/>
  <c r="AQ69" i="5"/>
  <c r="AI21" i="5"/>
  <c r="AI18" i="5"/>
  <c r="AI22" i="5"/>
  <c r="AI15" i="5"/>
  <c r="AQ24" i="5"/>
  <c r="AI16" i="5"/>
  <c r="AI20" i="5"/>
  <c r="AQ60" i="5"/>
  <c r="AI14" i="5"/>
  <c r="AQ87" i="5"/>
  <c r="AQ51" i="5"/>
  <c r="AQ84" i="5"/>
  <c r="AQ38" i="5"/>
  <c r="AI71" i="5"/>
  <c r="AI73" i="5"/>
  <c r="AQ29" i="5"/>
  <c r="AQ65" i="5"/>
  <c r="AQ20" i="5"/>
  <c r="AI75" i="5"/>
  <c r="AI72" i="5"/>
  <c r="AQ93" i="5"/>
  <c r="AI76" i="5"/>
  <c r="AQ56" i="5"/>
  <c r="AI69" i="5"/>
  <c r="AI70" i="5"/>
  <c r="AI74" i="5"/>
  <c r="AQ47" i="5"/>
  <c r="AQ11" i="5"/>
  <c r="AI68" i="5"/>
  <c r="AQ6" i="5"/>
  <c r="AI23" i="5"/>
  <c r="AQ88" i="5"/>
  <c r="AQ52" i="5"/>
  <c r="AI25" i="5"/>
  <c r="AQ43" i="5"/>
  <c r="AQ79" i="5"/>
  <c r="AI30" i="5"/>
  <c r="AI27" i="5"/>
  <c r="AI24" i="5"/>
  <c r="AI28" i="5"/>
  <c r="AQ34" i="5"/>
  <c r="AI26" i="5"/>
  <c r="AQ70" i="5"/>
  <c r="AQ61" i="5"/>
  <c r="AQ15" i="5"/>
  <c r="AI29" i="5"/>
  <c r="AI31" i="5"/>
  <c r="E58" i="5"/>
  <c r="F49" i="5" s="1"/>
  <c r="E44" i="7"/>
  <c r="F37" i="7" s="1"/>
  <c r="H44" i="5"/>
  <c r="H30" i="7"/>
  <c r="E40" i="7"/>
  <c r="D20" i="7"/>
  <c r="J20" i="7" s="1"/>
  <c r="F679" i="2"/>
  <c r="E38" i="7"/>
  <c r="C34" i="5"/>
  <c r="I34" i="5" s="1"/>
  <c r="C48" i="5"/>
  <c r="C43" i="7"/>
  <c r="C43" i="5"/>
  <c r="I43" i="5" s="1"/>
  <c r="K43" i="5" s="1"/>
  <c r="F692" i="2"/>
  <c r="E39" i="7"/>
  <c r="J34" i="5"/>
  <c r="J44" i="5" s="1"/>
  <c r="D44" i="5"/>
  <c r="D24" i="7"/>
  <c r="J24" i="7" s="1"/>
  <c r="D25" i="7"/>
  <c r="J25" i="7" s="1"/>
  <c r="C41" i="7"/>
  <c r="C55" i="5"/>
  <c r="E41" i="7"/>
  <c r="C39" i="7"/>
  <c r="C39" i="5"/>
  <c r="K39" i="7"/>
  <c r="L39" i="7" s="1"/>
  <c r="C53" i="5"/>
  <c r="F691" i="2"/>
  <c r="F685" i="2"/>
  <c r="F676" i="2"/>
  <c r="F671" i="2"/>
  <c r="C6" i="7"/>
  <c r="E6" i="7" s="1"/>
  <c r="C7" i="5"/>
  <c r="E7" i="5" s="1"/>
  <c r="G6" i="5"/>
  <c r="G13" i="5"/>
  <c r="C13" i="5"/>
  <c r="E13" i="5" s="1"/>
  <c r="K37" i="7"/>
  <c r="L37" i="7" s="1"/>
  <c r="C41" i="5"/>
  <c r="F12" i="5"/>
  <c r="I50" i="5"/>
  <c r="J5" i="7"/>
  <c r="C26" i="7"/>
  <c r="K48" i="5"/>
  <c r="L48" i="5" s="1"/>
  <c r="C40" i="7"/>
  <c r="I48" i="5"/>
  <c r="C40" i="5"/>
  <c r="J13" i="7"/>
  <c r="J8" i="5"/>
  <c r="C14" i="7"/>
  <c r="E14" i="7" s="1"/>
  <c r="J9" i="7"/>
  <c r="G12" i="5"/>
  <c r="G9" i="5"/>
  <c r="G14" i="5"/>
  <c r="C29" i="7"/>
  <c r="F8" i="5"/>
  <c r="F6" i="5"/>
  <c r="C35" i="5"/>
  <c r="K42" i="7"/>
  <c r="L42" i="7" s="1"/>
  <c r="C14" i="5"/>
  <c r="E14" i="5" s="1"/>
  <c r="F14" i="5"/>
  <c r="K52" i="5"/>
  <c r="L52" i="5" s="1"/>
  <c r="J7" i="7"/>
  <c r="C10" i="7"/>
  <c r="E10" i="7" s="1"/>
  <c r="G5" i="5"/>
  <c r="J12" i="5"/>
  <c r="C50" i="5"/>
  <c r="F9" i="7"/>
  <c r="K41" i="7"/>
  <c r="L41" i="7" s="1"/>
  <c r="C13" i="7"/>
  <c r="E13" i="7" s="1"/>
  <c r="C42" i="5"/>
  <c r="I42" i="7"/>
  <c r="C56" i="5"/>
  <c r="C8" i="5"/>
  <c r="E8" i="5" s="1"/>
  <c r="G6" i="7"/>
  <c r="J13" i="5"/>
  <c r="G10" i="7"/>
  <c r="K35" i="7"/>
  <c r="L35" i="7" s="1"/>
  <c r="J14" i="7"/>
  <c r="I35" i="7"/>
  <c r="C34" i="7"/>
  <c r="K54" i="5"/>
  <c r="L54" i="5" s="1"/>
  <c r="C25" i="7"/>
  <c r="C35" i="7"/>
  <c r="C9" i="7"/>
  <c r="E9" i="7" s="1"/>
  <c r="G14" i="7"/>
  <c r="C36" i="5"/>
  <c r="F11" i="7"/>
  <c r="C20" i="7"/>
  <c r="I36" i="7"/>
  <c r="C24" i="7"/>
  <c r="C6" i="5"/>
  <c r="E6" i="5" s="1"/>
  <c r="K51" i="5"/>
  <c r="L51" i="5" s="1"/>
  <c r="J11" i="5"/>
  <c r="I53" i="5"/>
  <c r="G8" i="5"/>
  <c r="C38" i="5"/>
  <c r="C10" i="5"/>
  <c r="E10" i="5" s="1"/>
  <c r="C5" i="5"/>
  <c r="E5" i="5" s="1"/>
  <c r="I37" i="7"/>
  <c r="K53" i="5"/>
  <c r="L53" i="5" s="1"/>
  <c r="F9" i="5"/>
  <c r="C23" i="7"/>
  <c r="F13" i="5"/>
  <c r="J8" i="7"/>
  <c r="G7" i="5"/>
  <c r="J6" i="5"/>
  <c r="K36" i="7"/>
  <c r="L36" i="7" s="1"/>
  <c r="I43" i="7"/>
  <c r="C37" i="7"/>
  <c r="F13" i="7"/>
  <c r="G13" i="7"/>
  <c r="K55" i="5"/>
  <c r="L55" i="5" s="1"/>
  <c r="F5" i="5"/>
  <c r="G5" i="7"/>
  <c r="C37" i="5"/>
  <c r="J6" i="7"/>
  <c r="J9" i="5"/>
  <c r="C27" i="7"/>
  <c r="K56" i="5"/>
  <c r="L56" i="5" s="1"/>
  <c r="C42" i="7"/>
  <c r="F8" i="7"/>
  <c r="G10" i="5"/>
  <c r="K40" i="7"/>
  <c r="L40" i="7" s="1"/>
  <c r="K57" i="5"/>
  <c r="L57" i="5" s="1"/>
  <c r="C28" i="7"/>
  <c r="C11" i="7"/>
  <c r="E11" i="7" s="1"/>
  <c r="G9" i="7"/>
  <c r="I54" i="5"/>
  <c r="I41" i="7"/>
  <c r="C57" i="5"/>
  <c r="K49" i="5"/>
  <c r="L49" i="5" s="1"/>
  <c r="I49" i="5"/>
  <c r="K43" i="7"/>
  <c r="L43" i="7" s="1"/>
  <c r="C12" i="5"/>
  <c r="E12" i="5" s="1"/>
  <c r="I39" i="7"/>
  <c r="G11" i="5"/>
  <c r="C21" i="7"/>
  <c r="J10" i="7"/>
  <c r="F5" i="7"/>
  <c r="C52" i="5"/>
  <c r="G7" i="7"/>
  <c r="I55" i="5"/>
  <c r="J11" i="7"/>
  <c r="C22" i="7"/>
  <c r="F10" i="7"/>
  <c r="G8" i="7"/>
  <c r="C8" i="7"/>
  <c r="E8" i="7" s="1"/>
  <c r="F11" i="5"/>
  <c r="J7" i="5"/>
  <c r="F12" i="7"/>
  <c r="I52" i="5"/>
  <c r="I56" i="5"/>
  <c r="K34" i="7"/>
  <c r="K38" i="7"/>
  <c r="L38" i="7" s="1"/>
  <c r="I38" i="7"/>
  <c r="C7" i="7"/>
  <c r="E7" i="7" s="1"/>
  <c r="J14" i="5"/>
  <c r="F6" i="7"/>
  <c r="I51" i="5"/>
  <c r="C5" i="7"/>
  <c r="E5" i="7" s="1"/>
  <c r="F7" i="5"/>
  <c r="I57" i="5"/>
  <c r="G11" i="7"/>
  <c r="C9" i="5"/>
  <c r="E9" i="5" s="1"/>
  <c r="C11" i="5"/>
  <c r="E11" i="5" s="1"/>
  <c r="F10" i="5"/>
  <c r="F14" i="7"/>
  <c r="G12" i="7"/>
  <c r="E43" i="7"/>
  <c r="J5" i="5"/>
  <c r="J10" i="5"/>
  <c r="F7" i="7"/>
  <c r="C54" i="5"/>
  <c r="J12" i="7"/>
  <c r="I34" i="7"/>
  <c r="E34" i="7"/>
  <c r="I40" i="7"/>
  <c r="C12" i="7"/>
  <c r="E12" i="7" s="1"/>
  <c r="E35" i="7"/>
  <c r="D28" i="7"/>
  <c r="J28" i="7" s="1"/>
  <c r="C49" i="5"/>
  <c r="F252" i="2"/>
  <c r="F265" i="2"/>
  <c r="F273" i="2"/>
  <c r="F291" i="2"/>
  <c r="F318" i="2"/>
  <c r="F331" i="2"/>
  <c r="F354" i="2"/>
  <c r="F367" i="2"/>
  <c r="F390" i="2"/>
  <c r="F403" i="2"/>
  <c r="F426" i="2"/>
  <c r="F439" i="2"/>
  <c r="F172" i="2"/>
  <c r="F208" i="2"/>
  <c r="F277" i="2"/>
  <c r="F284" i="2"/>
  <c r="F295" i="2"/>
  <c r="F315" i="2"/>
  <c r="F328" i="2"/>
  <c r="F351" i="2"/>
  <c r="F364" i="2"/>
  <c r="F214" i="2"/>
  <c r="F234" i="2"/>
  <c r="F253" i="2"/>
  <c r="F270" i="2"/>
  <c r="F288" i="2"/>
  <c r="F302" i="2"/>
  <c r="F312" i="2"/>
  <c r="F325" i="2"/>
  <c r="F348" i="2"/>
  <c r="F361" i="2"/>
  <c r="F384" i="2"/>
  <c r="F397" i="2"/>
  <c r="F420" i="2"/>
  <c r="F433" i="2"/>
  <c r="F127" i="2"/>
  <c r="F220" i="2"/>
  <c r="F244" i="2"/>
  <c r="F262" i="2"/>
  <c r="F281" i="2"/>
  <c r="F299" i="2"/>
  <c r="F309" i="2"/>
  <c r="F322" i="2"/>
  <c r="F345" i="2"/>
  <c r="F358" i="2"/>
  <c r="F381" i="2"/>
  <c r="F394" i="2"/>
  <c r="F417" i="2"/>
  <c r="F430" i="2"/>
  <c r="F198" i="2"/>
  <c r="F235" i="2"/>
  <c r="F278" i="2"/>
  <c r="F296" i="2"/>
  <c r="F306" i="2"/>
  <c r="F319" i="2"/>
  <c r="F342" i="2"/>
  <c r="F355" i="2"/>
  <c r="F378" i="2"/>
  <c r="F391" i="2"/>
  <c r="F414" i="2"/>
  <c r="F427" i="2"/>
  <c r="F271" i="2"/>
  <c r="F285" i="2"/>
  <c r="F289" i="2"/>
  <c r="F316" i="2"/>
  <c r="F339" i="2"/>
  <c r="F352" i="2"/>
  <c r="F375" i="2"/>
  <c r="F388" i="2"/>
  <c r="F411" i="2"/>
  <c r="F424" i="2"/>
  <c r="F447" i="2"/>
  <c r="F450" i="2"/>
  <c r="F453" i="2"/>
  <c r="F456" i="2"/>
  <c r="F459" i="2"/>
  <c r="F462" i="2"/>
  <c r="F465" i="2"/>
  <c r="F468" i="2"/>
  <c r="F471" i="2"/>
  <c r="F474" i="2"/>
  <c r="F477" i="2"/>
  <c r="F480" i="2"/>
  <c r="F483" i="2"/>
  <c r="F486" i="2"/>
  <c r="F489" i="2"/>
  <c r="F492" i="2"/>
  <c r="F495" i="2"/>
  <c r="F498" i="2"/>
  <c r="F501" i="2"/>
  <c r="F504" i="2"/>
  <c r="F507" i="2"/>
  <c r="F250" i="2"/>
  <c r="F259" i="2"/>
  <c r="F275" i="2"/>
  <c r="F293" i="2"/>
  <c r="F303" i="2"/>
  <c r="F313" i="2"/>
  <c r="F336" i="2"/>
  <c r="F136" i="2"/>
  <c r="F216" i="2"/>
  <c r="F241" i="2"/>
  <c r="F286" i="2"/>
  <c r="F300" i="2"/>
  <c r="F310" i="2"/>
  <c r="F333" i="2"/>
  <c r="F346" i="2"/>
  <c r="F369" i="2"/>
  <c r="F382" i="2"/>
  <c r="F405" i="2"/>
  <c r="F418" i="2"/>
  <c r="F441" i="2"/>
  <c r="F143" i="2"/>
  <c r="F222" i="2"/>
  <c r="F232" i="2"/>
  <c r="F246" i="2"/>
  <c r="F255" i="2"/>
  <c r="F268" i="2"/>
  <c r="F279" i="2"/>
  <c r="F297" i="2"/>
  <c r="F307" i="2"/>
  <c r="F330" i="2"/>
  <c r="F343" i="2"/>
  <c r="F366" i="2"/>
  <c r="F379" i="2"/>
  <c r="F402" i="2"/>
  <c r="F415" i="2"/>
  <c r="F438" i="2"/>
  <c r="F276" i="2"/>
  <c r="F294" i="2"/>
  <c r="F301" i="2"/>
  <c r="F324" i="2"/>
  <c r="F337" i="2"/>
  <c r="F360" i="2"/>
  <c r="F373" i="2"/>
  <c r="F396" i="2"/>
  <c r="F409" i="2"/>
  <c r="F196" i="2"/>
  <c r="F321" i="2"/>
  <c r="F357" i="2"/>
  <c r="F372" i="2"/>
  <c r="F400" i="2"/>
  <c r="F457" i="2"/>
  <c r="F464" i="2"/>
  <c r="F475" i="2"/>
  <c r="F482" i="2"/>
  <c r="F499" i="2"/>
  <c r="F442" i="2"/>
  <c r="F496" i="2"/>
  <c r="F509" i="2"/>
  <c r="F512" i="2"/>
  <c r="F515" i="2"/>
  <c r="F518" i="2"/>
  <c r="F521" i="2"/>
  <c r="F524" i="2"/>
  <c r="F527" i="2"/>
  <c r="F530" i="2"/>
  <c r="F533" i="2"/>
  <c r="F536" i="2"/>
  <c r="F539" i="2"/>
  <c r="F542" i="2"/>
  <c r="F545" i="2"/>
  <c r="F548" i="2"/>
  <c r="F551" i="2"/>
  <c r="F554" i="2"/>
  <c r="F557" i="2"/>
  <c r="F560" i="2"/>
  <c r="F563" i="2"/>
  <c r="F566" i="2"/>
  <c r="F569" i="2"/>
  <c r="F572" i="2"/>
  <c r="F575" i="2"/>
  <c r="F578" i="2"/>
  <c r="F581" i="2"/>
  <c r="F584" i="2"/>
  <c r="F587" i="2"/>
  <c r="F590" i="2"/>
  <c r="F593" i="2"/>
  <c r="F596" i="2"/>
  <c r="F599" i="2"/>
  <c r="F602" i="2"/>
  <c r="F605" i="2"/>
  <c r="F608" i="2"/>
  <c r="F611" i="2"/>
  <c r="F614" i="2"/>
  <c r="F617" i="2"/>
  <c r="F620" i="2"/>
  <c r="F623" i="2"/>
  <c r="F626" i="2"/>
  <c r="F629" i="2"/>
  <c r="F632" i="2"/>
  <c r="F635" i="2"/>
  <c r="F638" i="2"/>
  <c r="F641" i="2"/>
  <c r="F644" i="2"/>
  <c r="F647" i="2"/>
  <c r="F650" i="2"/>
  <c r="F653" i="2"/>
  <c r="F656" i="2"/>
  <c r="F659" i="2"/>
  <c r="F662" i="2"/>
  <c r="F665" i="2"/>
  <c r="F668" i="2"/>
  <c r="F674" i="2"/>
  <c r="F677" i="2"/>
  <c r="F680" i="2"/>
  <c r="F683" i="2"/>
  <c r="F686" i="2"/>
  <c r="F689" i="2"/>
  <c r="F163" i="2"/>
  <c r="F327" i="2"/>
  <c r="F387" i="2"/>
  <c r="F429" i="2"/>
  <c r="F454" i="2"/>
  <c r="F461" i="2"/>
  <c r="F472" i="2"/>
  <c r="F479" i="2"/>
  <c r="F493" i="2"/>
  <c r="F506" i="2"/>
  <c r="F264" i="2"/>
  <c r="F363" i="2"/>
  <c r="F406" i="2"/>
  <c r="F490" i="2"/>
  <c r="F503" i="2"/>
  <c r="F283" i="2"/>
  <c r="F451" i="2"/>
  <c r="F458" i="2"/>
  <c r="F469" i="2"/>
  <c r="F476" i="2"/>
  <c r="F487" i="2"/>
  <c r="F500" i="2"/>
  <c r="F690" i="2"/>
  <c r="F349" i="2"/>
  <c r="F421" i="2"/>
  <c r="F497" i="2"/>
  <c r="F510" i="2"/>
  <c r="F513" i="2"/>
  <c r="F516" i="2"/>
  <c r="F519" i="2"/>
  <c r="F522" i="2"/>
  <c r="F525" i="2"/>
  <c r="F528" i="2"/>
  <c r="F531" i="2"/>
  <c r="F534" i="2"/>
  <c r="F537" i="2"/>
  <c r="F540" i="2"/>
  <c r="F543" i="2"/>
  <c r="F546" i="2"/>
  <c r="F549" i="2"/>
  <c r="F552" i="2"/>
  <c r="F555" i="2"/>
  <c r="F558" i="2"/>
  <c r="F561" i="2"/>
  <c r="F564" i="2"/>
  <c r="F567" i="2"/>
  <c r="F570" i="2"/>
  <c r="F573" i="2"/>
  <c r="F576" i="2"/>
  <c r="F579" i="2"/>
  <c r="F582" i="2"/>
  <c r="F585" i="2"/>
  <c r="F588" i="2"/>
  <c r="F591" i="2"/>
  <c r="F594" i="2"/>
  <c r="F597" i="2"/>
  <c r="F600" i="2"/>
  <c r="F603" i="2"/>
  <c r="F606" i="2"/>
  <c r="F609" i="2"/>
  <c r="F612" i="2"/>
  <c r="F615" i="2"/>
  <c r="F618" i="2"/>
  <c r="F621" i="2"/>
  <c r="F624" i="2"/>
  <c r="F627" i="2"/>
  <c r="F630" i="2"/>
  <c r="F633" i="2"/>
  <c r="F636" i="2"/>
  <c r="F639" i="2"/>
  <c r="F642" i="2"/>
  <c r="F645" i="2"/>
  <c r="F648" i="2"/>
  <c r="F651" i="2"/>
  <c r="F654" i="2"/>
  <c r="F657" i="2"/>
  <c r="F660" i="2"/>
  <c r="F663" i="2"/>
  <c r="F666" i="2"/>
  <c r="F669" i="2"/>
  <c r="F672" i="2"/>
  <c r="F675" i="2"/>
  <c r="F678" i="2"/>
  <c r="F681" i="2"/>
  <c r="F687" i="2"/>
  <c r="F272" i="2"/>
  <c r="F290" i="2"/>
  <c r="F334" i="2"/>
  <c r="F393" i="2"/>
  <c r="F435" i="2"/>
  <c r="F444" i="2"/>
  <c r="F448" i="2"/>
  <c r="F455" i="2"/>
  <c r="F466" i="2"/>
  <c r="F473" i="2"/>
  <c r="F484" i="2"/>
  <c r="F494" i="2"/>
  <c r="F370" i="2"/>
  <c r="F412" i="2"/>
  <c r="F491" i="2"/>
  <c r="F463" i="2"/>
  <c r="F470" i="2"/>
  <c r="F481" i="2"/>
  <c r="F488" i="2"/>
  <c r="F340" i="2"/>
  <c r="F408" i="2"/>
  <c r="F452" i="2"/>
  <c r="F280" i="2"/>
  <c r="F298" i="2"/>
  <c r="F304" i="2"/>
  <c r="F423" i="2"/>
  <c r="F436" i="2"/>
  <c r="F449" i="2"/>
  <c r="F460" i="2"/>
  <c r="F467" i="2"/>
  <c r="F478" i="2"/>
  <c r="F485" i="2"/>
  <c r="F505" i="2"/>
  <c r="F514" i="2"/>
  <c r="F550" i="2"/>
  <c r="F586" i="2"/>
  <c r="F622" i="2"/>
  <c r="F535" i="2"/>
  <c r="F571" i="2"/>
  <c r="F607" i="2"/>
  <c r="F643" i="2"/>
  <c r="F655" i="2"/>
  <c r="F667" i="2"/>
  <c r="F565" i="2"/>
  <c r="F376" i="2"/>
  <c r="F445" i="2"/>
  <c r="F520" i="2"/>
  <c r="F556" i="2"/>
  <c r="F592" i="2"/>
  <c r="F628" i="2"/>
  <c r="F399" i="2"/>
  <c r="F541" i="2"/>
  <c r="F577" i="2"/>
  <c r="F613" i="2"/>
  <c r="F529" i="2"/>
  <c r="F637" i="2"/>
  <c r="F526" i="2"/>
  <c r="F562" i="2"/>
  <c r="F598" i="2"/>
  <c r="F634" i="2"/>
  <c r="F652" i="2"/>
  <c r="F664" i="2"/>
  <c r="F688" i="2"/>
  <c r="F228" i="2"/>
  <c r="F511" i="2"/>
  <c r="F547" i="2"/>
  <c r="F583" i="2"/>
  <c r="F619" i="2"/>
  <c r="F532" i="2"/>
  <c r="F568" i="2"/>
  <c r="F604" i="2"/>
  <c r="F640" i="2"/>
  <c r="F517" i="2"/>
  <c r="F553" i="2"/>
  <c r="F589" i="2"/>
  <c r="F625" i="2"/>
  <c r="F649" i="2"/>
  <c r="F661" i="2"/>
  <c r="F631" i="2"/>
  <c r="F502" i="2"/>
  <c r="F538" i="2"/>
  <c r="F574" i="2"/>
  <c r="F610" i="2"/>
  <c r="F385" i="2"/>
  <c r="F523" i="2"/>
  <c r="F559" i="2"/>
  <c r="F595" i="2"/>
  <c r="F508" i="2"/>
  <c r="F544" i="2"/>
  <c r="F580" i="2"/>
  <c r="F616" i="2"/>
  <c r="F646" i="2"/>
  <c r="F658" i="2"/>
  <c r="F670" i="2"/>
  <c r="F682" i="2"/>
  <c r="F432" i="2"/>
  <c r="F601" i="2"/>
  <c r="F226" i="2"/>
  <c r="F142" i="2"/>
  <c r="F10" i="2"/>
  <c r="F195" i="2"/>
  <c r="F51" i="2"/>
  <c r="F33" i="2"/>
  <c r="F81" i="2"/>
  <c r="F129" i="2"/>
  <c r="F177" i="2"/>
  <c r="F176" i="2"/>
  <c r="F227" i="2"/>
  <c r="F263" i="2"/>
  <c r="F64" i="2"/>
  <c r="F187" i="2"/>
  <c r="F26" i="2"/>
  <c r="F247" i="2"/>
  <c r="F229" i="2"/>
  <c r="F326" i="2"/>
  <c r="F362" i="2"/>
  <c r="F398" i="2"/>
  <c r="F434" i="2"/>
  <c r="F59" i="2"/>
  <c r="F164" i="2"/>
  <c r="F249" i="2"/>
  <c r="F139" i="2"/>
  <c r="F722" i="2"/>
  <c r="F704" i="2"/>
  <c r="F202" i="2"/>
  <c r="F130" i="2"/>
  <c r="F210" i="2"/>
  <c r="F183" i="2"/>
  <c r="F39" i="2"/>
  <c r="F36" i="2"/>
  <c r="F84" i="2"/>
  <c r="F132" i="2"/>
  <c r="F180" i="2"/>
  <c r="F194" i="2"/>
  <c r="F230" i="2"/>
  <c r="F266" i="2"/>
  <c r="F68" i="2"/>
  <c r="F5" i="2"/>
  <c r="F38" i="2"/>
  <c r="F23" i="2"/>
  <c r="F240" i="2"/>
  <c r="F329" i="2"/>
  <c r="F365" i="2"/>
  <c r="F401" i="2"/>
  <c r="F437" i="2"/>
  <c r="F85" i="2"/>
  <c r="F173" i="2"/>
  <c r="F287" i="2"/>
  <c r="F148" i="2"/>
  <c r="F720" i="2"/>
  <c r="F699" i="2"/>
  <c r="F707" i="2"/>
  <c r="F152" i="2"/>
  <c r="F193" i="2"/>
  <c r="F118" i="2"/>
  <c r="F149" i="2"/>
  <c r="F171" i="2"/>
  <c r="F27" i="2"/>
  <c r="F42" i="2"/>
  <c r="F90" i="2"/>
  <c r="F138" i="2"/>
  <c r="F186" i="2"/>
  <c r="F197" i="2"/>
  <c r="F233" i="2"/>
  <c r="F269" i="2"/>
  <c r="F76" i="2"/>
  <c r="F13" i="2"/>
  <c r="F50" i="2"/>
  <c r="F89" i="2"/>
  <c r="F258" i="2"/>
  <c r="F332" i="2"/>
  <c r="F368" i="2"/>
  <c r="F404" i="2"/>
  <c r="F440" i="2"/>
  <c r="F128" i="2"/>
  <c r="F256" i="2"/>
  <c r="F55" i="2"/>
  <c r="F179" i="2"/>
  <c r="F723" i="2"/>
  <c r="F714" i="2"/>
  <c r="F710" i="2"/>
  <c r="F185" i="2"/>
  <c r="F106" i="2"/>
  <c r="F204" i="2"/>
  <c r="F159" i="2"/>
  <c r="F45" i="2"/>
  <c r="F93" i="2"/>
  <c r="F141" i="2"/>
  <c r="F189" i="2"/>
  <c r="F200" i="2"/>
  <c r="F236" i="2"/>
  <c r="F8" i="2"/>
  <c r="F80" i="2"/>
  <c r="F17" i="2"/>
  <c r="F62" i="2"/>
  <c r="F109" i="2"/>
  <c r="F282" i="2"/>
  <c r="F335" i="2"/>
  <c r="F371" i="2"/>
  <c r="F407" i="2"/>
  <c r="F443" i="2"/>
  <c r="F137" i="2"/>
  <c r="F43" i="2"/>
  <c r="F97" i="2"/>
  <c r="F188" i="2"/>
  <c r="F726" i="2"/>
  <c r="F717" i="2"/>
  <c r="F713" i="2"/>
  <c r="F94" i="2"/>
  <c r="F112" i="2"/>
  <c r="F147" i="2"/>
  <c r="F15" i="2"/>
  <c r="F48" i="2"/>
  <c r="F96" i="2"/>
  <c r="F144" i="2"/>
  <c r="F192" i="2"/>
  <c r="F203" i="2"/>
  <c r="F239" i="2"/>
  <c r="F16" i="2"/>
  <c r="F88" i="2"/>
  <c r="F25" i="2"/>
  <c r="F74" i="2"/>
  <c r="F131" i="2"/>
  <c r="F292" i="2"/>
  <c r="F338" i="2"/>
  <c r="F374" i="2"/>
  <c r="F410" i="2"/>
  <c r="F446" i="2"/>
  <c r="F19" i="2"/>
  <c r="F71" i="2"/>
  <c r="F125" i="2"/>
  <c r="F261" i="2"/>
  <c r="F729" i="2"/>
  <c r="F725" i="2"/>
  <c r="F716" i="2"/>
  <c r="F274" i="2"/>
  <c r="F82" i="2"/>
  <c r="F79" i="2"/>
  <c r="F135" i="2"/>
  <c r="F6" i="2"/>
  <c r="F54" i="2"/>
  <c r="F102" i="2"/>
  <c r="F150" i="2"/>
  <c r="F2" i="2"/>
  <c r="F206" i="2"/>
  <c r="F242" i="2"/>
  <c r="F20" i="2"/>
  <c r="F92" i="2"/>
  <c r="F29" i="2"/>
  <c r="F86" i="2"/>
  <c r="F175" i="2"/>
  <c r="F305" i="2"/>
  <c r="F341" i="2"/>
  <c r="F377" i="2"/>
  <c r="F413" i="2"/>
  <c r="F47" i="2"/>
  <c r="F65" i="2"/>
  <c r="F107" i="2"/>
  <c r="F134" i="2"/>
  <c r="F77" i="2"/>
  <c r="F697" i="2"/>
  <c r="F705" i="2"/>
  <c r="F731" i="2"/>
  <c r="F308" i="2"/>
  <c r="F416" i="2"/>
  <c r="F101" i="2"/>
  <c r="F67" i="2"/>
  <c r="F238" i="2"/>
  <c r="F70" i="2"/>
  <c r="F35" i="2"/>
  <c r="F123" i="2"/>
  <c r="F9" i="2"/>
  <c r="F57" i="2"/>
  <c r="F105" i="2"/>
  <c r="F153" i="2"/>
  <c r="F7" i="2"/>
  <c r="F209" i="2"/>
  <c r="F245" i="2"/>
  <c r="F28" i="2"/>
  <c r="F100" i="2"/>
  <c r="F37" i="2"/>
  <c r="F98" i="2"/>
  <c r="F184" i="2"/>
  <c r="F344" i="2"/>
  <c r="F380" i="2"/>
  <c r="F95" i="2"/>
  <c r="F116" i="2"/>
  <c r="F190" i="2"/>
  <c r="F58" i="2"/>
  <c r="F267" i="2"/>
  <c r="F111" i="2"/>
  <c r="F12" i="2"/>
  <c r="F60" i="2"/>
  <c r="F108" i="2"/>
  <c r="F156" i="2"/>
  <c r="F11" i="2"/>
  <c r="F212" i="2"/>
  <c r="F248" i="2"/>
  <c r="F32" i="2"/>
  <c r="F104" i="2"/>
  <c r="F41" i="2"/>
  <c r="F124" i="2"/>
  <c r="F201" i="2"/>
  <c r="F311" i="2"/>
  <c r="F347" i="2"/>
  <c r="F383" i="2"/>
  <c r="F419" i="2"/>
  <c r="F110" i="2"/>
  <c r="F146" i="2"/>
  <c r="F182" i="2"/>
  <c r="F103" i="2"/>
  <c r="F703" i="2"/>
  <c r="F724" i="2"/>
  <c r="F718" i="2"/>
  <c r="F178" i="2"/>
  <c r="F243" i="2"/>
  <c r="F99" i="2"/>
  <c r="F18" i="2"/>
  <c r="F66" i="2"/>
  <c r="F114" i="2"/>
  <c r="F162" i="2"/>
  <c r="F3" i="2"/>
  <c r="F215" i="2"/>
  <c r="F251" i="2"/>
  <c r="F40" i="2"/>
  <c r="F115" i="2"/>
  <c r="F49" i="2"/>
  <c r="F160" i="2"/>
  <c r="F205" i="2"/>
  <c r="F314" i="2"/>
  <c r="F350" i="2"/>
  <c r="F386" i="2"/>
  <c r="F422" i="2"/>
  <c r="F119" i="2"/>
  <c r="F155" i="2"/>
  <c r="F191" i="2"/>
  <c r="F121" i="2"/>
  <c r="F706" i="2"/>
  <c r="F727" i="2"/>
  <c r="F728" i="2"/>
  <c r="F34" i="2"/>
  <c r="F219" i="2"/>
  <c r="F75" i="2"/>
  <c r="F24" i="2"/>
  <c r="F72" i="2"/>
  <c r="F120" i="2"/>
  <c r="F168" i="2"/>
  <c r="F140" i="2"/>
  <c r="F221" i="2"/>
  <c r="F257" i="2"/>
  <c r="F52" i="2"/>
  <c r="F151" i="2"/>
  <c r="F61" i="2"/>
  <c r="F113" i="2"/>
  <c r="F217" i="2"/>
  <c r="F320" i="2"/>
  <c r="F356" i="2"/>
  <c r="F392" i="2"/>
  <c r="F428" i="2"/>
  <c r="F167" i="2"/>
  <c r="F31" i="2"/>
  <c r="F211" i="2"/>
  <c r="F170" i="2"/>
  <c r="F712" i="2"/>
  <c r="F698" i="2"/>
  <c r="F711" i="2"/>
  <c r="F154" i="2"/>
  <c r="F22" i="2"/>
  <c r="F207" i="2"/>
  <c r="F63" i="2"/>
  <c r="F30" i="2"/>
  <c r="F78" i="2"/>
  <c r="F126" i="2"/>
  <c r="F174" i="2"/>
  <c r="F158" i="2"/>
  <c r="F224" i="2"/>
  <c r="F260" i="2"/>
  <c r="F56" i="2"/>
  <c r="F169" i="2"/>
  <c r="F14" i="2"/>
  <c r="F157" i="2"/>
  <c r="F225" i="2"/>
  <c r="F323" i="2"/>
  <c r="F359" i="2"/>
  <c r="F395" i="2"/>
  <c r="F431" i="2"/>
  <c r="F237" i="2"/>
  <c r="F91" i="2"/>
  <c r="F223" i="2"/>
  <c r="F83" i="2"/>
  <c r="F715" i="2"/>
  <c r="F701" i="2"/>
  <c r="F719" i="2"/>
  <c r="F46" i="2"/>
  <c r="F53" i="2"/>
  <c r="F4" i="2"/>
  <c r="F231" i="2"/>
  <c r="F73" i="2"/>
  <c r="F87" i="2"/>
  <c r="F213" i="2"/>
  <c r="F21" i="2"/>
  <c r="F317" i="2"/>
  <c r="F709" i="2"/>
  <c r="F181" i="2"/>
  <c r="F254" i="2"/>
  <c r="F69" i="2"/>
  <c r="F353" i="2"/>
  <c r="F199" i="2"/>
  <c r="F117" i="2"/>
  <c r="F389" i="2"/>
  <c r="F165" i="2"/>
  <c r="F425" i="2"/>
  <c r="F700" i="2"/>
  <c r="F218" i="2"/>
  <c r="F721" i="2"/>
  <c r="F730" i="2"/>
  <c r="F122" i="2"/>
  <c r="F145" i="2"/>
  <c r="F44" i="2"/>
  <c r="F161" i="2"/>
  <c r="F708" i="2"/>
  <c r="F166" i="2"/>
  <c r="F133" i="2"/>
  <c r="F702" i="2"/>
  <c r="D26" i="7"/>
  <c r="J26" i="7" s="1"/>
  <c r="C51" i="5"/>
  <c r="D22" i="7"/>
  <c r="J22" i="7" s="1"/>
  <c r="F693" i="2"/>
  <c r="D23" i="7"/>
  <c r="J23" i="7" s="1"/>
  <c r="F673" i="2"/>
  <c r="F684" i="2"/>
  <c r="F696" i="2"/>
  <c r="C36" i="7"/>
  <c r="K50" i="5"/>
  <c r="L50" i="5" s="1"/>
  <c r="D29" i="7"/>
  <c r="J29" i="7" s="1"/>
  <c r="E42" i="7"/>
  <c r="C38" i="7"/>
  <c r="F39" i="7" l="1"/>
  <c r="F55" i="5"/>
  <c r="F42" i="7"/>
  <c r="F43" i="7"/>
  <c r="F35" i="7"/>
  <c r="F34" i="7"/>
  <c r="F40" i="7"/>
  <c r="F41" i="7"/>
  <c r="F38" i="7"/>
  <c r="H10" i="5"/>
  <c r="AL53" i="5" s="1"/>
  <c r="J49" i="5"/>
  <c r="AN80" i="5"/>
  <c r="AF39" i="5"/>
  <c r="AF33" i="5"/>
  <c r="AN16" i="5"/>
  <c r="AF35" i="5"/>
  <c r="AN71" i="5"/>
  <c r="AN44" i="5"/>
  <c r="AN7" i="5"/>
  <c r="AN62" i="5"/>
  <c r="AF38" i="5"/>
  <c r="AF36" i="5"/>
  <c r="AF40" i="5"/>
  <c r="AN89" i="5"/>
  <c r="AN53" i="5"/>
  <c r="AF32" i="5"/>
  <c r="AF37" i="5"/>
  <c r="AF34" i="5"/>
  <c r="AN25" i="5"/>
  <c r="AN20" i="5"/>
  <c r="AN38" i="5"/>
  <c r="AN29" i="5"/>
  <c r="AF74" i="5"/>
  <c r="AN93" i="5"/>
  <c r="AF68" i="5"/>
  <c r="AF73" i="5"/>
  <c r="AF72" i="5"/>
  <c r="AF76" i="5"/>
  <c r="AF70" i="5"/>
  <c r="AN65" i="5"/>
  <c r="AN84" i="5"/>
  <c r="AF75" i="5"/>
  <c r="AN56" i="5"/>
  <c r="AF69" i="5"/>
  <c r="AF71" i="5"/>
  <c r="AN47" i="5"/>
  <c r="AN11" i="5"/>
  <c r="AN36" i="5"/>
  <c r="AN9" i="5"/>
  <c r="AN64" i="5"/>
  <c r="AF56" i="5"/>
  <c r="AN91" i="5"/>
  <c r="AN45" i="5"/>
  <c r="AF50" i="5"/>
  <c r="AF55" i="5"/>
  <c r="AF54" i="5"/>
  <c r="AF58" i="5"/>
  <c r="AF52" i="5"/>
  <c r="AN82" i="5"/>
  <c r="AF57" i="5"/>
  <c r="AF51" i="5"/>
  <c r="AN18" i="5"/>
  <c r="AF53" i="5"/>
  <c r="AN73" i="5"/>
  <c r="AN27" i="5"/>
  <c r="AN22" i="5"/>
  <c r="AF93" i="5"/>
  <c r="AN67" i="5"/>
  <c r="AF90" i="5"/>
  <c r="AF88" i="5"/>
  <c r="AN13" i="5"/>
  <c r="AN40" i="5"/>
  <c r="AF87" i="5"/>
  <c r="AF86" i="5"/>
  <c r="AF94" i="5"/>
  <c r="AN58" i="5"/>
  <c r="AF91" i="5"/>
  <c r="AF89" i="5"/>
  <c r="AN49" i="5"/>
  <c r="AN31" i="5"/>
  <c r="AF92" i="5"/>
  <c r="AN85" i="5"/>
  <c r="AN76" i="5"/>
  <c r="H5" i="5"/>
  <c r="AF5" i="5"/>
  <c r="AF12" i="5"/>
  <c r="AN41" i="5"/>
  <c r="AN23" i="5"/>
  <c r="AF10" i="5"/>
  <c r="AN77" i="5"/>
  <c r="AF8" i="5"/>
  <c r="AF13" i="5"/>
  <c r="AF7" i="5"/>
  <c r="AN68" i="5"/>
  <c r="AN14" i="5"/>
  <c r="AF9" i="5"/>
  <c r="AF6" i="5"/>
  <c r="AF11" i="5"/>
  <c r="AN32" i="5"/>
  <c r="AN59" i="5"/>
  <c r="AN86" i="5"/>
  <c r="AN50" i="5"/>
  <c r="AF16" i="5"/>
  <c r="AF14" i="5"/>
  <c r="AF19" i="5"/>
  <c r="AN60" i="5"/>
  <c r="AF21" i="5"/>
  <c r="AF15" i="5"/>
  <c r="AN87" i="5"/>
  <c r="AN51" i="5"/>
  <c r="AF17" i="5"/>
  <c r="AF18" i="5"/>
  <c r="AN42" i="5"/>
  <c r="AN78" i="5"/>
  <c r="AN33" i="5"/>
  <c r="AN5" i="5"/>
  <c r="AN69" i="5"/>
  <c r="AF22" i="5"/>
  <c r="AF20" i="5"/>
  <c r="AN24" i="5"/>
  <c r="AF25" i="5"/>
  <c r="AN70" i="5"/>
  <c r="AN52" i="5"/>
  <c r="AN15" i="5"/>
  <c r="AN6" i="5"/>
  <c r="AF27" i="5"/>
  <c r="AF29" i="5"/>
  <c r="AN61" i="5"/>
  <c r="AF23" i="5"/>
  <c r="AN88" i="5"/>
  <c r="AN43" i="5"/>
  <c r="AN79" i="5"/>
  <c r="AF30" i="5"/>
  <c r="AF26" i="5"/>
  <c r="AN34" i="5"/>
  <c r="AF31" i="5"/>
  <c r="AF24" i="5"/>
  <c r="AF28" i="5"/>
  <c r="AF47" i="5"/>
  <c r="AF46" i="5"/>
  <c r="AN63" i="5"/>
  <c r="AF41" i="5"/>
  <c r="AN26" i="5"/>
  <c r="AN35" i="5"/>
  <c r="AN90" i="5"/>
  <c r="AN54" i="5"/>
  <c r="AN17" i="5"/>
  <c r="AN8" i="5"/>
  <c r="AN81" i="5"/>
  <c r="AF44" i="5"/>
  <c r="AF42" i="5"/>
  <c r="AF49" i="5"/>
  <c r="AF48" i="5"/>
  <c r="AF43" i="5"/>
  <c r="AN72" i="5"/>
  <c r="AF45" i="5"/>
  <c r="N6" i="5"/>
  <c r="P8" i="5"/>
  <c r="R10" i="5"/>
  <c r="O13" i="5"/>
  <c r="N13" i="5"/>
  <c r="N5" i="5"/>
  <c r="O6" i="5"/>
  <c r="Q8" i="5"/>
  <c r="N11" i="5"/>
  <c r="P13" i="5"/>
  <c r="O8" i="5"/>
  <c r="P6" i="5"/>
  <c r="R8" i="5"/>
  <c r="O11" i="5"/>
  <c r="Q13" i="5"/>
  <c r="Q6" i="5"/>
  <c r="N9" i="5"/>
  <c r="P11" i="5"/>
  <c r="R13" i="5"/>
  <c r="R6" i="5"/>
  <c r="O9" i="5"/>
  <c r="Q11" i="5"/>
  <c r="N14" i="5"/>
  <c r="N7" i="5"/>
  <c r="P9" i="5"/>
  <c r="R11" i="5"/>
  <c r="O14" i="5"/>
  <c r="O7" i="5"/>
  <c r="Q9" i="5"/>
  <c r="N12" i="5"/>
  <c r="P14" i="5"/>
  <c r="Q10" i="5"/>
  <c r="P7" i="5"/>
  <c r="R9" i="5"/>
  <c r="O12" i="5"/>
  <c r="Q14" i="5"/>
  <c r="Q7" i="5"/>
  <c r="N10" i="5"/>
  <c r="P12" i="5"/>
  <c r="R14" i="5"/>
  <c r="R7" i="5"/>
  <c r="O10" i="5"/>
  <c r="Q12" i="5"/>
  <c r="R5" i="5"/>
  <c r="N8" i="5"/>
  <c r="P10" i="5"/>
  <c r="R12" i="5"/>
  <c r="O5" i="5"/>
  <c r="AF63" i="5"/>
  <c r="AN19" i="5"/>
  <c r="AN74" i="5"/>
  <c r="AN10" i="5"/>
  <c r="AF62" i="5"/>
  <c r="AF67" i="5"/>
  <c r="AF66" i="5"/>
  <c r="AN55" i="5"/>
  <c r="AF61" i="5"/>
  <c r="AF60" i="5"/>
  <c r="AF64" i="5"/>
  <c r="AN46" i="5"/>
  <c r="AN28" i="5"/>
  <c r="AN92" i="5"/>
  <c r="AN37" i="5"/>
  <c r="AF59" i="5"/>
  <c r="AF65" i="5"/>
  <c r="AN83" i="5"/>
  <c r="AN66" i="5"/>
  <c r="AN12" i="5"/>
  <c r="AF80" i="5"/>
  <c r="AN48" i="5"/>
  <c r="AN39" i="5"/>
  <c r="AF85" i="5"/>
  <c r="AF84" i="5"/>
  <c r="AF79" i="5"/>
  <c r="AF78" i="5"/>
  <c r="AN57" i="5"/>
  <c r="AF82" i="5"/>
  <c r="AN94" i="5"/>
  <c r="AF81" i="5"/>
  <c r="AF83" i="5"/>
  <c r="AF77" i="5"/>
  <c r="AN75" i="5"/>
  <c r="AN30" i="5"/>
  <c r="AN21" i="5"/>
  <c r="F54" i="5"/>
  <c r="F50" i="5"/>
  <c r="F52" i="5"/>
  <c r="F48" i="5"/>
  <c r="F51" i="5"/>
  <c r="F56" i="5"/>
  <c r="F57" i="5"/>
  <c r="F53" i="5"/>
  <c r="C58" i="5"/>
  <c r="D51" i="5" s="1"/>
  <c r="F36" i="7"/>
  <c r="C44" i="7"/>
  <c r="D43" i="7" s="1"/>
  <c r="H10" i="7"/>
  <c r="H13" i="5"/>
  <c r="H13" i="7"/>
  <c r="K34" i="5"/>
  <c r="H7" i="5"/>
  <c r="H6" i="7"/>
  <c r="G48" i="5"/>
  <c r="E34" i="5"/>
  <c r="H14" i="5"/>
  <c r="H14" i="7"/>
  <c r="E43" i="5"/>
  <c r="H5" i="7"/>
  <c r="H7" i="7"/>
  <c r="G51" i="5"/>
  <c r="G38" i="7"/>
  <c r="L34" i="7"/>
  <c r="G57" i="5"/>
  <c r="G42" i="7"/>
  <c r="M37" i="7"/>
  <c r="J37" i="7"/>
  <c r="H11" i="7"/>
  <c r="H9" i="7"/>
  <c r="J30" i="7"/>
  <c r="G55" i="5"/>
  <c r="M51" i="5"/>
  <c r="J51" i="5"/>
  <c r="M39" i="7"/>
  <c r="J39" i="7"/>
  <c r="M41" i="7"/>
  <c r="J41" i="7"/>
  <c r="G34" i="7"/>
  <c r="G50" i="5"/>
  <c r="E35" i="5"/>
  <c r="I35" i="5"/>
  <c r="C44" i="5"/>
  <c r="E44" i="5" s="1"/>
  <c r="M50" i="5"/>
  <c r="J50" i="5"/>
  <c r="D30" i="7"/>
  <c r="G53" i="5"/>
  <c r="J56" i="5"/>
  <c r="M56" i="5"/>
  <c r="E22" i="7"/>
  <c r="I22" i="7"/>
  <c r="K22" i="7" s="1"/>
  <c r="J54" i="5"/>
  <c r="M54" i="5"/>
  <c r="I36" i="5"/>
  <c r="K36" i="5" s="1"/>
  <c r="E36" i="5"/>
  <c r="M35" i="7"/>
  <c r="J35" i="7"/>
  <c r="M40" i="7"/>
  <c r="J40" i="7"/>
  <c r="M52" i="5"/>
  <c r="J52" i="5"/>
  <c r="G56" i="5"/>
  <c r="H6" i="5"/>
  <c r="H12" i="5"/>
  <c r="I39" i="5"/>
  <c r="K39" i="5" s="1"/>
  <c r="E39" i="5"/>
  <c r="G41" i="7"/>
  <c r="P5" i="5"/>
  <c r="Q5" i="5"/>
  <c r="H12" i="7"/>
  <c r="J55" i="5"/>
  <c r="M55" i="5"/>
  <c r="E40" i="5"/>
  <c r="I40" i="5"/>
  <c r="K40" i="5" s="1"/>
  <c r="E41" i="5"/>
  <c r="I41" i="5"/>
  <c r="K41" i="5" s="1"/>
  <c r="G39" i="7"/>
  <c r="I23" i="7"/>
  <c r="K23" i="7" s="1"/>
  <c r="E23" i="7"/>
  <c r="E38" i="5"/>
  <c r="I38" i="5"/>
  <c r="K38" i="5" s="1"/>
  <c r="J42" i="7"/>
  <c r="M42" i="7"/>
  <c r="H8" i="5"/>
  <c r="G49" i="5"/>
  <c r="J34" i="7"/>
  <c r="M34" i="7"/>
  <c r="H11" i="5"/>
  <c r="G52" i="5"/>
  <c r="I28" i="7"/>
  <c r="K28" i="7" s="1"/>
  <c r="E28" i="7"/>
  <c r="E27" i="7"/>
  <c r="I27" i="7"/>
  <c r="K27" i="7" s="1"/>
  <c r="E42" i="5"/>
  <c r="I42" i="5"/>
  <c r="K42" i="5" s="1"/>
  <c r="I29" i="7"/>
  <c r="K29" i="7" s="1"/>
  <c r="E29" i="7"/>
  <c r="G43" i="7"/>
  <c r="J48" i="5"/>
  <c r="M48" i="5"/>
  <c r="G37" i="7"/>
  <c r="H9" i="5"/>
  <c r="E24" i="7"/>
  <c r="I24" i="7"/>
  <c r="K24" i="7" s="1"/>
  <c r="G36" i="7"/>
  <c r="G54" i="5"/>
  <c r="M57" i="5"/>
  <c r="J57" i="5"/>
  <c r="J38" i="7"/>
  <c r="M38" i="7"/>
  <c r="M49" i="5"/>
  <c r="M43" i="7"/>
  <c r="J43" i="7"/>
  <c r="G40" i="7"/>
  <c r="J53" i="5"/>
  <c r="M53" i="5"/>
  <c r="M36" i="7"/>
  <c r="J36" i="7"/>
  <c r="G35" i="7"/>
  <c r="H8" i="7"/>
  <c r="E20" i="7"/>
  <c r="I20" i="7"/>
  <c r="C30" i="7"/>
  <c r="E26" i="7"/>
  <c r="I26" i="7"/>
  <c r="K26" i="7" s="1"/>
  <c r="E21" i="7"/>
  <c r="I21" i="7"/>
  <c r="K21" i="7" s="1"/>
  <c r="E37" i="5"/>
  <c r="I37" i="5"/>
  <c r="K37" i="5" s="1"/>
  <c r="I25" i="7"/>
  <c r="K25" i="7" s="1"/>
  <c r="E25" i="7"/>
  <c r="AL58" i="5" l="1"/>
  <c r="AL55" i="5"/>
  <c r="AL51" i="5"/>
  <c r="AT27" i="5"/>
  <c r="AL54" i="5"/>
  <c r="AT82" i="5"/>
  <c r="N53" i="5"/>
  <c r="AL52" i="5"/>
  <c r="N48" i="5"/>
  <c r="AT9" i="5"/>
  <c r="AL56" i="5"/>
  <c r="AL50" i="5"/>
  <c r="AL57" i="5"/>
  <c r="AT64" i="5"/>
  <c r="AT73" i="5"/>
  <c r="AT18" i="5"/>
  <c r="AT36" i="5"/>
  <c r="AT91" i="5"/>
  <c r="AT45" i="5"/>
  <c r="D40" i="7"/>
  <c r="D54" i="5"/>
  <c r="D49" i="5"/>
  <c r="D35" i="7"/>
  <c r="D36" i="7"/>
  <c r="D37" i="7"/>
  <c r="D39" i="7"/>
  <c r="D34" i="7"/>
  <c r="D38" i="7"/>
  <c r="AL60" i="5"/>
  <c r="AT19" i="5"/>
  <c r="AL65" i="5"/>
  <c r="AT37" i="5"/>
  <c r="AL66" i="5"/>
  <c r="AL59" i="5"/>
  <c r="AT28" i="5"/>
  <c r="AT74" i="5"/>
  <c r="AT55" i="5"/>
  <c r="AT46" i="5"/>
  <c r="AT83" i="5"/>
  <c r="AL63" i="5"/>
  <c r="AL61" i="5"/>
  <c r="AT10" i="5"/>
  <c r="AL67" i="5"/>
  <c r="AL62" i="5"/>
  <c r="AL64" i="5"/>
  <c r="AT92" i="5"/>
  <c r="D41" i="7"/>
  <c r="G44" i="7"/>
  <c r="H35" i="7" s="1"/>
  <c r="AL21" i="5"/>
  <c r="AT33" i="5"/>
  <c r="AL14" i="5"/>
  <c r="AL15" i="5"/>
  <c r="AT60" i="5"/>
  <c r="AL16" i="5"/>
  <c r="AL20" i="5"/>
  <c r="AT87" i="5"/>
  <c r="AT78" i="5"/>
  <c r="AT69" i="5"/>
  <c r="AL22" i="5"/>
  <c r="AT42" i="5"/>
  <c r="AL19" i="5"/>
  <c r="AT51" i="5"/>
  <c r="AT24" i="5"/>
  <c r="AL18" i="5"/>
  <c r="AT5" i="5"/>
  <c r="AL17" i="5"/>
  <c r="AL37" i="5"/>
  <c r="AT7" i="5"/>
  <c r="AT53" i="5"/>
  <c r="AU53" i="5" s="1"/>
  <c r="AT71" i="5"/>
  <c r="AT80" i="5"/>
  <c r="AT16" i="5"/>
  <c r="AL38" i="5"/>
  <c r="AL39" i="5"/>
  <c r="AT44" i="5"/>
  <c r="AT89" i="5"/>
  <c r="AL36" i="5"/>
  <c r="AL40" i="5"/>
  <c r="AT25" i="5"/>
  <c r="AL32" i="5"/>
  <c r="AL35" i="5"/>
  <c r="AL33" i="5"/>
  <c r="AL34" i="5"/>
  <c r="AT62" i="5"/>
  <c r="AL94" i="5"/>
  <c r="AL88" i="5"/>
  <c r="AL86" i="5"/>
  <c r="AL92" i="5"/>
  <c r="AT22" i="5"/>
  <c r="AT76" i="5"/>
  <c r="AL93" i="5"/>
  <c r="AL87" i="5"/>
  <c r="AT49" i="5"/>
  <c r="AT40" i="5"/>
  <c r="AT67" i="5"/>
  <c r="AT85" i="5"/>
  <c r="AT13" i="5"/>
  <c r="AL89" i="5"/>
  <c r="AL90" i="5"/>
  <c r="AT58" i="5"/>
  <c r="AL91" i="5"/>
  <c r="AT31" i="5"/>
  <c r="AT11" i="5"/>
  <c r="AL69" i="5"/>
  <c r="AL68" i="5"/>
  <c r="AT93" i="5"/>
  <c r="AL72" i="5"/>
  <c r="AT47" i="5"/>
  <c r="AT56" i="5"/>
  <c r="AT65" i="5"/>
  <c r="AT84" i="5"/>
  <c r="AL71" i="5"/>
  <c r="AT20" i="5"/>
  <c r="AL76" i="5"/>
  <c r="AT38" i="5"/>
  <c r="AL73" i="5"/>
  <c r="AT29" i="5"/>
  <c r="AL70" i="5"/>
  <c r="AL75" i="5"/>
  <c r="AL74" i="5"/>
  <c r="AT48" i="5"/>
  <c r="AT39" i="5"/>
  <c r="AU39" i="5" s="1"/>
  <c r="AL84" i="5"/>
  <c r="AL79" i="5"/>
  <c r="AL80" i="5"/>
  <c r="AT21" i="5"/>
  <c r="AT75" i="5"/>
  <c r="AL81" i="5"/>
  <c r="AL77" i="5"/>
  <c r="AT66" i="5"/>
  <c r="AT57" i="5"/>
  <c r="AT12" i="5"/>
  <c r="AL85" i="5"/>
  <c r="AL78" i="5"/>
  <c r="AT30" i="5"/>
  <c r="AL82" i="5"/>
  <c r="AT94" i="5"/>
  <c r="AL83" i="5"/>
  <c r="D42" i="7"/>
  <c r="AT54" i="5"/>
  <c r="AL41" i="5"/>
  <c r="AL49" i="5"/>
  <c r="AT17" i="5"/>
  <c r="AT8" i="5"/>
  <c r="AT81" i="5"/>
  <c r="AL46" i="5"/>
  <c r="AL44" i="5"/>
  <c r="AL47" i="5"/>
  <c r="AL42" i="5"/>
  <c r="AT90" i="5"/>
  <c r="AL43" i="5"/>
  <c r="AL48" i="5"/>
  <c r="AL45" i="5"/>
  <c r="AT63" i="5"/>
  <c r="AT72" i="5"/>
  <c r="AT35" i="5"/>
  <c r="AT26" i="5"/>
  <c r="AL30" i="5"/>
  <c r="AT15" i="5"/>
  <c r="AT61" i="5"/>
  <c r="AT34" i="5"/>
  <c r="AT43" i="5"/>
  <c r="AT52" i="5"/>
  <c r="AL26" i="5"/>
  <c r="AL27" i="5"/>
  <c r="AU27" i="5" s="1"/>
  <c r="AL31" i="5"/>
  <c r="AL28" i="5"/>
  <c r="AT6" i="5"/>
  <c r="AT88" i="5"/>
  <c r="AL29" i="5"/>
  <c r="AL25" i="5"/>
  <c r="AL24" i="5"/>
  <c r="AT79" i="5"/>
  <c r="AT70" i="5"/>
  <c r="AL23" i="5"/>
  <c r="AL8" i="5"/>
  <c r="AL11" i="5"/>
  <c r="AT41" i="5"/>
  <c r="AL12" i="5"/>
  <c r="AL7" i="5"/>
  <c r="AT50" i="5"/>
  <c r="AL10" i="5"/>
  <c r="AT23" i="5"/>
  <c r="AL6" i="5"/>
  <c r="AL5" i="5"/>
  <c r="AT59" i="5"/>
  <c r="AT77" i="5"/>
  <c r="AL9" i="5"/>
  <c r="AT86" i="5"/>
  <c r="AL13" i="5"/>
  <c r="AT14" i="5"/>
  <c r="AT68" i="5"/>
  <c r="AT32" i="5"/>
  <c r="D52" i="5"/>
  <c r="D53" i="5"/>
  <c r="D57" i="5"/>
  <c r="D55" i="5"/>
  <c r="D56" i="5"/>
  <c r="D50" i="5"/>
  <c r="D48" i="5"/>
  <c r="G58" i="5"/>
  <c r="H54" i="5" s="1"/>
  <c r="N39" i="7"/>
  <c r="N42" i="7"/>
  <c r="N56" i="5"/>
  <c r="N35" i="7"/>
  <c r="N57" i="5"/>
  <c r="N49" i="5"/>
  <c r="N43" i="7"/>
  <c r="N36" i="7"/>
  <c r="N55" i="5"/>
  <c r="N50" i="5"/>
  <c r="N40" i="7"/>
  <c r="N38" i="7"/>
  <c r="E30" i="7"/>
  <c r="N51" i="5"/>
  <c r="N34" i="7"/>
  <c r="N41" i="7"/>
  <c r="N54" i="5"/>
  <c r="K20" i="7"/>
  <c r="I30" i="7"/>
  <c r="K30" i="7" s="1"/>
  <c r="N52" i="5"/>
  <c r="K35" i="5"/>
  <c r="I44" i="5"/>
  <c r="K44" i="5" s="1"/>
  <c r="N37" i="7"/>
  <c r="AU82" i="5" l="1"/>
  <c r="AU54" i="5"/>
  <c r="AU73" i="5"/>
  <c r="AU57" i="5"/>
  <c r="AU58" i="5"/>
  <c r="AU52" i="5"/>
  <c r="AU9" i="5"/>
  <c r="AU51" i="5"/>
  <c r="AU55" i="5"/>
  <c r="H38" i="7"/>
  <c r="O38" i="7" s="1"/>
  <c r="H39" i="7"/>
  <c r="O39" i="7" s="1"/>
  <c r="H36" i="7"/>
  <c r="O36" i="7" s="1"/>
  <c r="H40" i="7"/>
  <c r="O40" i="7" s="1"/>
  <c r="H34" i="7"/>
  <c r="O34" i="7" s="1"/>
  <c r="H43" i="7"/>
  <c r="O43" i="7" s="1"/>
  <c r="H37" i="7"/>
  <c r="O37" i="7" s="1"/>
  <c r="H42" i="7"/>
  <c r="O42" i="7" s="1"/>
  <c r="H41" i="7"/>
  <c r="O41" i="7" s="1"/>
  <c r="AU50" i="5"/>
  <c r="AU56" i="5"/>
  <c r="AU64" i="5"/>
  <c r="AU18" i="5"/>
  <c r="AU15" i="5"/>
  <c r="AU87" i="5"/>
  <c r="AU36" i="5"/>
  <c r="AU91" i="5"/>
  <c r="AU45" i="5"/>
  <c r="AU30" i="5"/>
  <c r="AU85" i="5"/>
  <c r="AU90" i="5"/>
  <c r="AU14" i="5"/>
  <c r="AU60" i="5"/>
  <c r="AU86" i="5"/>
  <c r="AU10" i="5"/>
  <c r="AU5" i="5"/>
  <c r="AU65" i="5"/>
  <c r="AU37" i="5"/>
  <c r="AU77" i="5"/>
  <c r="AU34" i="5"/>
  <c r="AU80" i="5"/>
  <c r="AU66" i="5"/>
  <c r="AU29" i="5"/>
  <c r="AU35" i="5"/>
  <c r="AU89" i="5"/>
  <c r="AU49" i="5"/>
  <c r="AU28" i="5"/>
  <c r="AU75" i="5"/>
  <c r="AU38" i="5"/>
  <c r="AU94" i="5"/>
  <c r="H55" i="5"/>
  <c r="O55" i="5" s="1"/>
  <c r="AU26" i="5"/>
  <c r="AU72" i="5"/>
  <c r="AU48" i="5"/>
  <c r="AU74" i="5"/>
  <c r="AU70" i="5"/>
  <c r="AU11" i="5"/>
  <c r="AU25" i="5"/>
  <c r="AU20" i="5"/>
  <c r="AU83" i="5"/>
  <c r="AU16" i="5"/>
  <c r="AU81" i="5"/>
  <c r="AU79" i="5"/>
  <c r="AU71" i="5"/>
  <c r="AU84" i="5"/>
  <c r="AU6" i="5"/>
  <c r="AU68" i="5"/>
  <c r="AU78" i="5"/>
  <c r="AU46" i="5"/>
  <c r="AU23" i="5"/>
  <c r="AU32" i="5"/>
  <c r="AU7" i="5"/>
  <c r="AU76" i="5"/>
  <c r="AU59" i="5"/>
  <c r="AU17" i="5"/>
  <c r="AU92" i="5"/>
  <c r="AU31" i="5"/>
  <c r="AU44" i="5"/>
  <c r="AU24" i="5"/>
  <c r="AU62" i="5"/>
  <c r="AU41" i="5"/>
  <c r="AU88" i="5"/>
  <c r="AU67" i="5"/>
  <c r="AU8" i="5"/>
  <c r="AU12" i="5"/>
  <c r="AU13" i="5"/>
  <c r="AU21" i="5"/>
  <c r="AU19" i="5"/>
  <c r="AU47" i="5"/>
  <c r="AU42" i="5"/>
  <c r="AU61" i="5"/>
  <c r="AU43" i="5"/>
  <c r="AU22" i="5"/>
  <c r="AU63" i="5"/>
  <c r="AU93" i="5"/>
  <c r="AU40" i="5"/>
  <c r="AU33" i="5"/>
  <c r="AU69" i="5"/>
  <c r="H56" i="5"/>
  <c r="O56" i="5" s="1"/>
  <c r="H48" i="5"/>
  <c r="O48" i="5" s="1"/>
  <c r="H50" i="5"/>
  <c r="O50" i="5" s="1"/>
  <c r="H49" i="5"/>
  <c r="O49" i="5" s="1"/>
  <c r="H53" i="5"/>
  <c r="O53" i="5" s="1"/>
  <c r="H51" i="5"/>
  <c r="O51" i="5" s="1"/>
  <c r="H57" i="5"/>
  <c r="O57" i="5" s="1"/>
  <c r="H52" i="5"/>
  <c r="O52" i="5" s="1"/>
  <c r="O54" i="5"/>
  <c r="O35" i="7"/>
  <c r="O58" i="5" l="1"/>
  <c r="O44" i="7"/>
</calcChain>
</file>

<file path=xl/sharedStrings.xml><?xml version="1.0" encoding="utf-8"?>
<sst xmlns="http://schemas.openxmlformats.org/spreadsheetml/2006/main" count="3752" uniqueCount="121">
  <si>
    <t>Owner First Name</t>
  </si>
  <si>
    <t>Playoff Seed</t>
  </si>
  <si>
    <t>Final Rank</t>
  </si>
  <si>
    <t>Wins</t>
  </si>
  <si>
    <t>Losses</t>
  </si>
  <si>
    <t>Points For</t>
  </si>
  <si>
    <t>Points Against</t>
  </si>
  <si>
    <t>Matchup Week</t>
  </si>
  <si>
    <t>Game ID</t>
  </si>
  <si>
    <t>Home Name</t>
  </si>
  <si>
    <t>Home Total Points</t>
  </si>
  <si>
    <t>Away Name</t>
  </si>
  <si>
    <t>Away Total Points</t>
  </si>
  <si>
    <t>Playoff Round</t>
  </si>
  <si>
    <t>Total Points</t>
  </si>
  <si>
    <t>Margin Victory</t>
  </si>
  <si>
    <t>Winner Name</t>
  </si>
  <si>
    <t>Loser Name</t>
  </si>
  <si>
    <t>Loser</t>
  </si>
  <si>
    <t>Winner</t>
  </si>
  <si>
    <t>NONE</t>
  </si>
  <si>
    <t>Year</t>
  </si>
  <si>
    <t>GameID</t>
  </si>
  <si>
    <t>Rank Diff</t>
  </si>
  <si>
    <t>Rank Total Pts</t>
  </si>
  <si>
    <t>Rank Win Pts</t>
  </si>
  <si>
    <t>Rank Loser Pts</t>
  </si>
  <si>
    <t>Winner Pts</t>
  </si>
  <si>
    <t>Loser Pts</t>
  </si>
  <si>
    <t>Graham/Michael</t>
  </si>
  <si>
    <t>Dave/Nolan</t>
  </si>
  <si>
    <t>Pat/Tucker</t>
  </si>
  <si>
    <t>Brian/Travis</t>
  </si>
  <si>
    <t>Trent/Colin</t>
  </si>
  <si>
    <t>Eric/Blake</t>
  </si>
  <si>
    <t>Clay/Ryan</t>
  </si>
  <si>
    <t>Walker/Cory</t>
  </si>
  <si>
    <t>Drew/Cam</t>
  </si>
  <si>
    <t>David/Marshall</t>
  </si>
  <si>
    <t>Row Labels</t>
  </si>
  <si>
    <t>Grand Total</t>
  </si>
  <si>
    <t>Owner</t>
  </si>
  <si>
    <t>Pct</t>
  </si>
  <si>
    <t>Pts For</t>
  </si>
  <si>
    <t>Pts Per Game</t>
  </si>
  <si>
    <t>Team</t>
  </si>
  <si>
    <t>Column Labels</t>
  </si>
  <si>
    <t>Count of Winner Name</t>
  </si>
  <si>
    <t>Pts Agst</t>
  </si>
  <si>
    <t>Pts/Game</t>
  </si>
  <si>
    <t>Select Owner  --&gt;</t>
  </si>
  <si>
    <t>Overall</t>
  </si>
  <si>
    <t>Opponent</t>
  </si>
  <si>
    <t>Historical Regular Season Table</t>
  </si>
  <si>
    <t>Historical Playoff Table</t>
  </si>
  <si>
    <t>Apps</t>
  </si>
  <si>
    <t>Ringz</t>
  </si>
  <si>
    <t>Playoff</t>
  </si>
  <si>
    <t>Y</t>
  </si>
  <si>
    <t>Semis</t>
  </si>
  <si>
    <t>Highest Regular Season Weeks</t>
  </si>
  <si>
    <t>Rank</t>
  </si>
  <si>
    <t>Season</t>
  </si>
  <si>
    <t>Week</t>
  </si>
  <si>
    <t>Pts Scored</t>
  </si>
  <si>
    <t>Biggest Regular Season Beatdowns</t>
  </si>
  <si>
    <t>The League that Johnny Built - Historical Stats</t>
  </si>
  <si>
    <t>Regular Season</t>
  </si>
  <si>
    <t>Playoffs</t>
  </si>
  <si>
    <t>Avg Finish</t>
  </si>
  <si>
    <t>Final Finish</t>
  </si>
  <si>
    <t>Best Regular Seasons All Time (Pts/G)</t>
  </si>
  <si>
    <t>Average of Margin Victory</t>
  </si>
  <si>
    <t>Average of Winner Pts</t>
  </si>
  <si>
    <t>Average of Loser Pts</t>
  </si>
  <si>
    <t>Win History</t>
  </si>
  <si>
    <t>Average Margin in Losses</t>
  </si>
  <si>
    <t>Average Margin in Wins</t>
  </si>
  <si>
    <t>Average Pts in a Win</t>
  </si>
  <si>
    <t>Average Pts in a Loss</t>
  </si>
  <si>
    <t>Margin</t>
  </si>
  <si>
    <t>Highest Points Total in a Matchup</t>
  </si>
  <si>
    <t>Total Pts</t>
  </si>
  <si>
    <t>Head to Head Records</t>
  </si>
  <si>
    <t>Total</t>
  </si>
  <si>
    <t>You vs Them</t>
  </si>
  <si>
    <t>Them vs You</t>
  </si>
  <si>
    <t>Avg Pts in L</t>
  </si>
  <si>
    <t>Avg Pts in W</t>
  </si>
  <si>
    <t>Select Owner</t>
  </si>
  <si>
    <t>Quarters</t>
  </si>
  <si>
    <t>Championship</t>
  </si>
  <si>
    <t>3rd Place</t>
  </si>
  <si>
    <t>Avg O/U</t>
  </si>
  <si>
    <t>Pts/Wins</t>
  </si>
  <si>
    <t>W Margin</t>
  </si>
  <si>
    <t>Pts/Loss</t>
  </si>
  <si>
    <t>L Margin</t>
  </si>
  <si>
    <t>Matchup 
ID</t>
  </si>
  <si>
    <t>Overall Margin</t>
  </si>
  <si>
    <t>L 
Margin</t>
  </si>
  <si>
    <t>Pts/
Loss</t>
  </si>
  <si>
    <t>Pts/
Wins</t>
  </si>
  <si>
    <t>Overall 
Margin</t>
  </si>
  <si>
    <t>W 
Margin</t>
  </si>
  <si>
    <t>(Multiple Items)</t>
  </si>
  <si>
    <t>Sum of Total Points</t>
  </si>
  <si>
    <t>Avg Pts 
in W</t>
  </si>
  <si>
    <t>Avg Pts 
in L</t>
  </si>
  <si>
    <t>Pts</t>
  </si>
  <si>
    <t>Other Owner</t>
  </si>
  <si>
    <t>Record</t>
  </si>
  <si>
    <t>New Record</t>
  </si>
  <si>
    <t>Weekly Rank</t>
  </si>
  <si>
    <t>Michael</t>
  </si>
  <si>
    <t>Score</t>
  </si>
  <si>
    <t>Opp Score</t>
  </si>
  <si>
    <t>Result</t>
  </si>
  <si>
    <t>Alternative Schedule</t>
  </si>
  <si>
    <t>GameID1</t>
  </si>
  <si>
    <t>GameID2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</si>
</sst>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_);[Red]\(0.0\)"/>
    <numFmt numFmtId="167" formatCode="0_);[Red]\(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1"/>
      </right>
      <top/>
      <bottom style="thin">
        <color theme="0" tint="-0.24994659260841701"/>
      </bottom>
      <diagonal/>
    </border>
    <border>
      <left/>
      <right style="hair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dotted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0" fillId="2" borderId="2" xfId="0" applyFill="1" applyBorder="1"/>
    <xf numFmtId="164" fontId="0" fillId="2" borderId="2" xfId="0" applyNumberFormat="1" applyFill="1" applyBorder="1"/>
    <xf numFmtId="2" fontId="0" fillId="2" borderId="2" xfId="0" applyNumberFormat="1" applyFill="1" applyBorder="1"/>
    <xf numFmtId="1" fontId="0" fillId="2" borderId="2" xfId="0" applyNumberFormat="1" applyFill="1" applyBorder="1"/>
    <xf numFmtId="0" fontId="1" fillId="3" borderId="0" xfId="0" applyFont="1" applyFill="1"/>
    <xf numFmtId="0" fontId="1" fillId="3" borderId="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0" fillId="2" borderId="3" xfId="0" applyFill="1" applyBorder="1"/>
    <xf numFmtId="0" fontId="2" fillId="5" borderId="0" xfId="0" applyFont="1" applyFill="1"/>
    <xf numFmtId="164" fontId="2" fillId="5" borderId="0" xfId="0" applyNumberFormat="1" applyFont="1" applyFill="1"/>
    <xf numFmtId="0" fontId="1" fillId="3" borderId="1" xfId="0" applyFont="1" applyFill="1" applyBorder="1"/>
    <xf numFmtId="0" fontId="2" fillId="2" borderId="0" xfId="0" applyFont="1" applyFill="1"/>
    <xf numFmtId="0" fontId="1" fillId="3" borderId="0" xfId="0" applyFont="1" applyFill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2" fontId="0" fillId="2" borderId="3" xfId="0" applyNumberFormat="1" applyFill="1" applyBorder="1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5" fontId="0" fillId="2" borderId="2" xfId="0" applyNumberFormat="1" applyFill="1" applyBorder="1"/>
    <xf numFmtId="0" fontId="2" fillId="4" borderId="0" xfId="0" applyFont="1" applyFill="1" applyAlignment="1">
      <alignment vertical="center"/>
    </xf>
    <xf numFmtId="0" fontId="3" fillId="2" borderId="0" xfId="0" applyFont="1" applyFill="1"/>
    <xf numFmtId="165" fontId="2" fillId="5" borderId="0" xfId="0" applyNumberFormat="1" applyFont="1" applyFill="1"/>
    <xf numFmtId="165" fontId="0" fillId="2" borderId="0" xfId="0" applyNumberFormat="1" applyFill="1"/>
    <xf numFmtId="0" fontId="2" fillId="5" borderId="8" xfId="0" applyFont="1" applyFill="1" applyBorder="1"/>
    <xf numFmtId="164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6" fontId="0" fillId="2" borderId="2" xfId="0" applyNumberFormat="1" applyFill="1" applyBorder="1"/>
    <xf numFmtId="166" fontId="0" fillId="2" borderId="7" xfId="0" applyNumberFormat="1" applyFill="1" applyBorder="1"/>
    <xf numFmtId="166" fontId="2" fillId="2" borderId="2" xfId="0" applyNumberFormat="1" applyFont="1" applyFill="1" applyBorder="1"/>
    <xf numFmtId="166" fontId="2" fillId="5" borderId="0" xfId="0" applyNumberFormat="1" applyFont="1" applyFill="1"/>
    <xf numFmtId="0" fontId="2" fillId="2" borderId="2" xfId="0" applyFont="1" applyFill="1" applyBorder="1"/>
    <xf numFmtId="167" fontId="0" fillId="2" borderId="2" xfId="0" applyNumberFormat="1" applyFill="1" applyBorder="1"/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 wrapText="1"/>
    </xf>
    <xf numFmtId="166" fontId="0" fillId="2" borderId="0" xfId="0" applyNumberFormat="1" applyFill="1"/>
    <xf numFmtId="0" fontId="1" fillId="3" borderId="9" xfId="0" applyFont="1" applyFill="1" applyBorder="1" applyAlignment="1">
      <alignment horizontal="right" wrapText="1"/>
    </xf>
    <xf numFmtId="166" fontId="0" fillId="2" borderId="10" xfId="0" applyNumberFormat="1" applyFill="1" applyBorder="1"/>
    <xf numFmtId="0" fontId="1" fillId="3" borderId="11" xfId="0" applyFont="1" applyFill="1" applyBorder="1" applyAlignment="1">
      <alignment wrapText="1"/>
    </xf>
    <xf numFmtId="0" fontId="0" fillId="2" borderId="12" xfId="0" applyFill="1" applyBorder="1"/>
    <xf numFmtId="165" fontId="0" fillId="0" borderId="0" xfId="0" applyNumberFormat="1"/>
    <xf numFmtId="0" fontId="2" fillId="0" borderId="0" xfId="0" applyFont="1" applyAlignment="1">
      <alignment vertical="center"/>
    </xf>
    <xf numFmtId="0" fontId="1" fillId="3" borderId="13" xfId="0" applyFont="1" applyFill="1" applyBorder="1"/>
    <xf numFmtId="0" fontId="2" fillId="6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3" borderId="1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28"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rickmc\Documents\SFFL%20Historical%20Stats_Nov%202025.xlsx" TargetMode="External"/><Relationship Id="rId1" Type="http://schemas.openxmlformats.org/officeDocument/2006/relationships/externalLinkPath" Target="SFFL%20Historical%20Stats_Nov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trickmc/Documents/MFCR%20historical%20stats.xlsx" TargetMode="External"/><Relationship Id="rId1" Type="http://schemas.openxmlformats.org/officeDocument/2006/relationships/externalLinkPath" Target="/Users/strickmc/Documents/MFCR%20historical%20stat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trickmc/Documents/RestoFFL%20stats_Nov%2025.xlsx" TargetMode="External"/><Relationship Id="rId2" Type="http://schemas.openxmlformats.org/officeDocument/2006/relationships/externalLinkPath" Target="file:///C:\Users\strickmc\Documents\RestoFFL%20stats_Nov%2025.xlsx" TargetMode="External"/><Relationship Id="rId1" Type="http://schemas.openxmlformats.org/officeDocument/2006/relationships/externalLinkPath" Target="/Users/strickmc/Documents/RestoFFL%20stats_Nov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FFL Main Page"/>
      <sheetName val="Owner View"/>
      <sheetName val="Compare Schedules"/>
      <sheetName val="Regular Season Data"/>
      <sheetName val="Playoff Data"/>
      <sheetName val="Final Tables"/>
      <sheetName val="Pivots"/>
      <sheetName val="References"/>
      <sheetName val="Championship Rosters"/>
      <sheetName val="Champ Ros Pivots"/>
      <sheetName val="Watty Football"/>
      <sheetName val="Sheet1"/>
    </sheetNames>
    <sheetDataSet>
      <sheetData sheetId="0"/>
      <sheetData sheetId="1"/>
      <sheetData sheetId="2"/>
      <sheetData sheetId="3">
        <row r="1">
          <cell r="A1" t="str">
            <v>Game ID</v>
          </cell>
          <cell r="D1" t="str">
            <v>Manager</v>
          </cell>
          <cell r="E1" t="str">
            <v>Opponent</v>
          </cell>
          <cell r="F1" t="str">
            <v>Season</v>
          </cell>
          <cell r="I1" t="str">
            <v>Points</v>
          </cell>
          <cell r="J1" t="str">
            <v>Diff</v>
          </cell>
          <cell r="K1" t="str">
            <v>Outcome</v>
          </cell>
        </row>
        <row r="2">
          <cell r="A2" t="str">
            <v>2013Mark1</v>
          </cell>
          <cell r="D2" t="str">
            <v>Mark</v>
          </cell>
          <cell r="E2" t="str">
            <v>Michael</v>
          </cell>
          <cell r="F2">
            <v>2013</v>
          </cell>
          <cell r="I2">
            <v>138</v>
          </cell>
          <cell r="J2">
            <v>58</v>
          </cell>
          <cell r="K2" t="str">
            <v>W</v>
          </cell>
        </row>
        <row r="3">
          <cell r="A3" t="str">
            <v>2013Michael1</v>
          </cell>
          <cell r="D3" t="str">
            <v>Michael</v>
          </cell>
          <cell r="E3" t="str">
            <v>Mark</v>
          </cell>
          <cell r="F3">
            <v>2013</v>
          </cell>
          <cell r="I3">
            <v>80</v>
          </cell>
          <cell r="J3">
            <v>-58</v>
          </cell>
          <cell r="K3" t="str">
            <v>L</v>
          </cell>
        </row>
        <row r="4">
          <cell r="A4" t="str">
            <v>2013Watty1</v>
          </cell>
          <cell r="D4" t="str">
            <v>Watty</v>
          </cell>
          <cell r="E4" t="str">
            <v>BR</v>
          </cell>
          <cell r="F4">
            <v>2013</v>
          </cell>
          <cell r="I4">
            <v>83</v>
          </cell>
          <cell r="J4">
            <v>-4</v>
          </cell>
          <cell r="K4" t="str">
            <v>L</v>
          </cell>
        </row>
        <row r="5">
          <cell r="A5" t="str">
            <v>2013BR1</v>
          </cell>
          <cell r="D5" t="str">
            <v>BR</v>
          </cell>
          <cell r="E5" t="str">
            <v>Watty</v>
          </cell>
          <cell r="F5">
            <v>2013</v>
          </cell>
          <cell r="I5">
            <v>87</v>
          </cell>
          <cell r="J5">
            <v>4</v>
          </cell>
          <cell r="K5" t="str">
            <v>W</v>
          </cell>
        </row>
        <row r="6">
          <cell r="A6" t="str">
            <v>2013Emily1</v>
          </cell>
          <cell r="D6" t="str">
            <v>Emily</v>
          </cell>
          <cell r="E6" t="str">
            <v>Brian</v>
          </cell>
          <cell r="F6">
            <v>2013</v>
          </cell>
          <cell r="I6">
            <v>110</v>
          </cell>
          <cell r="J6">
            <v>-38</v>
          </cell>
          <cell r="K6" t="str">
            <v>L</v>
          </cell>
        </row>
        <row r="7">
          <cell r="A7" t="str">
            <v>2013Brian1</v>
          </cell>
          <cell r="D7" t="str">
            <v>Brian</v>
          </cell>
          <cell r="E7" t="str">
            <v>Emily</v>
          </cell>
          <cell r="F7">
            <v>2013</v>
          </cell>
          <cell r="I7">
            <v>148</v>
          </cell>
          <cell r="J7">
            <v>38</v>
          </cell>
          <cell r="K7" t="str">
            <v>W</v>
          </cell>
        </row>
        <row r="8">
          <cell r="A8" t="str">
            <v>2013Abby1</v>
          </cell>
          <cell r="D8" t="str">
            <v>Abby</v>
          </cell>
          <cell r="E8" t="str">
            <v>Russell</v>
          </cell>
          <cell r="F8">
            <v>2013</v>
          </cell>
          <cell r="I8">
            <v>135</v>
          </cell>
          <cell r="J8">
            <v>44</v>
          </cell>
          <cell r="K8" t="str">
            <v>W</v>
          </cell>
        </row>
        <row r="9">
          <cell r="A9" t="str">
            <v>2013Russell1</v>
          </cell>
          <cell r="D9" t="str">
            <v>Russell</v>
          </cell>
          <cell r="E9" t="str">
            <v>Abby</v>
          </cell>
          <cell r="F9">
            <v>2013</v>
          </cell>
          <cell r="I9">
            <v>91</v>
          </cell>
          <cell r="J9">
            <v>-44</v>
          </cell>
          <cell r="K9" t="str">
            <v>L</v>
          </cell>
        </row>
        <row r="10">
          <cell r="A10" t="str">
            <v>2013David1</v>
          </cell>
          <cell r="D10" t="str">
            <v>David</v>
          </cell>
          <cell r="E10" t="str">
            <v>Matt</v>
          </cell>
          <cell r="F10">
            <v>2013</v>
          </cell>
          <cell r="I10">
            <v>98</v>
          </cell>
          <cell r="J10">
            <v>20</v>
          </cell>
          <cell r="K10" t="str">
            <v>W</v>
          </cell>
        </row>
        <row r="11">
          <cell r="A11" t="str">
            <v>2013Matt1</v>
          </cell>
          <cell r="D11" t="str">
            <v>Matt</v>
          </cell>
          <cell r="E11" t="str">
            <v>David</v>
          </cell>
          <cell r="F11">
            <v>2013</v>
          </cell>
          <cell r="I11">
            <v>78</v>
          </cell>
          <cell r="J11">
            <v>-20</v>
          </cell>
          <cell r="K11" t="str">
            <v>L</v>
          </cell>
        </row>
        <row r="12">
          <cell r="A12" t="str">
            <v>2013BR2</v>
          </cell>
          <cell r="D12" t="str">
            <v>BR</v>
          </cell>
          <cell r="E12" t="str">
            <v>Michael</v>
          </cell>
          <cell r="F12">
            <v>2013</v>
          </cell>
          <cell r="I12">
            <v>81</v>
          </cell>
          <cell r="J12">
            <v>-41</v>
          </cell>
          <cell r="K12" t="str">
            <v>L</v>
          </cell>
        </row>
        <row r="13">
          <cell r="A13" t="str">
            <v>2013Michael2</v>
          </cell>
          <cell r="D13" t="str">
            <v>Michael</v>
          </cell>
          <cell r="E13" t="str">
            <v>BR</v>
          </cell>
          <cell r="F13">
            <v>2013</v>
          </cell>
          <cell r="I13">
            <v>122</v>
          </cell>
          <cell r="J13">
            <v>41</v>
          </cell>
          <cell r="K13" t="str">
            <v>W</v>
          </cell>
        </row>
        <row r="14">
          <cell r="A14" t="str">
            <v>2013Russell2</v>
          </cell>
          <cell r="D14" t="str">
            <v>Russell</v>
          </cell>
          <cell r="E14" t="str">
            <v>Mark</v>
          </cell>
          <cell r="F14">
            <v>2013</v>
          </cell>
          <cell r="I14">
            <v>77</v>
          </cell>
          <cell r="J14">
            <v>-17</v>
          </cell>
          <cell r="K14" t="str">
            <v>L</v>
          </cell>
        </row>
        <row r="15">
          <cell r="A15" t="str">
            <v>2013Mark2</v>
          </cell>
          <cell r="D15" t="str">
            <v>Mark</v>
          </cell>
          <cell r="E15" t="str">
            <v>Russell</v>
          </cell>
          <cell r="F15">
            <v>2013</v>
          </cell>
          <cell r="I15">
            <v>94</v>
          </cell>
          <cell r="J15">
            <v>17</v>
          </cell>
          <cell r="K15" t="str">
            <v>W</v>
          </cell>
        </row>
        <row r="16">
          <cell r="A16" t="str">
            <v>2013Matt2</v>
          </cell>
          <cell r="D16" t="str">
            <v>Matt</v>
          </cell>
          <cell r="E16" t="str">
            <v>Brian</v>
          </cell>
          <cell r="F16">
            <v>2013</v>
          </cell>
          <cell r="I16">
            <v>129</v>
          </cell>
          <cell r="J16">
            <v>32</v>
          </cell>
          <cell r="K16" t="str">
            <v>W</v>
          </cell>
        </row>
        <row r="17">
          <cell r="A17" t="str">
            <v>2013Brian2</v>
          </cell>
          <cell r="D17" t="str">
            <v>Brian</v>
          </cell>
          <cell r="E17" t="str">
            <v>Matt</v>
          </cell>
          <cell r="F17">
            <v>2013</v>
          </cell>
          <cell r="I17">
            <v>97</v>
          </cell>
          <cell r="J17">
            <v>-32</v>
          </cell>
          <cell r="K17" t="str">
            <v>L</v>
          </cell>
        </row>
        <row r="18">
          <cell r="A18" t="str">
            <v>2013David2</v>
          </cell>
          <cell r="D18" t="str">
            <v>David</v>
          </cell>
          <cell r="E18" t="str">
            <v>Watty</v>
          </cell>
          <cell r="F18">
            <v>2013</v>
          </cell>
          <cell r="I18">
            <v>84</v>
          </cell>
          <cell r="J18">
            <v>-31</v>
          </cell>
          <cell r="K18" t="str">
            <v>L</v>
          </cell>
        </row>
        <row r="19">
          <cell r="A19" t="str">
            <v>2013Watty2</v>
          </cell>
          <cell r="D19" t="str">
            <v>Watty</v>
          </cell>
          <cell r="E19" t="str">
            <v>David</v>
          </cell>
          <cell r="F19">
            <v>2013</v>
          </cell>
          <cell r="I19">
            <v>115</v>
          </cell>
          <cell r="J19">
            <v>31</v>
          </cell>
          <cell r="K19" t="str">
            <v>W</v>
          </cell>
        </row>
        <row r="20">
          <cell r="A20" t="str">
            <v>2013Abby2</v>
          </cell>
          <cell r="D20" t="str">
            <v>Abby</v>
          </cell>
          <cell r="E20" t="str">
            <v>Emily</v>
          </cell>
          <cell r="F20">
            <v>2013</v>
          </cell>
          <cell r="I20">
            <v>67</v>
          </cell>
          <cell r="J20">
            <v>17</v>
          </cell>
          <cell r="K20" t="str">
            <v>W</v>
          </cell>
        </row>
        <row r="21">
          <cell r="A21" t="str">
            <v>2013Emily2</v>
          </cell>
          <cell r="D21" t="str">
            <v>Emily</v>
          </cell>
          <cell r="E21" t="str">
            <v>Abby</v>
          </cell>
          <cell r="F21">
            <v>2013</v>
          </cell>
          <cell r="I21">
            <v>50</v>
          </cell>
          <cell r="J21">
            <v>-17</v>
          </cell>
          <cell r="K21" t="str">
            <v>L</v>
          </cell>
        </row>
        <row r="22">
          <cell r="A22" t="str">
            <v>2013Michael3</v>
          </cell>
          <cell r="D22" t="str">
            <v>Michael</v>
          </cell>
          <cell r="E22" t="str">
            <v>Watty</v>
          </cell>
          <cell r="F22">
            <v>2013</v>
          </cell>
          <cell r="I22">
            <v>94</v>
          </cell>
          <cell r="J22">
            <v>-12</v>
          </cell>
          <cell r="K22" t="str">
            <v>L</v>
          </cell>
        </row>
        <row r="23">
          <cell r="A23" t="str">
            <v>2013Watty3</v>
          </cell>
          <cell r="D23" t="str">
            <v>Watty</v>
          </cell>
          <cell r="E23" t="str">
            <v>Michael</v>
          </cell>
          <cell r="F23">
            <v>2013</v>
          </cell>
          <cell r="I23">
            <v>106</v>
          </cell>
          <cell r="J23">
            <v>12</v>
          </cell>
          <cell r="K23" t="str">
            <v>W</v>
          </cell>
        </row>
        <row r="24">
          <cell r="A24" t="str">
            <v>2013Brian3</v>
          </cell>
          <cell r="D24" t="str">
            <v>Brian</v>
          </cell>
          <cell r="E24" t="str">
            <v>David</v>
          </cell>
          <cell r="F24">
            <v>2013</v>
          </cell>
          <cell r="I24">
            <v>98</v>
          </cell>
          <cell r="J24">
            <v>6</v>
          </cell>
          <cell r="K24" t="str">
            <v>W</v>
          </cell>
        </row>
        <row r="25">
          <cell r="A25" t="str">
            <v>2013David3</v>
          </cell>
          <cell r="D25" t="str">
            <v>David</v>
          </cell>
          <cell r="E25" t="str">
            <v>Brian</v>
          </cell>
          <cell r="F25">
            <v>2013</v>
          </cell>
          <cell r="I25">
            <v>92</v>
          </cell>
          <cell r="J25">
            <v>-6</v>
          </cell>
          <cell r="K25" t="str">
            <v>L</v>
          </cell>
        </row>
        <row r="26">
          <cell r="A26" t="str">
            <v>2013Matt3</v>
          </cell>
          <cell r="D26" t="str">
            <v>Matt</v>
          </cell>
          <cell r="E26" t="str">
            <v>Abby</v>
          </cell>
          <cell r="F26">
            <v>2013</v>
          </cell>
          <cell r="I26">
            <v>83</v>
          </cell>
          <cell r="J26">
            <v>7</v>
          </cell>
          <cell r="K26" t="str">
            <v>W</v>
          </cell>
        </row>
        <row r="27">
          <cell r="A27" t="str">
            <v>2013Abby3</v>
          </cell>
          <cell r="D27" t="str">
            <v>Abby</v>
          </cell>
          <cell r="E27" t="str">
            <v>Matt</v>
          </cell>
          <cell r="F27">
            <v>2013</v>
          </cell>
          <cell r="I27">
            <v>76</v>
          </cell>
          <cell r="J27">
            <v>-7</v>
          </cell>
          <cell r="K27" t="str">
            <v>L</v>
          </cell>
        </row>
        <row r="28">
          <cell r="A28" t="str">
            <v>2013Emily3</v>
          </cell>
          <cell r="D28" t="str">
            <v>Emily</v>
          </cell>
          <cell r="E28" t="str">
            <v>Mark</v>
          </cell>
          <cell r="F28">
            <v>2013</v>
          </cell>
          <cell r="I28">
            <v>58</v>
          </cell>
          <cell r="J28">
            <v>-18</v>
          </cell>
          <cell r="K28" t="str">
            <v>L</v>
          </cell>
        </row>
        <row r="29">
          <cell r="A29" t="str">
            <v>2013Mark3</v>
          </cell>
          <cell r="D29" t="str">
            <v>Mark</v>
          </cell>
          <cell r="E29" t="str">
            <v>Emily</v>
          </cell>
          <cell r="F29">
            <v>2013</v>
          </cell>
          <cell r="I29">
            <v>76</v>
          </cell>
          <cell r="J29">
            <v>18</v>
          </cell>
          <cell r="K29" t="str">
            <v>W</v>
          </cell>
        </row>
        <row r="30">
          <cell r="A30" t="str">
            <v>2013BR3</v>
          </cell>
          <cell r="D30" t="str">
            <v>BR</v>
          </cell>
          <cell r="E30" t="str">
            <v>Russell</v>
          </cell>
          <cell r="F30">
            <v>2013</v>
          </cell>
          <cell r="I30">
            <v>66</v>
          </cell>
          <cell r="J30">
            <v>-44</v>
          </cell>
          <cell r="K30" t="str">
            <v>L</v>
          </cell>
        </row>
        <row r="31">
          <cell r="A31" t="str">
            <v>2013Russell3</v>
          </cell>
          <cell r="D31" t="str">
            <v>Russell</v>
          </cell>
          <cell r="E31" t="str">
            <v>BR</v>
          </cell>
          <cell r="F31">
            <v>2013</v>
          </cell>
          <cell r="I31">
            <v>110</v>
          </cell>
          <cell r="J31">
            <v>44</v>
          </cell>
          <cell r="K31" t="str">
            <v>W</v>
          </cell>
        </row>
        <row r="32">
          <cell r="A32" t="str">
            <v>2013Brian4</v>
          </cell>
          <cell r="D32" t="str">
            <v>Brian</v>
          </cell>
          <cell r="E32" t="str">
            <v>Michael</v>
          </cell>
          <cell r="F32">
            <v>2013</v>
          </cell>
          <cell r="I32">
            <v>122</v>
          </cell>
          <cell r="J32">
            <v>30</v>
          </cell>
          <cell r="K32" t="str">
            <v>W</v>
          </cell>
        </row>
        <row r="33">
          <cell r="A33" t="str">
            <v>2013Michael4</v>
          </cell>
          <cell r="D33" t="str">
            <v>Michael</v>
          </cell>
          <cell r="E33" t="str">
            <v>Brian</v>
          </cell>
          <cell r="F33">
            <v>2013</v>
          </cell>
          <cell r="I33">
            <v>92</v>
          </cell>
          <cell r="J33">
            <v>-30</v>
          </cell>
          <cell r="K33" t="str">
            <v>L</v>
          </cell>
        </row>
        <row r="34">
          <cell r="A34" t="str">
            <v>2013Emily4</v>
          </cell>
          <cell r="D34" t="str">
            <v>Emily</v>
          </cell>
          <cell r="E34" t="str">
            <v>Matt</v>
          </cell>
          <cell r="F34">
            <v>2013</v>
          </cell>
          <cell r="I34">
            <v>94</v>
          </cell>
          <cell r="J34">
            <v>8</v>
          </cell>
          <cell r="K34" t="str">
            <v>W</v>
          </cell>
        </row>
        <row r="35">
          <cell r="A35" t="str">
            <v>2013Matt4</v>
          </cell>
          <cell r="D35" t="str">
            <v>Matt</v>
          </cell>
          <cell r="E35" t="str">
            <v>Emily</v>
          </cell>
          <cell r="F35">
            <v>2013</v>
          </cell>
          <cell r="I35">
            <v>86</v>
          </cell>
          <cell r="J35">
            <v>-8</v>
          </cell>
          <cell r="K35" t="str">
            <v>L</v>
          </cell>
        </row>
        <row r="36">
          <cell r="A36" t="str">
            <v>2013David4</v>
          </cell>
          <cell r="D36" t="str">
            <v>David</v>
          </cell>
          <cell r="E36" t="str">
            <v>Abby</v>
          </cell>
          <cell r="F36">
            <v>2013</v>
          </cell>
          <cell r="I36">
            <v>75</v>
          </cell>
          <cell r="J36">
            <v>-17</v>
          </cell>
          <cell r="K36" t="str">
            <v>L</v>
          </cell>
        </row>
        <row r="37">
          <cell r="A37" t="str">
            <v>2013Abby4</v>
          </cell>
          <cell r="D37" t="str">
            <v>Abby</v>
          </cell>
          <cell r="E37" t="str">
            <v>David</v>
          </cell>
          <cell r="F37">
            <v>2013</v>
          </cell>
          <cell r="I37">
            <v>92</v>
          </cell>
          <cell r="J37">
            <v>17</v>
          </cell>
          <cell r="K37" t="str">
            <v>W</v>
          </cell>
        </row>
        <row r="38">
          <cell r="A38" t="str">
            <v>2013Mark4</v>
          </cell>
          <cell r="D38" t="str">
            <v>Mark</v>
          </cell>
          <cell r="E38" t="str">
            <v>BR</v>
          </cell>
          <cell r="F38">
            <v>2013</v>
          </cell>
          <cell r="I38">
            <v>99</v>
          </cell>
          <cell r="J38">
            <v>-11</v>
          </cell>
          <cell r="K38" t="str">
            <v>L</v>
          </cell>
        </row>
        <row r="39">
          <cell r="A39" t="str">
            <v>2013BR4</v>
          </cell>
          <cell r="D39" t="str">
            <v>BR</v>
          </cell>
          <cell r="E39" t="str">
            <v>Mark</v>
          </cell>
          <cell r="F39">
            <v>2013</v>
          </cell>
          <cell r="I39">
            <v>110</v>
          </cell>
          <cell r="J39">
            <v>11</v>
          </cell>
          <cell r="K39" t="str">
            <v>W</v>
          </cell>
        </row>
        <row r="40">
          <cell r="A40" t="str">
            <v>2013Watty4</v>
          </cell>
          <cell r="D40" t="str">
            <v>Watty</v>
          </cell>
          <cell r="E40" t="str">
            <v>Russell</v>
          </cell>
          <cell r="F40">
            <v>2013</v>
          </cell>
          <cell r="I40">
            <v>104</v>
          </cell>
          <cell r="J40">
            <v>-18</v>
          </cell>
          <cell r="K40" t="str">
            <v>L</v>
          </cell>
        </row>
        <row r="41">
          <cell r="A41" t="str">
            <v>2013Russell4</v>
          </cell>
          <cell r="D41" t="str">
            <v>Russell</v>
          </cell>
          <cell r="E41" t="str">
            <v>Watty</v>
          </cell>
          <cell r="F41">
            <v>2013</v>
          </cell>
          <cell r="I41">
            <v>122</v>
          </cell>
          <cell r="J41">
            <v>18</v>
          </cell>
          <cell r="K41" t="str">
            <v>W</v>
          </cell>
        </row>
        <row r="42">
          <cell r="A42" t="str">
            <v>2013Russell5</v>
          </cell>
          <cell r="D42" t="str">
            <v>Russell</v>
          </cell>
          <cell r="E42" t="str">
            <v>Michael</v>
          </cell>
          <cell r="F42">
            <v>2013</v>
          </cell>
          <cell r="I42">
            <v>93</v>
          </cell>
          <cell r="J42">
            <v>-6</v>
          </cell>
          <cell r="K42" t="str">
            <v>L</v>
          </cell>
        </row>
        <row r="43">
          <cell r="A43" t="str">
            <v>2013Michael5</v>
          </cell>
          <cell r="D43" t="str">
            <v>Michael</v>
          </cell>
          <cell r="E43" t="str">
            <v>Russell</v>
          </cell>
          <cell r="F43">
            <v>2013</v>
          </cell>
          <cell r="I43">
            <v>99</v>
          </cell>
          <cell r="J43">
            <v>6</v>
          </cell>
          <cell r="K43" t="str">
            <v>W</v>
          </cell>
        </row>
        <row r="44">
          <cell r="A44" t="str">
            <v>2013Abby5</v>
          </cell>
          <cell r="D44" t="str">
            <v>Abby</v>
          </cell>
          <cell r="E44" t="str">
            <v>Brian</v>
          </cell>
          <cell r="F44">
            <v>2013</v>
          </cell>
          <cell r="I44">
            <v>104</v>
          </cell>
          <cell r="J44">
            <v>23</v>
          </cell>
          <cell r="K44" t="str">
            <v>W</v>
          </cell>
        </row>
        <row r="45">
          <cell r="A45" t="str">
            <v>2013Brian5</v>
          </cell>
          <cell r="D45" t="str">
            <v>Brian</v>
          </cell>
          <cell r="E45" t="str">
            <v>Abby</v>
          </cell>
          <cell r="F45">
            <v>2013</v>
          </cell>
          <cell r="I45">
            <v>81</v>
          </cell>
          <cell r="J45">
            <v>-23</v>
          </cell>
          <cell r="K45" t="str">
            <v>L</v>
          </cell>
        </row>
        <row r="46">
          <cell r="A46" t="str">
            <v>2013David5</v>
          </cell>
          <cell r="D46" t="str">
            <v>David</v>
          </cell>
          <cell r="E46" t="str">
            <v>Emily</v>
          </cell>
          <cell r="F46">
            <v>2013</v>
          </cell>
          <cell r="I46">
            <v>84</v>
          </cell>
          <cell r="J46">
            <v>20</v>
          </cell>
          <cell r="K46" t="str">
            <v>W</v>
          </cell>
        </row>
        <row r="47">
          <cell r="A47" t="str">
            <v>2013Emily5</v>
          </cell>
          <cell r="D47" t="str">
            <v>Emily</v>
          </cell>
          <cell r="E47" t="str">
            <v>David</v>
          </cell>
          <cell r="F47">
            <v>2013</v>
          </cell>
          <cell r="I47">
            <v>64</v>
          </cell>
          <cell r="J47">
            <v>-20</v>
          </cell>
          <cell r="K47" t="str">
            <v>L</v>
          </cell>
        </row>
        <row r="48">
          <cell r="A48" t="str">
            <v>2013Matt5</v>
          </cell>
          <cell r="D48" t="str">
            <v>Matt</v>
          </cell>
          <cell r="E48" t="str">
            <v>BR</v>
          </cell>
          <cell r="F48">
            <v>2013</v>
          </cell>
          <cell r="I48">
            <v>78</v>
          </cell>
          <cell r="J48">
            <v>-36</v>
          </cell>
          <cell r="K48" t="str">
            <v>L</v>
          </cell>
        </row>
        <row r="49">
          <cell r="A49" t="str">
            <v>2013BR5</v>
          </cell>
          <cell r="D49" t="str">
            <v>BR</v>
          </cell>
          <cell r="E49" t="str">
            <v>Matt</v>
          </cell>
          <cell r="F49">
            <v>2013</v>
          </cell>
          <cell r="I49">
            <v>114</v>
          </cell>
          <cell r="J49">
            <v>36</v>
          </cell>
          <cell r="K49" t="str">
            <v>W</v>
          </cell>
        </row>
        <row r="50">
          <cell r="A50" t="str">
            <v>2013Watty5</v>
          </cell>
          <cell r="D50" t="str">
            <v>Watty</v>
          </cell>
          <cell r="E50" t="str">
            <v>Mark</v>
          </cell>
          <cell r="F50">
            <v>2013</v>
          </cell>
          <cell r="I50">
            <v>113</v>
          </cell>
          <cell r="J50">
            <v>49</v>
          </cell>
          <cell r="K50" t="str">
            <v>W</v>
          </cell>
        </row>
        <row r="51">
          <cell r="A51" t="str">
            <v>2013Mark5</v>
          </cell>
          <cell r="D51" t="str">
            <v>Mark</v>
          </cell>
          <cell r="E51" t="str">
            <v>Watty</v>
          </cell>
          <cell r="F51">
            <v>2013</v>
          </cell>
          <cell r="I51">
            <v>64</v>
          </cell>
          <cell r="J51">
            <v>-49</v>
          </cell>
          <cell r="K51" t="str">
            <v>L</v>
          </cell>
        </row>
        <row r="52">
          <cell r="A52" t="str">
            <v>2013Michael6</v>
          </cell>
          <cell r="D52" t="str">
            <v>Michael</v>
          </cell>
          <cell r="E52" t="str">
            <v>Emily</v>
          </cell>
          <cell r="F52">
            <v>2013</v>
          </cell>
          <cell r="I52">
            <v>74</v>
          </cell>
          <cell r="J52">
            <v>-9</v>
          </cell>
          <cell r="K52" t="str">
            <v>L</v>
          </cell>
        </row>
        <row r="53">
          <cell r="A53" t="str">
            <v>2013Emily6</v>
          </cell>
          <cell r="D53" t="str">
            <v>Emily</v>
          </cell>
          <cell r="E53" t="str">
            <v>Michael</v>
          </cell>
          <cell r="F53">
            <v>2013</v>
          </cell>
          <cell r="I53">
            <v>83</v>
          </cell>
          <cell r="J53">
            <v>9</v>
          </cell>
          <cell r="K53" t="str">
            <v>W</v>
          </cell>
        </row>
        <row r="54">
          <cell r="A54" t="str">
            <v>2013Mark6</v>
          </cell>
          <cell r="D54" t="str">
            <v>Mark</v>
          </cell>
          <cell r="E54" t="str">
            <v>David</v>
          </cell>
          <cell r="F54">
            <v>2013</v>
          </cell>
          <cell r="I54">
            <v>99</v>
          </cell>
          <cell r="J54">
            <v>13</v>
          </cell>
          <cell r="K54" t="str">
            <v>W</v>
          </cell>
        </row>
        <row r="55">
          <cell r="A55" t="str">
            <v>2013David6</v>
          </cell>
          <cell r="D55" t="str">
            <v>David</v>
          </cell>
          <cell r="E55" t="str">
            <v>Mark</v>
          </cell>
          <cell r="F55">
            <v>2013</v>
          </cell>
          <cell r="I55">
            <v>86</v>
          </cell>
          <cell r="J55">
            <v>-13</v>
          </cell>
          <cell r="K55" t="str">
            <v>L</v>
          </cell>
        </row>
        <row r="56">
          <cell r="A56" t="str">
            <v>2013Russell6</v>
          </cell>
          <cell r="D56" t="str">
            <v>Russell</v>
          </cell>
          <cell r="E56" t="str">
            <v>Matt</v>
          </cell>
          <cell r="F56">
            <v>2013</v>
          </cell>
          <cell r="I56">
            <v>81</v>
          </cell>
          <cell r="J56">
            <v>0</v>
          </cell>
          <cell r="K56" t="str">
            <v>T</v>
          </cell>
        </row>
        <row r="57">
          <cell r="A57" t="str">
            <v>2013Matt6</v>
          </cell>
          <cell r="D57" t="str">
            <v>Matt</v>
          </cell>
          <cell r="E57" t="str">
            <v>Russell</v>
          </cell>
          <cell r="F57">
            <v>2013</v>
          </cell>
          <cell r="I57">
            <v>81</v>
          </cell>
          <cell r="J57">
            <v>0</v>
          </cell>
          <cell r="K57" t="str">
            <v>T</v>
          </cell>
        </row>
        <row r="58">
          <cell r="A58" t="str">
            <v>2013Watty6</v>
          </cell>
          <cell r="D58" t="str">
            <v>Watty</v>
          </cell>
          <cell r="E58" t="str">
            <v>Abby</v>
          </cell>
          <cell r="F58">
            <v>2013</v>
          </cell>
          <cell r="I58">
            <v>128</v>
          </cell>
          <cell r="J58">
            <v>77</v>
          </cell>
          <cell r="K58" t="str">
            <v>W</v>
          </cell>
        </row>
        <row r="59">
          <cell r="A59" t="str">
            <v>2013Abby6</v>
          </cell>
          <cell r="D59" t="str">
            <v>Abby</v>
          </cell>
          <cell r="E59" t="str">
            <v>Watty</v>
          </cell>
          <cell r="F59">
            <v>2013</v>
          </cell>
          <cell r="I59">
            <v>51</v>
          </cell>
          <cell r="J59">
            <v>-77</v>
          </cell>
          <cell r="K59" t="str">
            <v>L</v>
          </cell>
        </row>
        <row r="60">
          <cell r="A60" t="str">
            <v>2013BR6</v>
          </cell>
          <cell r="D60" t="str">
            <v>BR</v>
          </cell>
          <cell r="E60" t="str">
            <v>Brian</v>
          </cell>
          <cell r="F60">
            <v>2013</v>
          </cell>
          <cell r="I60">
            <v>36</v>
          </cell>
          <cell r="J60">
            <v>-69</v>
          </cell>
          <cell r="K60" t="str">
            <v>L</v>
          </cell>
        </row>
        <row r="61">
          <cell r="A61" t="str">
            <v>2013Brian6</v>
          </cell>
          <cell r="D61" t="str">
            <v>Brian</v>
          </cell>
          <cell r="E61" t="str">
            <v>BR</v>
          </cell>
          <cell r="F61">
            <v>2013</v>
          </cell>
          <cell r="I61">
            <v>105</v>
          </cell>
          <cell r="J61">
            <v>69</v>
          </cell>
          <cell r="K61" t="str">
            <v>W</v>
          </cell>
        </row>
        <row r="62">
          <cell r="A62" t="str">
            <v>2013David7</v>
          </cell>
          <cell r="D62" t="str">
            <v>David</v>
          </cell>
          <cell r="E62" t="str">
            <v>Michael</v>
          </cell>
          <cell r="F62">
            <v>2013</v>
          </cell>
          <cell r="I62">
            <v>90</v>
          </cell>
          <cell r="J62">
            <v>27</v>
          </cell>
          <cell r="K62" t="str">
            <v>W</v>
          </cell>
        </row>
        <row r="63">
          <cell r="A63" t="str">
            <v>2013Michael7</v>
          </cell>
          <cell r="D63" t="str">
            <v>Michael</v>
          </cell>
          <cell r="E63" t="str">
            <v>David</v>
          </cell>
          <cell r="F63">
            <v>2013</v>
          </cell>
          <cell r="I63">
            <v>63</v>
          </cell>
          <cell r="J63">
            <v>-27</v>
          </cell>
          <cell r="K63" t="str">
            <v>L</v>
          </cell>
        </row>
        <row r="64">
          <cell r="A64" t="str">
            <v>2013Emily7</v>
          </cell>
          <cell r="D64" t="str">
            <v>Emily</v>
          </cell>
          <cell r="E64" t="str">
            <v>BR</v>
          </cell>
          <cell r="F64">
            <v>2013</v>
          </cell>
          <cell r="I64">
            <v>92</v>
          </cell>
          <cell r="J64">
            <v>17</v>
          </cell>
          <cell r="K64" t="str">
            <v>W</v>
          </cell>
        </row>
        <row r="65">
          <cell r="A65" t="str">
            <v>2013BR7</v>
          </cell>
          <cell r="D65" t="str">
            <v>BR</v>
          </cell>
          <cell r="E65" t="str">
            <v>Emily</v>
          </cell>
          <cell r="F65">
            <v>2013</v>
          </cell>
          <cell r="I65">
            <v>75</v>
          </cell>
          <cell r="J65">
            <v>-17</v>
          </cell>
          <cell r="K65" t="str">
            <v>L</v>
          </cell>
        </row>
        <row r="66">
          <cell r="A66" t="str">
            <v>2013Matt7</v>
          </cell>
          <cell r="D66" t="str">
            <v>Matt</v>
          </cell>
          <cell r="E66" t="str">
            <v>Watty</v>
          </cell>
          <cell r="F66">
            <v>2013</v>
          </cell>
          <cell r="I66">
            <v>91</v>
          </cell>
          <cell r="J66">
            <v>-1</v>
          </cell>
          <cell r="K66" t="str">
            <v>L</v>
          </cell>
        </row>
        <row r="67">
          <cell r="A67" t="str">
            <v>2013Watty7</v>
          </cell>
          <cell r="D67" t="str">
            <v>Watty</v>
          </cell>
          <cell r="E67" t="str">
            <v>Matt</v>
          </cell>
          <cell r="F67">
            <v>2013</v>
          </cell>
          <cell r="I67">
            <v>92</v>
          </cell>
          <cell r="J67">
            <v>1</v>
          </cell>
          <cell r="K67" t="str">
            <v>W</v>
          </cell>
        </row>
        <row r="68">
          <cell r="A68" t="str">
            <v>2013Abby7</v>
          </cell>
          <cell r="D68" t="str">
            <v>Abby</v>
          </cell>
          <cell r="E68" t="str">
            <v>Mark</v>
          </cell>
          <cell r="F68">
            <v>2013</v>
          </cell>
          <cell r="I68">
            <v>87</v>
          </cell>
          <cell r="J68">
            <v>4</v>
          </cell>
          <cell r="K68" t="str">
            <v>W</v>
          </cell>
        </row>
        <row r="69">
          <cell r="A69" t="str">
            <v>2013Mark7</v>
          </cell>
          <cell r="D69" t="str">
            <v>Mark</v>
          </cell>
          <cell r="E69" t="str">
            <v>Abby</v>
          </cell>
          <cell r="F69">
            <v>2013</v>
          </cell>
          <cell r="I69">
            <v>83</v>
          </cell>
          <cell r="J69">
            <v>-4</v>
          </cell>
          <cell r="K69" t="str">
            <v>L</v>
          </cell>
        </row>
        <row r="70">
          <cell r="A70" t="str">
            <v>2013Brian7</v>
          </cell>
          <cell r="D70" t="str">
            <v>Brian</v>
          </cell>
          <cell r="E70" t="str">
            <v>Russell</v>
          </cell>
          <cell r="F70">
            <v>2013</v>
          </cell>
          <cell r="I70">
            <v>88</v>
          </cell>
          <cell r="J70">
            <v>6</v>
          </cell>
          <cell r="K70" t="str">
            <v>W</v>
          </cell>
        </row>
        <row r="71">
          <cell r="A71" t="str">
            <v>2013Russell7</v>
          </cell>
          <cell r="D71" t="str">
            <v>Russell</v>
          </cell>
          <cell r="E71" t="str">
            <v>Brian</v>
          </cell>
          <cell r="F71">
            <v>2013</v>
          </cell>
          <cell r="I71">
            <v>82</v>
          </cell>
          <cell r="J71">
            <v>-6</v>
          </cell>
          <cell r="K71" t="str">
            <v>L</v>
          </cell>
        </row>
        <row r="72">
          <cell r="A72" t="str">
            <v>2013Michael8</v>
          </cell>
          <cell r="D72" t="str">
            <v>Michael</v>
          </cell>
          <cell r="E72" t="str">
            <v>Abby</v>
          </cell>
          <cell r="F72">
            <v>2013</v>
          </cell>
          <cell r="I72">
            <v>90</v>
          </cell>
          <cell r="J72">
            <v>3</v>
          </cell>
          <cell r="K72" t="str">
            <v>W</v>
          </cell>
        </row>
        <row r="73">
          <cell r="A73" t="str">
            <v>2013Abby8</v>
          </cell>
          <cell r="D73" t="str">
            <v>Abby</v>
          </cell>
          <cell r="E73" t="str">
            <v>Michael</v>
          </cell>
          <cell r="F73">
            <v>2013</v>
          </cell>
          <cell r="I73">
            <v>87</v>
          </cell>
          <cell r="J73">
            <v>-3</v>
          </cell>
          <cell r="K73" t="str">
            <v>L</v>
          </cell>
        </row>
        <row r="74">
          <cell r="A74" t="str">
            <v>2013Russell8</v>
          </cell>
          <cell r="D74" t="str">
            <v>Russell</v>
          </cell>
          <cell r="E74" t="str">
            <v>Emily</v>
          </cell>
          <cell r="F74">
            <v>2013</v>
          </cell>
          <cell r="I74">
            <v>75</v>
          </cell>
          <cell r="J74">
            <v>-11</v>
          </cell>
          <cell r="K74" t="str">
            <v>L</v>
          </cell>
        </row>
        <row r="75">
          <cell r="A75" t="str">
            <v>2013Emily8</v>
          </cell>
          <cell r="D75" t="str">
            <v>Emily</v>
          </cell>
          <cell r="E75" t="str">
            <v>Russell</v>
          </cell>
          <cell r="F75">
            <v>2013</v>
          </cell>
          <cell r="I75">
            <v>86</v>
          </cell>
          <cell r="J75">
            <v>11</v>
          </cell>
          <cell r="K75" t="str">
            <v>W</v>
          </cell>
        </row>
        <row r="76">
          <cell r="A76" t="str">
            <v>2013Mark8</v>
          </cell>
          <cell r="D76" t="str">
            <v>Mark</v>
          </cell>
          <cell r="E76" t="str">
            <v>Matt</v>
          </cell>
          <cell r="F76">
            <v>2013</v>
          </cell>
          <cell r="I76">
            <v>81</v>
          </cell>
          <cell r="J76">
            <v>1</v>
          </cell>
          <cell r="K76" t="str">
            <v>W</v>
          </cell>
        </row>
        <row r="77">
          <cell r="A77" t="str">
            <v>2013Matt8</v>
          </cell>
          <cell r="D77" t="str">
            <v>Matt</v>
          </cell>
          <cell r="E77" t="str">
            <v>Mark</v>
          </cell>
          <cell r="F77">
            <v>2013</v>
          </cell>
          <cell r="I77">
            <v>80</v>
          </cell>
          <cell r="J77">
            <v>-1</v>
          </cell>
          <cell r="K77" t="str">
            <v>L</v>
          </cell>
        </row>
        <row r="78">
          <cell r="A78" t="str">
            <v>2013BR8</v>
          </cell>
          <cell r="D78" t="str">
            <v>BR</v>
          </cell>
          <cell r="E78" t="str">
            <v>David</v>
          </cell>
          <cell r="F78">
            <v>2013</v>
          </cell>
          <cell r="I78">
            <v>114</v>
          </cell>
          <cell r="J78">
            <v>20</v>
          </cell>
          <cell r="K78" t="str">
            <v>W</v>
          </cell>
        </row>
        <row r="79">
          <cell r="A79" t="str">
            <v>2013David8</v>
          </cell>
          <cell r="D79" t="str">
            <v>David</v>
          </cell>
          <cell r="E79" t="str">
            <v>BR</v>
          </cell>
          <cell r="F79">
            <v>2013</v>
          </cell>
          <cell r="I79">
            <v>94</v>
          </cell>
          <cell r="J79">
            <v>-20</v>
          </cell>
          <cell r="K79" t="str">
            <v>L</v>
          </cell>
        </row>
        <row r="80">
          <cell r="A80" t="str">
            <v>2013Watty8</v>
          </cell>
          <cell r="D80" t="str">
            <v>Watty</v>
          </cell>
          <cell r="E80" t="str">
            <v>Brian</v>
          </cell>
          <cell r="F80">
            <v>2013</v>
          </cell>
          <cell r="I80">
            <v>120</v>
          </cell>
          <cell r="J80">
            <v>6</v>
          </cell>
          <cell r="K80" t="str">
            <v>W</v>
          </cell>
        </row>
        <row r="81">
          <cell r="A81" t="str">
            <v>2013Brian8</v>
          </cell>
          <cell r="D81" t="str">
            <v>Brian</v>
          </cell>
          <cell r="E81" t="str">
            <v>Watty</v>
          </cell>
          <cell r="F81">
            <v>2013</v>
          </cell>
          <cell r="I81">
            <v>114</v>
          </cell>
          <cell r="J81">
            <v>-6</v>
          </cell>
          <cell r="K81" t="str">
            <v>L</v>
          </cell>
        </row>
        <row r="82">
          <cell r="A82" t="str">
            <v>2013Michael9</v>
          </cell>
          <cell r="D82" t="str">
            <v>Michael</v>
          </cell>
          <cell r="E82" t="str">
            <v>Russell</v>
          </cell>
          <cell r="F82">
            <v>2013</v>
          </cell>
          <cell r="I82">
            <v>88</v>
          </cell>
          <cell r="J82">
            <v>-15</v>
          </cell>
          <cell r="K82" t="str">
            <v>L</v>
          </cell>
        </row>
        <row r="83">
          <cell r="A83" t="str">
            <v>2013Russell9</v>
          </cell>
          <cell r="D83" t="str">
            <v>Russell</v>
          </cell>
          <cell r="E83" t="str">
            <v>Michael</v>
          </cell>
          <cell r="F83">
            <v>2013</v>
          </cell>
          <cell r="I83">
            <v>103</v>
          </cell>
          <cell r="J83">
            <v>15</v>
          </cell>
          <cell r="K83" t="str">
            <v>W</v>
          </cell>
        </row>
        <row r="84">
          <cell r="A84" t="str">
            <v>2013Matt9</v>
          </cell>
          <cell r="D84" t="str">
            <v>Matt</v>
          </cell>
          <cell r="E84" t="str">
            <v>David</v>
          </cell>
          <cell r="F84">
            <v>2013</v>
          </cell>
          <cell r="I84">
            <v>82</v>
          </cell>
          <cell r="J84">
            <v>-29</v>
          </cell>
          <cell r="K84" t="str">
            <v>L</v>
          </cell>
        </row>
        <row r="85">
          <cell r="A85" t="str">
            <v>2013David9</v>
          </cell>
          <cell r="D85" t="str">
            <v>David</v>
          </cell>
          <cell r="E85" t="str">
            <v>Matt</v>
          </cell>
          <cell r="F85">
            <v>2013</v>
          </cell>
          <cell r="I85">
            <v>111</v>
          </cell>
          <cell r="J85">
            <v>29</v>
          </cell>
          <cell r="K85" t="str">
            <v>W</v>
          </cell>
        </row>
        <row r="86">
          <cell r="A86" t="str">
            <v>2013Brian9</v>
          </cell>
          <cell r="D86" t="str">
            <v>Brian</v>
          </cell>
          <cell r="E86" t="str">
            <v>Emily</v>
          </cell>
          <cell r="F86">
            <v>2013</v>
          </cell>
          <cell r="I86">
            <v>101</v>
          </cell>
          <cell r="J86">
            <v>25</v>
          </cell>
          <cell r="K86" t="str">
            <v>W</v>
          </cell>
        </row>
        <row r="87">
          <cell r="A87" t="str">
            <v>2013Emily9</v>
          </cell>
          <cell r="D87" t="str">
            <v>Emily</v>
          </cell>
          <cell r="E87" t="str">
            <v>Brian</v>
          </cell>
          <cell r="F87">
            <v>2013</v>
          </cell>
          <cell r="I87">
            <v>76</v>
          </cell>
          <cell r="J87">
            <v>-25</v>
          </cell>
          <cell r="K87" t="str">
            <v>L</v>
          </cell>
        </row>
        <row r="88">
          <cell r="A88" t="str">
            <v>2013Abby9</v>
          </cell>
          <cell r="D88" t="str">
            <v>Abby</v>
          </cell>
          <cell r="E88" t="str">
            <v>BR</v>
          </cell>
          <cell r="F88">
            <v>2013</v>
          </cell>
          <cell r="I88">
            <v>124</v>
          </cell>
          <cell r="J88">
            <v>64</v>
          </cell>
          <cell r="K88" t="str">
            <v>W</v>
          </cell>
        </row>
        <row r="89">
          <cell r="A89" t="str">
            <v>2013BR9</v>
          </cell>
          <cell r="D89" t="str">
            <v>BR</v>
          </cell>
          <cell r="E89" t="str">
            <v>Abby</v>
          </cell>
          <cell r="F89">
            <v>2013</v>
          </cell>
          <cell r="I89">
            <v>60</v>
          </cell>
          <cell r="J89">
            <v>-64</v>
          </cell>
          <cell r="K89" t="str">
            <v>L</v>
          </cell>
        </row>
        <row r="90">
          <cell r="A90" t="str">
            <v>2013Mark9</v>
          </cell>
          <cell r="D90" t="str">
            <v>Mark</v>
          </cell>
          <cell r="E90" t="str">
            <v>Watty</v>
          </cell>
          <cell r="F90">
            <v>2013</v>
          </cell>
          <cell r="I90">
            <v>120</v>
          </cell>
          <cell r="J90">
            <v>67</v>
          </cell>
          <cell r="K90" t="str">
            <v>W</v>
          </cell>
        </row>
        <row r="91">
          <cell r="A91" t="str">
            <v>2013Watty9</v>
          </cell>
          <cell r="D91" t="str">
            <v>Watty</v>
          </cell>
          <cell r="E91" t="str">
            <v>Mark</v>
          </cell>
          <cell r="F91">
            <v>2013</v>
          </cell>
          <cell r="I91">
            <v>53</v>
          </cell>
          <cell r="J91">
            <v>-67</v>
          </cell>
          <cell r="K91" t="str">
            <v>L</v>
          </cell>
        </row>
        <row r="92">
          <cell r="A92" t="str">
            <v>2013Michael10</v>
          </cell>
          <cell r="D92" t="str">
            <v>Michael</v>
          </cell>
          <cell r="E92" t="str">
            <v>Mark</v>
          </cell>
          <cell r="F92">
            <v>2013</v>
          </cell>
          <cell r="I92">
            <v>120</v>
          </cell>
          <cell r="J92">
            <v>31</v>
          </cell>
          <cell r="K92" t="str">
            <v>W</v>
          </cell>
        </row>
        <row r="93">
          <cell r="A93" t="str">
            <v>2013Mark10</v>
          </cell>
          <cell r="D93" t="str">
            <v>Mark</v>
          </cell>
          <cell r="E93" t="str">
            <v>Michael</v>
          </cell>
          <cell r="F93">
            <v>2013</v>
          </cell>
          <cell r="I93">
            <v>89</v>
          </cell>
          <cell r="J93">
            <v>-31</v>
          </cell>
          <cell r="K93" t="str">
            <v>L</v>
          </cell>
        </row>
        <row r="94">
          <cell r="A94" t="str">
            <v>2013BR10</v>
          </cell>
          <cell r="D94" t="str">
            <v>BR</v>
          </cell>
          <cell r="E94" t="str">
            <v>Watty</v>
          </cell>
          <cell r="F94">
            <v>2013</v>
          </cell>
          <cell r="I94">
            <v>77</v>
          </cell>
          <cell r="J94">
            <v>27</v>
          </cell>
          <cell r="K94" t="str">
            <v>W</v>
          </cell>
        </row>
        <row r="95">
          <cell r="A95" t="str">
            <v>2013Watty10</v>
          </cell>
          <cell r="D95" t="str">
            <v>Watty</v>
          </cell>
          <cell r="E95" t="str">
            <v>BR</v>
          </cell>
          <cell r="F95">
            <v>2013</v>
          </cell>
          <cell r="I95">
            <v>50</v>
          </cell>
          <cell r="J95">
            <v>-27</v>
          </cell>
          <cell r="K95" t="str">
            <v>L</v>
          </cell>
        </row>
        <row r="96">
          <cell r="A96" t="str">
            <v>2013Brian10</v>
          </cell>
          <cell r="D96" t="str">
            <v>Brian</v>
          </cell>
          <cell r="E96" t="str">
            <v>Matt</v>
          </cell>
          <cell r="F96">
            <v>2013</v>
          </cell>
          <cell r="I96">
            <v>124</v>
          </cell>
          <cell r="J96">
            <v>24</v>
          </cell>
          <cell r="K96" t="str">
            <v>W</v>
          </cell>
        </row>
        <row r="97">
          <cell r="A97" t="str">
            <v>2013Matt10</v>
          </cell>
          <cell r="D97" t="str">
            <v>Matt</v>
          </cell>
          <cell r="E97" t="str">
            <v>Brian</v>
          </cell>
          <cell r="F97">
            <v>2013</v>
          </cell>
          <cell r="I97">
            <v>100</v>
          </cell>
          <cell r="J97">
            <v>-24</v>
          </cell>
          <cell r="K97" t="str">
            <v>L</v>
          </cell>
        </row>
        <row r="98">
          <cell r="A98" t="str">
            <v>2013David10</v>
          </cell>
          <cell r="D98" t="str">
            <v>David</v>
          </cell>
          <cell r="E98" t="str">
            <v>Russell</v>
          </cell>
          <cell r="F98">
            <v>2013</v>
          </cell>
          <cell r="I98">
            <v>79</v>
          </cell>
          <cell r="J98">
            <v>3</v>
          </cell>
          <cell r="K98" t="str">
            <v>W</v>
          </cell>
        </row>
        <row r="99">
          <cell r="A99" t="str">
            <v>2013Russell10</v>
          </cell>
          <cell r="D99" t="str">
            <v>Russell</v>
          </cell>
          <cell r="E99" t="str">
            <v>David</v>
          </cell>
          <cell r="F99">
            <v>2013</v>
          </cell>
          <cell r="I99">
            <v>76</v>
          </cell>
          <cell r="J99">
            <v>-3</v>
          </cell>
          <cell r="K99" t="str">
            <v>L</v>
          </cell>
        </row>
        <row r="100">
          <cell r="A100" t="str">
            <v>2013Emily10</v>
          </cell>
          <cell r="D100" t="str">
            <v>Emily</v>
          </cell>
          <cell r="E100" t="str">
            <v>Abby</v>
          </cell>
          <cell r="F100">
            <v>2013</v>
          </cell>
          <cell r="I100">
            <v>87</v>
          </cell>
          <cell r="J100">
            <v>-4</v>
          </cell>
          <cell r="K100" t="str">
            <v>L</v>
          </cell>
        </row>
        <row r="101">
          <cell r="A101" t="str">
            <v>2013Abby10</v>
          </cell>
          <cell r="D101" t="str">
            <v>Abby</v>
          </cell>
          <cell r="E101" t="str">
            <v>Emily</v>
          </cell>
          <cell r="F101">
            <v>2013</v>
          </cell>
          <cell r="I101">
            <v>91</v>
          </cell>
          <cell r="J101">
            <v>4</v>
          </cell>
          <cell r="K101" t="str">
            <v>W</v>
          </cell>
        </row>
        <row r="102">
          <cell r="A102" t="str">
            <v>2013Michael11</v>
          </cell>
          <cell r="D102" t="str">
            <v>Michael</v>
          </cell>
          <cell r="E102" t="str">
            <v>BR</v>
          </cell>
          <cell r="F102">
            <v>2013</v>
          </cell>
          <cell r="I102">
            <v>97</v>
          </cell>
          <cell r="J102">
            <v>2</v>
          </cell>
          <cell r="K102" t="str">
            <v>W</v>
          </cell>
        </row>
        <row r="103">
          <cell r="A103" t="str">
            <v>2013BR11</v>
          </cell>
          <cell r="D103" t="str">
            <v>BR</v>
          </cell>
          <cell r="E103" t="str">
            <v>Michael</v>
          </cell>
          <cell r="F103">
            <v>2013</v>
          </cell>
          <cell r="I103">
            <v>95</v>
          </cell>
          <cell r="J103">
            <v>-2</v>
          </cell>
          <cell r="K103" t="str">
            <v>L</v>
          </cell>
        </row>
        <row r="104">
          <cell r="A104" t="str">
            <v>2013Mark11</v>
          </cell>
          <cell r="D104" t="str">
            <v>Mark</v>
          </cell>
          <cell r="E104" t="str">
            <v>Russell</v>
          </cell>
          <cell r="F104">
            <v>2013</v>
          </cell>
          <cell r="I104">
            <v>76</v>
          </cell>
          <cell r="J104">
            <v>-4</v>
          </cell>
          <cell r="K104" t="str">
            <v>L</v>
          </cell>
        </row>
        <row r="105">
          <cell r="A105" t="str">
            <v>2013Russell11</v>
          </cell>
          <cell r="D105" t="str">
            <v>Russell</v>
          </cell>
          <cell r="E105" t="str">
            <v>Mark</v>
          </cell>
          <cell r="F105">
            <v>2013</v>
          </cell>
          <cell r="I105">
            <v>80</v>
          </cell>
          <cell r="J105">
            <v>4</v>
          </cell>
          <cell r="K105" t="str">
            <v>W</v>
          </cell>
        </row>
        <row r="106">
          <cell r="A106" t="str">
            <v>2013Abby11</v>
          </cell>
          <cell r="D106" t="str">
            <v>Abby</v>
          </cell>
          <cell r="E106" t="str">
            <v>Matt</v>
          </cell>
          <cell r="F106">
            <v>2013</v>
          </cell>
          <cell r="I106">
            <v>89</v>
          </cell>
          <cell r="J106">
            <v>-16</v>
          </cell>
          <cell r="K106" t="str">
            <v>L</v>
          </cell>
        </row>
        <row r="107">
          <cell r="A107" t="str">
            <v>2013Matt11</v>
          </cell>
          <cell r="D107" t="str">
            <v>Matt</v>
          </cell>
          <cell r="E107" t="str">
            <v>Abby</v>
          </cell>
          <cell r="F107">
            <v>2013</v>
          </cell>
          <cell r="I107">
            <v>105</v>
          </cell>
          <cell r="J107">
            <v>16</v>
          </cell>
          <cell r="K107" t="str">
            <v>W</v>
          </cell>
        </row>
        <row r="108">
          <cell r="A108" t="str">
            <v>2013Emily11</v>
          </cell>
          <cell r="D108" t="str">
            <v>Emily</v>
          </cell>
          <cell r="E108" t="str">
            <v>Watty</v>
          </cell>
          <cell r="F108">
            <v>2013</v>
          </cell>
          <cell r="I108">
            <v>79</v>
          </cell>
          <cell r="J108">
            <v>-17</v>
          </cell>
          <cell r="K108" t="str">
            <v>L</v>
          </cell>
        </row>
        <row r="109">
          <cell r="A109" t="str">
            <v>2013Watty11</v>
          </cell>
          <cell r="D109" t="str">
            <v>Watty</v>
          </cell>
          <cell r="E109" t="str">
            <v>Emily</v>
          </cell>
          <cell r="F109">
            <v>2013</v>
          </cell>
          <cell r="I109">
            <v>96</v>
          </cell>
          <cell r="J109">
            <v>17</v>
          </cell>
          <cell r="K109" t="str">
            <v>W</v>
          </cell>
        </row>
        <row r="110">
          <cell r="A110" t="str">
            <v>2013David11</v>
          </cell>
          <cell r="D110" t="str">
            <v>David</v>
          </cell>
          <cell r="E110" t="str">
            <v>Brian</v>
          </cell>
          <cell r="F110">
            <v>2013</v>
          </cell>
          <cell r="I110">
            <v>97</v>
          </cell>
          <cell r="J110">
            <v>-14</v>
          </cell>
          <cell r="K110" t="str">
            <v>L</v>
          </cell>
        </row>
        <row r="111">
          <cell r="A111" t="str">
            <v>2013Brian11</v>
          </cell>
          <cell r="D111" t="str">
            <v>Brian</v>
          </cell>
          <cell r="E111" t="str">
            <v>David</v>
          </cell>
          <cell r="F111">
            <v>2013</v>
          </cell>
          <cell r="I111">
            <v>111</v>
          </cell>
          <cell r="J111">
            <v>14</v>
          </cell>
          <cell r="K111" t="str">
            <v>W</v>
          </cell>
        </row>
        <row r="112">
          <cell r="A112" t="str">
            <v>2013Watty12</v>
          </cell>
          <cell r="D112" t="str">
            <v>Watty</v>
          </cell>
          <cell r="E112" t="str">
            <v>Michael</v>
          </cell>
          <cell r="F112">
            <v>2013</v>
          </cell>
          <cell r="I112">
            <v>94</v>
          </cell>
          <cell r="J112">
            <v>21</v>
          </cell>
          <cell r="K112" t="str">
            <v>W</v>
          </cell>
        </row>
        <row r="113">
          <cell r="A113" t="str">
            <v>2013Michael12</v>
          </cell>
          <cell r="D113" t="str">
            <v>Michael</v>
          </cell>
          <cell r="E113" t="str">
            <v>Watty</v>
          </cell>
          <cell r="F113">
            <v>2013</v>
          </cell>
          <cell r="I113">
            <v>73</v>
          </cell>
          <cell r="J113">
            <v>-21</v>
          </cell>
          <cell r="K113" t="str">
            <v>L</v>
          </cell>
        </row>
        <row r="114">
          <cell r="A114" t="str">
            <v>2013Matt12</v>
          </cell>
          <cell r="D114" t="str">
            <v>Matt</v>
          </cell>
          <cell r="E114" t="str">
            <v>Emily</v>
          </cell>
          <cell r="F114">
            <v>2013</v>
          </cell>
          <cell r="I114">
            <v>79</v>
          </cell>
          <cell r="J114">
            <v>30</v>
          </cell>
          <cell r="K114" t="str">
            <v>W</v>
          </cell>
        </row>
        <row r="115">
          <cell r="A115" t="str">
            <v>2013Emily12</v>
          </cell>
          <cell r="D115" t="str">
            <v>Emily</v>
          </cell>
          <cell r="E115" t="str">
            <v>Matt</v>
          </cell>
          <cell r="F115">
            <v>2013</v>
          </cell>
          <cell r="I115">
            <v>49</v>
          </cell>
          <cell r="J115">
            <v>-30</v>
          </cell>
          <cell r="K115" t="str">
            <v>L</v>
          </cell>
        </row>
        <row r="116">
          <cell r="A116" t="str">
            <v>2013Abby12</v>
          </cell>
          <cell r="D116" t="str">
            <v>Abby</v>
          </cell>
          <cell r="E116" t="str">
            <v>David</v>
          </cell>
          <cell r="F116">
            <v>2013</v>
          </cell>
          <cell r="I116">
            <v>80</v>
          </cell>
          <cell r="J116">
            <v>-6</v>
          </cell>
          <cell r="K116" t="str">
            <v>L</v>
          </cell>
        </row>
        <row r="117">
          <cell r="A117" t="str">
            <v>2013David12</v>
          </cell>
          <cell r="D117" t="str">
            <v>David</v>
          </cell>
          <cell r="E117" t="str">
            <v>Abby</v>
          </cell>
          <cell r="F117">
            <v>2013</v>
          </cell>
          <cell r="I117">
            <v>86</v>
          </cell>
          <cell r="J117">
            <v>6</v>
          </cell>
          <cell r="K117" t="str">
            <v>W</v>
          </cell>
        </row>
        <row r="118">
          <cell r="A118" t="str">
            <v>2013Brian12</v>
          </cell>
          <cell r="D118" t="str">
            <v>Brian</v>
          </cell>
          <cell r="E118" t="str">
            <v>Mark</v>
          </cell>
          <cell r="F118">
            <v>2013</v>
          </cell>
          <cell r="I118">
            <v>130</v>
          </cell>
          <cell r="J118">
            <v>63</v>
          </cell>
          <cell r="K118" t="str">
            <v>W</v>
          </cell>
        </row>
        <row r="119">
          <cell r="A119" t="str">
            <v>2013Mark12</v>
          </cell>
          <cell r="D119" t="str">
            <v>Mark</v>
          </cell>
          <cell r="E119" t="str">
            <v>Brian</v>
          </cell>
          <cell r="F119">
            <v>2013</v>
          </cell>
          <cell r="I119">
            <v>67</v>
          </cell>
          <cell r="J119">
            <v>-63</v>
          </cell>
          <cell r="K119" t="str">
            <v>L</v>
          </cell>
        </row>
        <row r="120">
          <cell r="A120" t="str">
            <v>2013Russell12</v>
          </cell>
          <cell r="D120" t="str">
            <v>Russell</v>
          </cell>
          <cell r="E120" t="str">
            <v>BR</v>
          </cell>
          <cell r="F120">
            <v>2013</v>
          </cell>
          <cell r="I120">
            <v>111</v>
          </cell>
          <cell r="J120">
            <v>36</v>
          </cell>
          <cell r="K120" t="str">
            <v>W</v>
          </cell>
        </row>
        <row r="121">
          <cell r="A121" t="str">
            <v>2013BR12</v>
          </cell>
          <cell r="D121" t="str">
            <v>BR</v>
          </cell>
          <cell r="E121" t="str">
            <v>Russell</v>
          </cell>
          <cell r="F121">
            <v>2013</v>
          </cell>
          <cell r="I121">
            <v>75</v>
          </cell>
          <cell r="J121">
            <v>-36</v>
          </cell>
          <cell r="K121" t="str">
            <v>L</v>
          </cell>
        </row>
        <row r="122">
          <cell r="A122" t="str">
            <v>2013Matt13</v>
          </cell>
          <cell r="D122" t="str">
            <v>Matt</v>
          </cell>
          <cell r="E122" t="str">
            <v>Michael</v>
          </cell>
          <cell r="F122">
            <v>2013</v>
          </cell>
          <cell r="I122">
            <v>76</v>
          </cell>
          <cell r="J122">
            <v>-12</v>
          </cell>
          <cell r="K122" t="str">
            <v>L</v>
          </cell>
        </row>
        <row r="123">
          <cell r="A123" t="str">
            <v>2013Michael13</v>
          </cell>
          <cell r="D123" t="str">
            <v>Michael</v>
          </cell>
          <cell r="E123" t="str">
            <v>Matt</v>
          </cell>
          <cell r="F123">
            <v>2013</v>
          </cell>
          <cell r="I123">
            <v>88</v>
          </cell>
          <cell r="J123">
            <v>12</v>
          </cell>
          <cell r="K123" t="str">
            <v>W</v>
          </cell>
        </row>
        <row r="124">
          <cell r="A124" t="str">
            <v>2013Brian13</v>
          </cell>
          <cell r="D124" t="str">
            <v>Brian</v>
          </cell>
          <cell r="E124" t="str">
            <v>Abby</v>
          </cell>
          <cell r="F124">
            <v>2013</v>
          </cell>
          <cell r="I124">
            <v>119</v>
          </cell>
          <cell r="J124">
            <v>30</v>
          </cell>
          <cell r="K124" t="str">
            <v>W</v>
          </cell>
        </row>
        <row r="125">
          <cell r="A125" t="str">
            <v>2013Abby13</v>
          </cell>
          <cell r="D125" t="str">
            <v>Abby</v>
          </cell>
          <cell r="E125" t="str">
            <v>Brian</v>
          </cell>
          <cell r="F125">
            <v>2013</v>
          </cell>
          <cell r="I125">
            <v>89</v>
          </cell>
          <cell r="J125">
            <v>-30</v>
          </cell>
          <cell r="K125" t="str">
            <v>L</v>
          </cell>
        </row>
        <row r="126">
          <cell r="A126" t="str">
            <v>2013Emily13</v>
          </cell>
          <cell r="D126" t="str">
            <v>Emily</v>
          </cell>
          <cell r="E126" t="str">
            <v>David</v>
          </cell>
          <cell r="F126">
            <v>2013</v>
          </cell>
          <cell r="I126">
            <v>64</v>
          </cell>
          <cell r="J126">
            <v>4</v>
          </cell>
          <cell r="K126" t="str">
            <v>W</v>
          </cell>
        </row>
        <row r="127">
          <cell r="A127" t="str">
            <v>2013David13</v>
          </cell>
          <cell r="D127" t="str">
            <v>David</v>
          </cell>
          <cell r="E127" t="str">
            <v>Emily</v>
          </cell>
          <cell r="F127">
            <v>2013</v>
          </cell>
          <cell r="I127">
            <v>60</v>
          </cell>
          <cell r="J127">
            <v>-4</v>
          </cell>
          <cell r="K127" t="str">
            <v>L</v>
          </cell>
        </row>
        <row r="128">
          <cell r="A128" t="str">
            <v>2013BR13</v>
          </cell>
          <cell r="D128" t="str">
            <v>BR</v>
          </cell>
          <cell r="E128" t="str">
            <v>Mark</v>
          </cell>
          <cell r="F128">
            <v>2013</v>
          </cell>
          <cell r="I128">
            <v>74</v>
          </cell>
          <cell r="J128">
            <v>21</v>
          </cell>
          <cell r="K128" t="str">
            <v>W</v>
          </cell>
        </row>
        <row r="129">
          <cell r="A129" t="str">
            <v>2013Mark13</v>
          </cell>
          <cell r="D129" t="str">
            <v>Mark</v>
          </cell>
          <cell r="E129" t="str">
            <v>BR</v>
          </cell>
          <cell r="F129">
            <v>2013</v>
          </cell>
          <cell r="I129">
            <v>53</v>
          </cell>
          <cell r="J129">
            <v>-21</v>
          </cell>
          <cell r="K129" t="str">
            <v>L</v>
          </cell>
        </row>
        <row r="130">
          <cell r="A130" t="str">
            <v>2013Russell13</v>
          </cell>
          <cell r="D130" t="str">
            <v>Russell</v>
          </cell>
          <cell r="E130" t="str">
            <v>Watty</v>
          </cell>
          <cell r="F130">
            <v>2013</v>
          </cell>
          <cell r="I130">
            <v>127</v>
          </cell>
          <cell r="J130">
            <v>27</v>
          </cell>
          <cell r="K130" t="str">
            <v>W</v>
          </cell>
        </row>
        <row r="131">
          <cell r="A131" t="str">
            <v>2013Watty13</v>
          </cell>
          <cell r="D131" t="str">
            <v>Watty</v>
          </cell>
          <cell r="E131" t="str">
            <v>Russell</v>
          </cell>
          <cell r="F131">
            <v>2013</v>
          </cell>
          <cell r="I131">
            <v>100</v>
          </cell>
          <cell r="J131">
            <v>-27</v>
          </cell>
          <cell r="K131" t="str">
            <v>L</v>
          </cell>
        </row>
        <row r="132">
          <cell r="A132" t="str">
            <v>2014Michael1</v>
          </cell>
          <cell r="D132" t="str">
            <v>Michael</v>
          </cell>
          <cell r="E132" t="str">
            <v>Matt</v>
          </cell>
          <cell r="F132">
            <v>2014</v>
          </cell>
          <cell r="I132">
            <v>70</v>
          </cell>
          <cell r="J132">
            <v>-12</v>
          </cell>
          <cell r="K132" t="str">
            <v>L</v>
          </cell>
        </row>
        <row r="133">
          <cell r="A133" t="str">
            <v>2014Matt1</v>
          </cell>
          <cell r="D133" t="str">
            <v>Matt</v>
          </cell>
          <cell r="E133" t="str">
            <v>Michael</v>
          </cell>
          <cell r="F133">
            <v>2014</v>
          </cell>
          <cell r="I133">
            <v>82</v>
          </cell>
          <cell r="J133">
            <v>12</v>
          </cell>
          <cell r="K133" t="str">
            <v>W</v>
          </cell>
        </row>
        <row r="134">
          <cell r="A134" t="str">
            <v>2014Mark1</v>
          </cell>
          <cell r="D134" t="str">
            <v>Mark</v>
          </cell>
          <cell r="E134" t="str">
            <v>Brian</v>
          </cell>
          <cell r="F134">
            <v>2014</v>
          </cell>
          <cell r="I134">
            <v>105</v>
          </cell>
          <cell r="J134">
            <v>10</v>
          </cell>
          <cell r="K134" t="str">
            <v>W</v>
          </cell>
        </row>
        <row r="135">
          <cell r="A135" t="str">
            <v>2014Brian1</v>
          </cell>
          <cell r="D135" t="str">
            <v>Brian</v>
          </cell>
          <cell r="E135" t="str">
            <v>Mark</v>
          </cell>
          <cell r="F135">
            <v>2014</v>
          </cell>
          <cell r="I135">
            <v>95</v>
          </cell>
          <cell r="J135">
            <v>-10</v>
          </cell>
          <cell r="K135" t="str">
            <v>L</v>
          </cell>
        </row>
        <row r="136">
          <cell r="A136" t="str">
            <v>2014BR1</v>
          </cell>
          <cell r="D136" t="str">
            <v>BR</v>
          </cell>
          <cell r="E136" t="str">
            <v>Abby</v>
          </cell>
          <cell r="F136">
            <v>2014</v>
          </cell>
          <cell r="I136">
            <v>99</v>
          </cell>
          <cell r="J136">
            <v>22</v>
          </cell>
          <cell r="K136" t="str">
            <v>W</v>
          </cell>
        </row>
        <row r="137">
          <cell r="A137" t="str">
            <v>2014Abby1</v>
          </cell>
          <cell r="D137" t="str">
            <v>Abby</v>
          </cell>
          <cell r="E137" t="str">
            <v>BR</v>
          </cell>
          <cell r="F137">
            <v>2014</v>
          </cell>
          <cell r="I137">
            <v>77</v>
          </cell>
          <cell r="J137">
            <v>-22</v>
          </cell>
          <cell r="K137" t="str">
            <v>L</v>
          </cell>
        </row>
        <row r="138">
          <cell r="A138" t="str">
            <v>2014Watty1</v>
          </cell>
          <cell r="D138" t="str">
            <v>Watty</v>
          </cell>
          <cell r="E138" t="str">
            <v>Russell</v>
          </cell>
          <cell r="F138">
            <v>2014</v>
          </cell>
          <cell r="I138">
            <v>85</v>
          </cell>
          <cell r="J138">
            <v>-2</v>
          </cell>
          <cell r="K138" t="str">
            <v>L</v>
          </cell>
        </row>
        <row r="139">
          <cell r="A139" t="str">
            <v>2014Russell1</v>
          </cell>
          <cell r="D139" t="str">
            <v>Russell</v>
          </cell>
          <cell r="E139" t="str">
            <v>Watty</v>
          </cell>
          <cell r="F139">
            <v>2014</v>
          </cell>
          <cell r="I139">
            <v>87</v>
          </cell>
          <cell r="J139">
            <v>2</v>
          </cell>
          <cell r="K139" t="str">
            <v>W</v>
          </cell>
        </row>
        <row r="140">
          <cell r="A140" t="str">
            <v>2014David1</v>
          </cell>
          <cell r="D140" t="str">
            <v>David</v>
          </cell>
          <cell r="E140" t="str">
            <v>Emily</v>
          </cell>
          <cell r="F140">
            <v>2014</v>
          </cell>
          <cell r="I140">
            <v>108</v>
          </cell>
          <cell r="J140">
            <v>-10</v>
          </cell>
          <cell r="K140" t="str">
            <v>L</v>
          </cell>
        </row>
        <row r="141">
          <cell r="A141" t="str">
            <v>2014Emily1</v>
          </cell>
          <cell r="D141" t="str">
            <v>Emily</v>
          </cell>
          <cell r="E141" t="str">
            <v>David</v>
          </cell>
          <cell r="F141">
            <v>2014</v>
          </cell>
          <cell r="I141">
            <v>118</v>
          </cell>
          <cell r="J141">
            <v>10</v>
          </cell>
          <cell r="K141" t="str">
            <v>W</v>
          </cell>
        </row>
        <row r="142">
          <cell r="A142" t="str">
            <v>2014Mark2</v>
          </cell>
          <cell r="D142" t="str">
            <v>Mark</v>
          </cell>
          <cell r="E142" t="str">
            <v>Michael</v>
          </cell>
          <cell r="F142">
            <v>2014</v>
          </cell>
          <cell r="I142">
            <v>86</v>
          </cell>
          <cell r="J142">
            <v>27</v>
          </cell>
          <cell r="K142" t="str">
            <v>W</v>
          </cell>
        </row>
        <row r="143">
          <cell r="A143" t="str">
            <v>2014Michael2</v>
          </cell>
          <cell r="D143" t="str">
            <v>Michael</v>
          </cell>
          <cell r="E143" t="str">
            <v>Mark</v>
          </cell>
          <cell r="F143">
            <v>2014</v>
          </cell>
          <cell r="I143">
            <v>59</v>
          </cell>
          <cell r="J143">
            <v>-27</v>
          </cell>
          <cell r="K143" t="str">
            <v>L</v>
          </cell>
        </row>
        <row r="144">
          <cell r="A144" t="str">
            <v>2014Russell2</v>
          </cell>
          <cell r="D144" t="str">
            <v>Russell</v>
          </cell>
          <cell r="E144" t="str">
            <v>BR</v>
          </cell>
          <cell r="F144">
            <v>2014</v>
          </cell>
          <cell r="I144">
            <v>80</v>
          </cell>
          <cell r="J144">
            <v>-8</v>
          </cell>
          <cell r="K144" t="str">
            <v>L</v>
          </cell>
        </row>
        <row r="145">
          <cell r="A145" t="str">
            <v>2014BR2</v>
          </cell>
          <cell r="D145" t="str">
            <v>BR</v>
          </cell>
          <cell r="E145" t="str">
            <v>Russell</v>
          </cell>
          <cell r="F145">
            <v>2014</v>
          </cell>
          <cell r="I145">
            <v>88</v>
          </cell>
          <cell r="J145">
            <v>8</v>
          </cell>
          <cell r="K145" t="str">
            <v>W</v>
          </cell>
        </row>
        <row r="146">
          <cell r="A146" t="str">
            <v>2014Watty2</v>
          </cell>
          <cell r="D146" t="str">
            <v>Watty</v>
          </cell>
          <cell r="E146" t="str">
            <v>Abby</v>
          </cell>
          <cell r="F146">
            <v>2014</v>
          </cell>
          <cell r="I146">
            <v>59</v>
          </cell>
          <cell r="J146">
            <v>-26</v>
          </cell>
          <cell r="K146" t="str">
            <v>L</v>
          </cell>
        </row>
        <row r="147">
          <cell r="A147" t="str">
            <v>2014Abby2</v>
          </cell>
          <cell r="D147" t="str">
            <v>Abby</v>
          </cell>
          <cell r="E147" t="str">
            <v>Watty</v>
          </cell>
          <cell r="F147">
            <v>2014</v>
          </cell>
          <cell r="I147">
            <v>85</v>
          </cell>
          <cell r="J147">
            <v>26</v>
          </cell>
          <cell r="K147" t="str">
            <v>W</v>
          </cell>
        </row>
        <row r="148">
          <cell r="A148" t="str">
            <v>2014Brian2</v>
          </cell>
          <cell r="D148" t="str">
            <v>Brian</v>
          </cell>
          <cell r="E148" t="str">
            <v>David</v>
          </cell>
          <cell r="F148">
            <v>2014</v>
          </cell>
          <cell r="I148">
            <v>109</v>
          </cell>
          <cell r="J148">
            <v>20</v>
          </cell>
          <cell r="K148" t="str">
            <v>W</v>
          </cell>
        </row>
        <row r="149">
          <cell r="A149" t="str">
            <v>2014David2</v>
          </cell>
          <cell r="D149" t="str">
            <v>David</v>
          </cell>
          <cell r="E149" t="str">
            <v>Brian</v>
          </cell>
          <cell r="F149">
            <v>2014</v>
          </cell>
          <cell r="I149">
            <v>89</v>
          </cell>
          <cell r="J149">
            <v>-20</v>
          </cell>
          <cell r="K149" t="str">
            <v>L</v>
          </cell>
        </row>
        <row r="150">
          <cell r="A150" t="str">
            <v>2014Matt2</v>
          </cell>
          <cell r="D150" t="str">
            <v>Matt</v>
          </cell>
          <cell r="E150" t="str">
            <v>Emily</v>
          </cell>
          <cell r="F150">
            <v>2014</v>
          </cell>
          <cell r="I150">
            <v>93</v>
          </cell>
          <cell r="J150">
            <v>24</v>
          </cell>
          <cell r="K150" t="str">
            <v>W</v>
          </cell>
        </row>
        <row r="151">
          <cell r="A151" t="str">
            <v>2014Emily2</v>
          </cell>
          <cell r="D151" t="str">
            <v>Emily</v>
          </cell>
          <cell r="E151" t="str">
            <v>Matt</v>
          </cell>
          <cell r="F151">
            <v>2014</v>
          </cell>
          <cell r="I151">
            <v>69</v>
          </cell>
          <cell r="J151">
            <v>-24</v>
          </cell>
          <cell r="K151" t="str">
            <v>L</v>
          </cell>
        </row>
        <row r="152">
          <cell r="A152" t="str">
            <v>2014Emily3</v>
          </cell>
          <cell r="D152" t="str">
            <v>Emily</v>
          </cell>
          <cell r="E152" t="str">
            <v>Michael</v>
          </cell>
          <cell r="F152">
            <v>2014</v>
          </cell>
          <cell r="I152">
            <v>75</v>
          </cell>
          <cell r="J152">
            <v>-7</v>
          </cell>
          <cell r="K152" t="str">
            <v>L</v>
          </cell>
        </row>
        <row r="153">
          <cell r="A153" t="str">
            <v>2014Michael3</v>
          </cell>
          <cell r="D153" t="str">
            <v>Michael</v>
          </cell>
          <cell r="E153" t="str">
            <v>Emily</v>
          </cell>
          <cell r="F153">
            <v>2014</v>
          </cell>
          <cell r="I153">
            <v>82</v>
          </cell>
          <cell r="J153">
            <v>7</v>
          </cell>
          <cell r="K153" t="str">
            <v>W</v>
          </cell>
        </row>
        <row r="154">
          <cell r="A154" t="str">
            <v>2014Abby3</v>
          </cell>
          <cell r="D154" t="str">
            <v>Abby</v>
          </cell>
          <cell r="E154" t="str">
            <v>Mark</v>
          </cell>
          <cell r="F154">
            <v>2014</v>
          </cell>
          <cell r="I154">
            <v>54</v>
          </cell>
          <cell r="J154">
            <v>-44</v>
          </cell>
          <cell r="K154" t="str">
            <v>L</v>
          </cell>
        </row>
        <row r="155">
          <cell r="A155" t="str">
            <v>2014Mark3</v>
          </cell>
          <cell r="D155" t="str">
            <v>Mark</v>
          </cell>
          <cell r="E155" t="str">
            <v>Abby</v>
          </cell>
          <cell r="F155">
            <v>2014</v>
          </cell>
          <cell r="I155">
            <v>98</v>
          </cell>
          <cell r="J155">
            <v>44</v>
          </cell>
          <cell r="K155" t="str">
            <v>W</v>
          </cell>
        </row>
        <row r="156">
          <cell r="A156" t="str">
            <v>2014Brian3</v>
          </cell>
          <cell r="D156" t="str">
            <v>Brian</v>
          </cell>
          <cell r="E156" t="str">
            <v>Watty</v>
          </cell>
          <cell r="F156">
            <v>2014</v>
          </cell>
          <cell r="I156">
            <v>70</v>
          </cell>
          <cell r="J156">
            <v>-28</v>
          </cell>
          <cell r="K156" t="str">
            <v>L</v>
          </cell>
        </row>
        <row r="157">
          <cell r="A157" t="str">
            <v>2014Watty3</v>
          </cell>
          <cell r="D157" t="str">
            <v>Watty</v>
          </cell>
          <cell r="E157" t="str">
            <v>Brian</v>
          </cell>
          <cell r="F157">
            <v>2014</v>
          </cell>
          <cell r="I157">
            <v>98</v>
          </cell>
          <cell r="J157">
            <v>28</v>
          </cell>
          <cell r="K157" t="str">
            <v>W</v>
          </cell>
        </row>
        <row r="158">
          <cell r="A158" t="str">
            <v>2014BR3</v>
          </cell>
          <cell r="D158" t="str">
            <v>BR</v>
          </cell>
          <cell r="E158" t="str">
            <v>David</v>
          </cell>
          <cell r="F158">
            <v>2014</v>
          </cell>
          <cell r="I158">
            <v>84</v>
          </cell>
          <cell r="J158">
            <v>-2</v>
          </cell>
          <cell r="K158" t="str">
            <v>L</v>
          </cell>
        </row>
        <row r="159">
          <cell r="A159" t="str">
            <v>2014David3</v>
          </cell>
          <cell r="D159" t="str">
            <v>David</v>
          </cell>
          <cell r="E159" t="str">
            <v>BR</v>
          </cell>
          <cell r="F159">
            <v>2014</v>
          </cell>
          <cell r="I159">
            <v>86</v>
          </cell>
          <cell r="J159">
            <v>2</v>
          </cell>
          <cell r="K159" t="str">
            <v>W</v>
          </cell>
        </row>
        <row r="160">
          <cell r="A160" t="str">
            <v>2014Matt3</v>
          </cell>
          <cell r="D160" t="str">
            <v>Matt</v>
          </cell>
          <cell r="E160" t="str">
            <v>Russell</v>
          </cell>
          <cell r="F160">
            <v>2014</v>
          </cell>
          <cell r="I160">
            <v>60</v>
          </cell>
          <cell r="J160">
            <v>-13</v>
          </cell>
          <cell r="K160" t="str">
            <v>L</v>
          </cell>
        </row>
        <row r="161">
          <cell r="A161" t="str">
            <v>2014Russell3</v>
          </cell>
          <cell r="D161" t="str">
            <v>Russell</v>
          </cell>
          <cell r="E161" t="str">
            <v>Matt</v>
          </cell>
          <cell r="F161">
            <v>2014</v>
          </cell>
          <cell r="I161">
            <v>73</v>
          </cell>
          <cell r="J161">
            <v>13</v>
          </cell>
          <cell r="K161" t="str">
            <v>W</v>
          </cell>
        </row>
        <row r="162">
          <cell r="A162" t="str">
            <v>2014Michael4</v>
          </cell>
          <cell r="D162" t="str">
            <v>Michael</v>
          </cell>
          <cell r="E162" t="str">
            <v>Russell</v>
          </cell>
          <cell r="F162">
            <v>2014</v>
          </cell>
          <cell r="I162">
            <v>96</v>
          </cell>
          <cell r="J162">
            <v>3</v>
          </cell>
          <cell r="K162" t="str">
            <v>W</v>
          </cell>
        </row>
        <row r="163">
          <cell r="A163" t="str">
            <v>2014Russell4</v>
          </cell>
          <cell r="D163" t="str">
            <v>Russell</v>
          </cell>
          <cell r="E163" t="str">
            <v>Michael</v>
          </cell>
          <cell r="F163">
            <v>2014</v>
          </cell>
          <cell r="I163">
            <v>93</v>
          </cell>
          <cell r="J163">
            <v>-3</v>
          </cell>
          <cell r="K163" t="str">
            <v>L</v>
          </cell>
        </row>
        <row r="164">
          <cell r="A164" t="str">
            <v>2014David4</v>
          </cell>
          <cell r="D164" t="str">
            <v>David</v>
          </cell>
          <cell r="E164" t="str">
            <v>Matt</v>
          </cell>
          <cell r="F164">
            <v>2014</v>
          </cell>
          <cell r="I164">
            <v>126</v>
          </cell>
          <cell r="J164">
            <v>64</v>
          </cell>
          <cell r="K164" t="str">
            <v>W</v>
          </cell>
        </row>
        <row r="165">
          <cell r="A165" t="str">
            <v>2014Matt4</v>
          </cell>
          <cell r="D165" t="str">
            <v>Matt</v>
          </cell>
          <cell r="E165" t="str">
            <v>David</v>
          </cell>
          <cell r="F165">
            <v>2014</v>
          </cell>
          <cell r="I165">
            <v>62</v>
          </cell>
          <cell r="J165">
            <v>-64</v>
          </cell>
          <cell r="K165" t="str">
            <v>L</v>
          </cell>
        </row>
        <row r="166">
          <cell r="A166" t="str">
            <v>2014Mark4</v>
          </cell>
          <cell r="D166" t="str">
            <v>Mark</v>
          </cell>
          <cell r="E166" t="str">
            <v>Watty</v>
          </cell>
          <cell r="F166">
            <v>2014</v>
          </cell>
          <cell r="I166">
            <v>115</v>
          </cell>
          <cell r="J166">
            <v>17</v>
          </cell>
          <cell r="K166" t="str">
            <v>W</v>
          </cell>
        </row>
        <row r="167">
          <cell r="A167" t="str">
            <v>2014Watty4</v>
          </cell>
          <cell r="D167" t="str">
            <v>Watty</v>
          </cell>
          <cell r="E167" t="str">
            <v>Mark</v>
          </cell>
          <cell r="F167">
            <v>2014</v>
          </cell>
          <cell r="I167">
            <v>98</v>
          </cell>
          <cell r="J167">
            <v>-17</v>
          </cell>
          <cell r="K167" t="str">
            <v>L</v>
          </cell>
        </row>
        <row r="168">
          <cell r="A168" t="str">
            <v>2014Abby4</v>
          </cell>
          <cell r="D168" t="str">
            <v>Abby</v>
          </cell>
          <cell r="E168" t="str">
            <v>Emily</v>
          </cell>
          <cell r="F168">
            <v>2014</v>
          </cell>
          <cell r="I168">
            <v>43</v>
          </cell>
          <cell r="J168">
            <v>-31</v>
          </cell>
          <cell r="K168" t="str">
            <v>L</v>
          </cell>
        </row>
        <row r="169">
          <cell r="A169" t="str">
            <v>2014Emily4</v>
          </cell>
          <cell r="D169" t="str">
            <v>Emily</v>
          </cell>
          <cell r="E169" t="str">
            <v>Abby</v>
          </cell>
          <cell r="F169">
            <v>2014</v>
          </cell>
          <cell r="I169">
            <v>74</v>
          </cell>
          <cell r="J169">
            <v>31</v>
          </cell>
          <cell r="K169" t="str">
            <v>W</v>
          </cell>
        </row>
        <row r="170">
          <cell r="A170" t="str">
            <v>2014BR4</v>
          </cell>
          <cell r="D170" t="str">
            <v>BR</v>
          </cell>
          <cell r="E170" t="str">
            <v>Brian</v>
          </cell>
          <cell r="F170">
            <v>2014</v>
          </cell>
          <cell r="I170">
            <v>89</v>
          </cell>
          <cell r="J170">
            <v>21</v>
          </cell>
          <cell r="K170" t="str">
            <v>W</v>
          </cell>
        </row>
        <row r="171">
          <cell r="A171" t="str">
            <v>2014Brian4</v>
          </cell>
          <cell r="D171" t="str">
            <v>Brian</v>
          </cell>
          <cell r="E171" t="str">
            <v>BR</v>
          </cell>
          <cell r="F171">
            <v>2014</v>
          </cell>
          <cell r="I171">
            <v>68</v>
          </cell>
          <cell r="J171">
            <v>-21</v>
          </cell>
          <cell r="K171" t="str">
            <v>L</v>
          </cell>
        </row>
        <row r="172">
          <cell r="A172" t="str">
            <v>2014Michael5</v>
          </cell>
          <cell r="D172" t="str">
            <v>Michael</v>
          </cell>
          <cell r="E172" t="str">
            <v>David</v>
          </cell>
          <cell r="F172">
            <v>2014</v>
          </cell>
          <cell r="I172">
            <v>71</v>
          </cell>
          <cell r="J172">
            <v>-27</v>
          </cell>
          <cell r="K172" t="str">
            <v>L</v>
          </cell>
        </row>
        <row r="173">
          <cell r="A173" t="str">
            <v>2014David5</v>
          </cell>
          <cell r="D173" t="str">
            <v>David</v>
          </cell>
          <cell r="E173" t="str">
            <v>Michael</v>
          </cell>
          <cell r="F173">
            <v>2014</v>
          </cell>
          <cell r="I173">
            <v>98</v>
          </cell>
          <cell r="J173">
            <v>27</v>
          </cell>
          <cell r="K173" t="str">
            <v>W</v>
          </cell>
        </row>
        <row r="174">
          <cell r="A174" t="str">
            <v>2014Russell5</v>
          </cell>
          <cell r="D174" t="str">
            <v>Russell</v>
          </cell>
          <cell r="E174" t="str">
            <v>Emily</v>
          </cell>
          <cell r="F174">
            <v>2014</v>
          </cell>
          <cell r="I174">
            <v>100</v>
          </cell>
          <cell r="J174">
            <v>40</v>
          </cell>
          <cell r="K174" t="str">
            <v>W</v>
          </cell>
        </row>
        <row r="175">
          <cell r="A175" t="str">
            <v>2014Emily5</v>
          </cell>
          <cell r="D175" t="str">
            <v>Emily</v>
          </cell>
          <cell r="E175" t="str">
            <v>Russell</v>
          </cell>
          <cell r="F175">
            <v>2014</v>
          </cell>
          <cell r="I175">
            <v>60</v>
          </cell>
          <cell r="J175">
            <v>-40</v>
          </cell>
          <cell r="K175" t="str">
            <v>L</v>
          </cell>
        </row>
        <row r="176">
          <cell r="A176" t="str">
            <v>2014Mark5</v>
          </cell>
          <cell r="D176" t="str">
            <v>Mark</v>
          </cell>
          <cell r="E176" t="str">
            <v>BR</v>
          </cell>
          <cell r="F176">
            <v>2014</v>
          </cell>
          <cell r="I176">
            <v>81</v>
          </cell>
          <cell r="J176">
            <v>13</v>
          </cell>
          <cell r="K176" t="str">
            <v>W</v>
          </cell>
        </row>
        <row r="177">
          <cell r="A177" t="str">
            <v>2014BR5</v>
          </cell>
          <cell r="D177" t="str">
            <v>BR</v>
          </cell>
          <cell r="E177" t="str">
            <v>Mark</v>
          </cell>
          <cell r="F177">
            <v>2014</v>
          </cell>
          <cell r="I177">
            <v>68</v>
          </cell>
          <cell r="J177">
            <v>-13</v>
          </cell>
          <cell r="K177" t="str">
            <v>L</v>
          </cell>
        </row>
        <row r="178">
          <cell r="A178" t="str">
            <v>2014Brian5</v>
          </cell>
          <cell r="D178" t="str">
            <v>Brian</v>
          </cell>
          <cell r="E178" t="str">
            <v>Matt</v>
          </cell>
          <cell r="F178">
            <v>2014</v>
          </cell>
          <cell r="I178">
            <v>120</v>
          </cell>
          <cell r="J178">
            <v>31</v>
          </cell>
          <cell r="K178" t="str">
            <v>W</v>
          </cell>
        </row>
        <row r="179">
          <cell r="A179" t="str">
            <v>2014Matt5</v>
          </cell>
          <cell r="D179" t="str">
            <v>Matt</v>
          </cell>
          <cell r="E179" t="str">
            <v>Brian</v>
          </cell>
          <cell r="F179">
            <v>2014</v>
          </cell>
          <cell r="I179">
            <v>89</v>
          </cell>
          <cell r="J179">
            <v>-31</v>
          </cell>
          <cell r="K179" t="str">
            <v>L</v>
          </cell>
        </row>
        <row r="180">
          <cell r="A180" t="str">
            <v>2014Watty5</v>
          </cell>
          <cell r="D180" t="str">
            <v>Watty</v>
          </cell>
          <cell r="E180" t="str">
            <v>Abby</v>
          </cell>
          <cell r="F180">
            <v>2014</v>
          </cell>
          <cell r="I180">
            <v>99</v>
          </cell>
          <cell r="J180">
            <v>18</v>
          </cell>
          <cell r="K180" t="str">
            <v>W</v>
          </cell>
        </row>
        <row r="181">
          <cell r="A181" t="str">
            <v>2014Abby5</v>
          </cell>
          <cell r="D181" t="str">
            <v>Abby</v>
          </cell>
          <cell r="E181" t="str">
            <v>Watty</v>
          </cell>
          <cell r="F181">
            <v>2014</v>
          </cell>
          <cell r="I181">
            <v>81</v>
          </cell>
          <cell r="J181">
            <v>-18</v>
          </cell>
          <cell r="K181" t="str">
            <v>L</v>
          </cell>
        </row>
        <row r="182">
          <cell r="A182" t="str">
            <v>2014Michael6</v>
          </cell>
          <cell r="D182" t="str">
            <v>Michael</v>
          </cell>
          <cell r="E182" t="str">
            <v>Watty</v>
          </cell>
          <cell r="F182">
            <v>2014</v>
          </cell>
          <cell r="I182">
            <v>77</v>
          </cell>
          <cell r="J182">
            <v>-4</v>
          </cell>
          <cell r="K182" t="str">
            <v>L</v>
          </cell>
        </row>
        <row r="183">
          <cell r="A183" t="str">
            <v>2014Watty6</v>
          </cell>
          <cell r="D183" t="str">
            <v>Watty</v>
          </cell>
          <cell r="E183" t="str">
            <v>Michael</v>
          </cell>
          <cell r="F183">
            <v>2014</v>
          </cell>
          <cell r="I183">
            <v>81</v>
          </cell>
          <cell r="J183">
            <v>4</v>
          </cell>
          <cell r="K183" t="str">
            <v>W</v>
          </cell>
        </row>
        <row r="184">
          <cell r="A184" t="str">
            <v>2014Emily6</v>
          </cell>
          <cell r="D184" t="str">
            <v>Emily</v>
          </cell>
          <cell r="E184" t="str">
            <v>BR</v>
          </cell>
          <cell r="F184">
            <v>2014</v>
          </cell>
          <cell r="I184">
            <v>79</v>
          </cell>
          <cell r="J184">
            <v>0</v>
          </cell>
          <cell r="K184" t="str">
            <v>T</v>
          </cell>
        </row>
        <row r="185">
          <cell r="A185" t="str">
            <v>2014BR6</v>
          </cell>
          <cell r="D185" t="str">
            <v>BR</v>
          </cell>
          <cell r="E185" t="str">
            <v>Emily</v>
          </cell>
          <cell r="F185">
            <v>2014</v>
          </cell>
          <cell r="I185">
            <v>79</v>
          </cell>
          <cell r="J185">
            <v>0</v>
          </cell>
          <cell r="K185" t="str">
            <v>T</v>
          </cell>
        </row>
        <row r="186">
          <cell r="A186" t="str">
            <v>2014Russell6</v>
          </cell>
          <cell r="D186" t="str">
            <v>Russell</v>
          </cell>
          <cell r="E186" t="str">
            <v>Brian</v>
          </cell>
          <cell r="F186">
            <v>2014</v>
          </cell>
          <cell r="I186">
            <v>129</v>
          </cell>
          <cell r="J186">
            <v>-20</v>
          </cell>
          <cell r="K186" t="str">
            <v>L</v>
          </cell>
        </row>
        <row r="187">
          <cell r="A187" t="str">
            <v>2014Brian6</v>
          </cell>
          <cell r="D187" t="str">
            <v>Brian</v>
          </cell>
          <cell r="E187" t="str">
            <v>Russell</v>
          </cell>
          <cell r="F187">
            <v>2014</v>
          </cell>
          <cell r="I187">
            <v>149</v>
          </cell>
          <cell r="J187">
            <v>20</v>
          </cell>
          <cell r="K187" t="str">
            <v>W</v>
          </cell>
        </row>
        <row r="188">
          <cell r="A188" t="str">
            <v>2014David6</v>
          </cell>
          <cell r="D188" t="str">
            <v>David</v>
          </cell>
          <cell r="E188" t="str">
            <v>Mark</v>
          </cell>
          <cell r="F188">
            <v>2014</v>
          </cell>
          <cell r="I188">
            <v>119</v>
          </cell>
          <cell r="J188">
            <v>25</v>
          </cell>
          <cell r="K188" t="str">
            <v>W</v>
          </cell>
        </row>
        <row r="189">
          <cell r="A189" t="str">
            <v>2014Mark6</v>
          </cell>
          <cell r="D189" t="str">
            <v>Mark</v>
          </cell>
          <cell r="E189" t="str">
            <v>David</v>
          </cell>
          <cell r="F189">
            <v>2014</v>
          </cell>
          <cell r="I189">
            <v>94</v>
          </cell>
          <cell r="J189">
            <v>-25</v>
          </cell>
          <cell r="K189" t="str">
            <v>L</v>
          </cell>
        </row>
        <row r="190">
          <cell r="A190" t="str">
            <v>2014Matt6</v>
          </cell>
          <cell r="D190" t="str">
            <v>Matt</v>
          </cell>
          <cell r="E190" t="str">
            <v>Abby</v>
          </cell>
          <cell r="F190">
            <v>2014</v>
          </cell>
          <cell r="I190">
            <v>79</v>
          </cell>
          <cell r="J190">
            <v>6</v>
          </cell>
          <cell r="K190" t="str">
            <v>W</v>
          </cell>
        </row>
        <row r="191">
          <cell r="A191" t="str">
            <v>2014Abby6</v>
          </cell>
          <cell r="D191" t="str">
            <v>Abby</v>
          </cell>
          <cell r="E191" t="str">
            <v>Matt</v>
          </cell>
          <cell r="F191">
            <v>2014</v>
          </cell>
          <cell r="I191">
            <v>73</v>
          </cell>
          <cell r="J191">
            <v>-6</v>
          </cell>
          <cell r="K191" t="str">
            <v>L</v>
          </cell>
        </row>
        <row r="192">
          <cell r="A192" t="str">
            <v>2014Brian7</v>
          </cell>
          <cell r="D192" t="str">
            <v>Brian</v>
          </cell>
          <cell r="E192" t="str">
            <v>Michael</v>
          </cell>
          <cell r="F192">
            <v>2014</v>
          </cell>
          <cell r="I192">
            <v>77</v>
          </cell>
          <cell r="J192">
            <v>1</v>
          </cell>
          <cell r="K192" t="str">
            <v>W</v>
          </cell>
        </row>
        <row r="193">
          <cell r="A193" t="str">
            <v>2014Michael7</v>
          </cell>
          <cell r="D193" t="str">
            <v>Michael</v>
          </cell>
          <cell r="E193" t="str">
            <v>Brian</v>
          </cell>
          <cell r="F193">
            <v>2014</v>
          </cell>
          <cell r="I193">
            <v>76</v>
          </cell>
          <cell r="J193">
            <v>-1</v>
          </cell>
          <cell r="K193" t="str">
            <v>L</v>
          </cell>
        </row>
        <row r="194">
          <cell r="A194" t="str">
            <v>2014Mark7</v>
          </cell>
          <cell r="D194" t="str">
            <v>Mark</v>
          </cell>
          <cell r="E194" t="str">
            <v>Emily</v>
          </cell>
          <cell r="F194">
            <v>2014</v>
          </cell>
          <cell r="I194">
            <v>86</v>
          </cell>
          <cell r="J194">
            <v>36</v>
          </cell>
          <cell r="K194" t="str">
            <v>W</v>
          </cell>
        </row>
        <row r="195">
          <cell r="A195" t="str">
            <v>2014Emily7</v>
          </cell>
          <cell r="D195" t="str">
            <v>Emily</v>
          </cell>
          <cell r="E195" t="str">
            <v>Mark</v>
          </cell>
          <cell r="F195">
            <v>2014</v>
          </cell>
          <cell r="I195">
            <v>50</v>
          </cell>
          <cell r="J195">
            <v>-36</v>
          </cell>
          <cell r="K195" t="str">
            <v>L</v>
          </cell>
        </row>
        <row r="196">
          <cell r="A196" t="str">
            <v>2014Abby7</v>
          </cell>
          <cell r="D196" t="str">
            <v>Abby</v>
          </cell>
          <cell r="E196" t="str">
            <v>Russell</v>
          </cell>
          <cell r="F196">
            <v>2014</v>
          </cell>
          <cell r="I196">
            <v>82</v>
          </cell>
          <cell r="J196">
            <v>13</v>
          </cell>
          <cell r="K196" t="str">
            <v>W</v>
          </cell>
        </row>
        <row r="197">
          <cell r="A197" t="str">
            <v>2014Russell7</v>
          </cell>
          <cell r="D197" t="str">
            <v>Russell</v>
          </cell>
          <cell r="E197" t="str">
            <v>Abby</v>
          </cell>
          <cell r="F197">
            <v>2014</v>
          </cell>
          <cell r="I197">
            <v>69</v>
          </cell>
          <cell r="J197">
            <v>-13</v>
          </cell>
          <cell r="K197" t="str">
            <v>L</v>
          </cell>
        </row>
        <row r="198">
          <cell r="A198" t="str">
            <v>2014Watty7</v>
          </cell>
          <cell r="D198" t="str">
            <v>Watty</v>
          </cell>
          <cell r="E198" t="str">
            <v>David</v>
          </cell>
          <cell r="F198">
            <v>2014</v>
          </cell>
          <cell r="I198">
            <v>110</v>
          </cell>
          <cell r="J198">
            <v>-5</v>
          </cell>
          <cell r="K198" t="str">
            <v>L</v>
          </cell>
        </row>
        <row r="199">
          <cell r="A199" t="str">
            <v>2014David7</v>
          </cell>
          <cell r="D199" t="str">
            <v>David</v>
          </cell>
          <cell r="E199" t="str">
            <v>Watty</v>
          </cell>
          <cell r="F199">
            <v>2014</v>
          </cell>
          <cell r="I199">
            <v>115</v>
          </cell>
          <cell r="J199">
            <v>5</v>
          </cell>
          <cell r="K199" t="str">
            <v>W</v>
          </cell>
        </row>
        <row r="200">
          <cell r="A200" t="str">
            <v>2014BR7</v>
          </cell>
          <cell r="D200" t="str">
            <v>BR</v>
          </cell>
          <cell r="E200" t="str">
            <v>Matt</v>
          </cell>
          <cell r="F200">
            <v>2014</v>
          </cell>
          <cell r="I200">
            <v>57</v>
          </cell>
          <cell r="J200">
            <v>-38</v>
          </cell>
          <cell r="K200" t="str">
            <v>L</v>
          </cell>
        </row>
        <row r="201">
          <cell r="A201" t="str">
            <v>2014Matt7</v>
          </cell>
          <cell r="D201" t="str">
            <v>Matt</v>
          </cell>
          <cell r="E201" t="str">
            <v>BR</v>
          </cell>
          <cell r="F201">
            <v>2014</v>
          </cell>
          <cell r="I201">
            <v>95</v>
          </cell>
          <cell r="J201">
            <v>38</v>
          </cell>
          <cell r="K201" t="str">
            <v>W</v>
          </cell>
        </row>
        <row r="202">
          <cell r="A202" t="str">
            <v>2014Michael8</v>
          </cell>
          <cell r="D202" t="str">
            <v>Michael</v>
          </cell>
          <cell r="E202" t="str">
            <v>Abby</v>
          </cell>
          <cell r="F202">
            <v>2014</v>
          </cell>
          <cell r="I202">
            <v>65</v>
          </cell>
          <cell r="J202">
            <v>-64</v>
          </cell>
          <cell r="K202" t="str">
            <v>L</v>
          </cell>
        </row>
        <row r="203">
          <cell r="A203" t="str">
            <v>2014Abby8</v>
          </cell>
          <cell r="D203" t="str">
            <v>Abby</v>
          </cell>
          <cell r="E203" t="str">
            <v>Michael</v>
          </cell>
          <cell r="F203">
            <v>2014</v>
          </cell>
          <cell r="I203">
            <v>129</v>
          </cell>
          <cell r="J203">
            <v>64</v>
          </cell>
          <cell r="K203" t="str">
            <v>W</v>
          </cell>
        </row>
        <row r="204">
          <cell r="A204" t="str">
            <v>2014Matt8</v>
          </cell>
          <cell r="D204" t="str">
            <v>Matt</v>
          </cell>
          <cell r="E204" t="str">
            <v>Mark</v>
          </cell>
          <cell r="F204">
            <v>2014</v>
          </cell>
          <cell r="I204">
            <v>84</v>
          </cell>
          <cell r="J204">
            <v>-29</v>
          </cell>
          <cell r="K204" t="str">
            <v>L</v>
          </cell>
        </row>
        <row r="205">
          <cell r="A205" t="str">
            <v>2014Mark8</v>
          </cell>
          <cell r="D205" t="str">
            <v>Mark</v>
          </cell>
          <cell r="E205" t="str">
            <v>Matt</v>
          </cell>
          <cell r="F205">
            <v>2014</v>
          </cell>
          <cell r="I205">
            <v>113</v>
          </cell>
          <cell r="J205">
            <v>29</v>
          </cell>
          <cell r="K205" t="str">
            <v>W</v>
          </cell>
        </row>
        <row r="206">
          <cell r="A206" t="str">
            <v>2014David8</v>
          </cell>
          <cell r="D206" t="str">
            <v>David</v>
          </cell>
          <cell r="E206" t="str">
            <v>Brian</v>
          </cell>
          <cell r="F206">
            <v>2014</v>
          </cell>
          <cell r="I206">
            <v>104</v>
          </cell>
          <cell r="J206">
            <v>13</v>
          </cell>
          <cell r="K206" t="str">
            <v>W</v>
          </cell>
        </row>
        <row r="207">
          <cell r="A207" t="str">
            <v>2014Brian8</v>
          </cell>
          <cell r="D207" t="str">
            <v>Brian</v>
          </cell>
          <cell r="E207" t="str">
            <v>David</v>
          </cell>
          <cell r="F207">
            <v>2014</v>
          </cell>
          <cell r="I207">
            <v>91</v>
          </cell>
          <cell r="J207">
            <v>-13</v>
          </cell>
          <cell r="K207" t="str">
            <v>L</v>
          </cell>
        </row>
        <row r="208">
          <cell r="A208" t="str">
            <v>2014Emily8</v>
          </cell>
          <cell r="D208" t="str">
            <v>Emily</v>
          </cell>
          <cell r="E208" t="str">
            <v>Watty</v>
          </cell>
          <cell r="F208">
            <v>2014</v>
          </cell>
          <cell r="I208">
            <v>85</v>
          </cell>
          <cell r="J208">
            <v>-72</v>
          </cell>
          <cell r="K208" t="str">
            <v>L</v>
          </cell>
        </row>
        <row r="209">
          <cell r="A209" t="str">
            <v>2014Watty8</v>
          </cell>
          <cell r="D209" t="str">
            <v>Watty</v>
          </cell>
          <cell r="E209" t="str">
            <v>Emily</v>
          </cell>
          <cell r="F209">
            <v>2014</v>
          </cell>
          <cell r="I209">
            <v>157</v>
          </cell>
          <cell r="J209">
            <v>72</v>
          </cell>
          <cell r="K209" t="str">
            <v>W</v>
          </cell>
        </row>
        <row r="210">
          <cell r="A210" t="str">
            <v>2014Russell8</v>
          </cell>
          <cell r="D210" t="str">
            <v>Russell</v>
          </cell>
          <cell r="E210" t="str">
            <v>BR</v>
          </cell>
          <cell r="F210">
            <v>2014</v>
          </cell>
          <cell r="I210">
            <v>98</v>
          </cell>
          <cell r="J210">
            <v>40</v>
          </cell>
          <cell r="K210" t="str">
            <v>W</v>
          </cell>
        </row>
        <row r="211">
          <cell r="A211" t="str">
            <v>2014BR8</v>
          </cell>
          <cell r="D211" t="str">
            <v>BR</v>
          </cell>
          <cell r="E211" t="str">
            <v>Russell</v>
          </cell>
          <cell r="F211">
            <v>2014</v>
          </cell>
          <cell r="I211">
            <v>58</v>
          </cell>
          <cell r="J211">
            <v>-40</v>
          </cell>
          <cell r="K211" t="str">
            <v>L</v>
          </cell>
        </row>
        <row r="212">
          <cell r="A212" t="str">
            <v>2014David9</v>
          </cell>
          <cell r="D212" t="str">
            <v>David</v>
          </cell>
          <cell r="E212" t="str">
            <v>Michael</v>
          </cell>
          <cell r="F212">
            <v>2014</v>
          </cell>
          <cell r="I212">
            <v>98</v>
          </cell>
          <cell r="J212">
            <v>19</v>
          </cell>
          <cell r="K212" t="str">
            <v>W</v>
          </cell>
        </row>
        <row r="213">
          <cell r="A213" t="str">
            <v>2014Michael9</v>
          </cell>
          <cell r="D213" t="str">
            <v>Michael</v>
          </cell>
          <cell r="E213" t="str">
            <v>David</v>
          </cell>
          <cell r="F213">
            <v>2014</v>
          </cell>
          <cell r="I213">
            <v>79</v>
          </cell>
          <cell r="J213">
            <v>-19</v>
          </cell>
          <cell r="K213" t="str">
            <v>L</v>
          </cell>
        </row>
        <row r="214">
          <cell r="A214" t="str">
            <v>2014Emily9</v>
          </cell>
          <cell r="D214" t="str">
            <v>Emily</v>
          </cell>
          <cell r="E214" t="str">
            <v>Russell</v>
          </cell>
          <cell r="F214">
            <v>2014</v>
          </cell>
          <cell r="I214">
            <v>75</v>
          </cell>
          <cell r="J214">
            <v>19</v>
          </cell>
          <cell r="K214" t="str">
            <v>W</v>
          </cell>
        </row>
        <row r="215">
          <cell r="A215" t="str">
            <v>2014Russell9</v>
          </cell>
          <cell r="D215" t="str">
            <v>Russell</v>
          </cell>
          <cell r="E215" t="str">
            <v>Emily</v>
          </cell>
          <cell r="F215">
            <v>2014</v>
          </cell>
          <cell r="I215">
            <v>56</v>
          </cell>
          <cell r="J215">
            <v>-19</v>
          </cell>
          <cell r="K215" t="str">
            <v>L</v>
          </cell>
        </row>
        <row r="216">
          <cell r="A216" t="str">
            <v>2014Abby9</v>
          </cell>
          <cell r="D216" t="str">
            <v>Abby</v>
          </cell>
          <cell r="E216" t="str">
            <v>BR</v>
          </cell>
          <cell r="F216">
            <v>2014</v>
          </cell>
          <cell r="I216">
            <v>100</v>
          </cell>
          <cell r="J216">
            <v>44</v>
          </cell>
          <cell r="K216" t="str">
            <v>W</v>
          </cell>
        </row>
        <row r="217">
          <cell r="A217" t="str">
            <v>2014BR9</v>
          </cell>
          <cell r="D217" t="str">
            <v>BR</v>
          </cell>
          <cell r="E217" t="str">
            <v>Abby</v>
          </cell>
          <cell r="F217">
            <v>2014</v>
          </cell>
          <cell r="I217">
            <v>56</v>
          </cell>
          <cell r="J217">
            <v>-44</v>
          </cell>
          <cell r="K217" t="str">
            <v>L</v>
          </cell>
        </row>
        <row r="218">
          <cell r="A218" t="str">
            <v>2014Watty9</v>
          </cell>
          <cell r="D218" t="str">
            <v>Watty</v>
          </cell>
          <cell r="E218" t="str">
            <v>Matt</v>
          </cell>
          <cell r="F218">
            <v>2014</v>
          </cell>
          <cell r="I218">
            <v>119</v>
          </cell>
          <cell r="J218">
            <v>13</v>
          </cell>
          <cell r="K218" t="str">
            <v>W</v>
          </cell>
        </row>
        <row r="219">
          <cell r="A219" t="str">
            <v>2014Matt9</v>
          </cell>
          <cell r="D219" t="str">
            <v>Matt</v>
          </cell>
          <cell r="E219" t="str">
            <v>Watty</v>
          </cell>
          <cell r="F219">
            <v>2014</v>
          </cell>
          <cell r="I219">
            <v>106</v>
          </cell>
          <cell r="J219">
            <v>-13</v>
          </cell>
          <cell r="K219" t="str">
            <v>L</v>
          </cell>
        </row>
        <row r="220">
          <cell r="A220" t="str">
            <v>2014Brian9</v>
          </cell>
          <cell r="D220" t="str">
            <v>Brian</v>
          </cell>
          <cell r="E220" t="str">
            <v>Mark</v>
          </cell>
          <cell r="F220">
            <v>2014</v>
          </cell>
          <cell r="I220">
            <v>95</v>
          </cell>
          <cell r="J220">
            <v>-11</v>
          </cell>
          <cell r="K220" t="str">
            <v>L</v>
          </cell>
        </row>
        <row r="221">
          <cell r="A221" t="str">
            <v>2014Mark9</v>
          </cell>
          <cell r="D221" t="str">
            <v>Mark</v>
          </cell>
          <cell r="E221" t="str">
            <v>Brian</v>
          </cell>
          <cell r="F221">
            <v>2014</v>
          </cell>
          <cell r="I221">
            <v>106</v>
          </cell>
          <cell r="J221">
            <v>11</v>
          </cell>
          <cell r="K221" t="str">
            <v>W</v>
          </cell>
        </row>
        <row r="222">
          <cell r="A222" t="str">
            <v>2014Matt10</v>
          </cell>
          <cell r="D222" t="str">
            <v>Matt</v>
          </cell>
          <cell r="E222" t="str">
            <v>Michael</v>
          </cell>
          <cell r="F222">
            <v>2014</v>
          </cell>
          <cell r="I222">
            <v>139</v>
          </cell>
          <cell r="J222">
            <v>53</v>
          </cell>
          <cell r="K222" t="str">
            <v>W</v>
          </cell>
        </row>
        <row r="223">
          <cell r="A223" t="str">
            <v>2014Michael10</v>
          </cell>
          <cell r="D223" t="str">
            <v>Michael</v>
          </cell>
          <cell r="E223" t="str">
            <v>Matt</v>
          </cell>
          <cell r="F223">
            <v>2014</v>
          </cell>
          <cell r="I223">
            <v>86</v>
          </cell>
          <cell r="J223">
            <v>-53</v>
          </cell>
          <cell r="K223" t="str">
            <v>L</v>
          </cell>
        </row>
        <row r="224">
          <cell r="A224" t="str">
            <v>2014BR10</v>
          </cell>
          <cell r="D224" t="str">
            <v>BR</v>
          </cell>
          <cell r="E224" t="str">
            <v>Watty</v>
          </cell>
          <cell r="F224">
            <v>2014</v>
          </cell>
          <cell r="I224">
            <v>86</v>
          </cell>
          <cell r="J224">
            <v>23</v>
          </cell>
          <cell r="K224" t="str">
            <v>W</v>
          </cell>
        </row>
        <row r="225">
          <cell r="A225" t="str">
            <v>2014Watty10</v>
          </cell>
          <cell r="D225" t="str">
            <v>Watty</v>
          </cell>
          <cell r="E225" t="str">
            <v>BR</v>
          </cell>
          <cell r="F225">
            <v>2014</v>
          </cell>
          <cell r="I225">
            <v>63</v>
          </cell>
          <cell r="J225">
            <v>-23</v>
          </cell>
          <cell r="K225" t="str">
            <v>L</v>
          </cell>
        </row>
        <row r="226">
          <cell r="A226" t="str">
            <v>2014Abby10</v>
          </cell>
          <cell r="D226" t="str">
            <v>Abby</v>
          </cell>
          <cell r="E226" t="str">
            <v>Brian</v>
          </cell>
          <cell r="F226">
            <v>2014</v>
          </cell>
          <cell r="I226">
            <v>86</v>
          </cell>
          <cell r="J226">
            <v>21</v>
          </cell>
          <cell r="K226" t="str">
            <v>W</v>
          </cell>
        </row>
        <row r="227">
          <cell r="A227" t="str">
            <v>2014Brian10</v>
          </cell>
          <cell r="D227" t="str">
            <v>Brian</v>
          </cell>
          <cell r="E227" t="str">
            <v>Abby</v>
          </cell>
          <cell r="F227">
            <v>2014</v>
          </cell>
          <cell r="I227">
            <v>65</v>
          </cell>
          <cell r="J227">
            <v>-21</v>
          </cell>
          <cell r="K227" t="str">
            <v>L</v>
          </cell>
        </row>
        <row r="228">
          <cell r="A228" t="str">
            <v>2014Mark10</v>
          </cell>
          <cell r="D228" t="str">
            <v>Mark</v>
          </cell>
          <cell r="E228" t="str">
            <v>Russell</v>
          </cell>
          <cell r="F228">
            <v>2014</v>
          </cell>
          <cell r="I228">
            <v>121</v>
          </cell>
          <cell r="J228">
            <v>-14</v>
          </cell>
          <cell r="K228" t="str">
            <v>L</v>
          </cell>
        </row>
        <row r="229">
          <cell r="A229" t="str">
            <v>2014Russell10</v>
          </cell>
          <cell r="D229" t="str">
            <v>Russell</v>
          </cell>
          <cell r="E229" t="str">
            <v>Mark</v>
          </cell>
          <cell r="F229">
            <v>2014</v>
          </cell>
          <cell r="I229">
            <v>135</v>
          </cell>
          <cell r="J229">
            <v>14</v>
          </cell>
          <cell r="K229" t="str">
            <v>W</v>
          </cell>
        </row>
        <row r="230">
          <cell r="A230" t="str">
            <v>2014Emily10</v>
          </cell>
          <cell r="D230" t="str">
            <v>Emily</v>
          </cell>
          <cell r="E230" t="str">
            <v>David</v>
          </cell>
          <cell r="F230">
            <v>2014</v>
          </cell>
          <cell r="I230">
            <v>58</v>
          </cell>
          <cell r="J230">
            <v>-76</v>
          </cell>
          <cell r="K230" t="str">
            <v>L</v>
          </cell>
        </row>
        <row r="231">
          <cell r="A231" t="str">
            <v>2014David10</v>
          </cell>
          <cell r="D231" t="str">
            <v>David</v>
          </cell>
          <cell r="E231" t="str">
            <v>Emily</v>
          </cell>
          <cell r="F231">
            <v>2014</v>
          </cell>
          <cell r="I231">
            <v>134</v>
          </cell>
          <cell r="J231">
            <v>76</v>
          </cell>
          <cell r="K231" t="str">
            <v>W</v>
          </cell>
        </row>
        <row r="232">
          <cell r="A232" t="str">
            <v>2014BR11</v>
          </cell>
          <cell r="D232" t="str">
            <v>BR</v>
          </cell>
          <cell r="E232" t="str">
            <v>Michael</v>
          </cell>
          <cell r="F232">
            <v>2014</v>
          </cell>
          <cell r="I232">
            <v>78</v>
          </cell>
          <cell r="J232">
            <v>7</v>
          </cell>
          <cell r="K232" t="str">
            <v>W</v>
          </cell>
        </row>
        <row r="233">
          <cell r="A233" t="str">
            <v>2014Michael11</v>
          </cell>
          <cell r="D233" t="str">
            <v>Michael</v>
          </cell>
          <cell r="E233" t="str">
            <v>BR</v>
          </cell>
          <cell r="F233">
            <v>2014</v>
          </cell>
          <cell r="I233">
            <v>71</v>
          </cell>
          <cell r="J233">
            <v>-7</v>
          </cell>
          <cell r="K233" t="str">
            <v>L</v>
          </cell>
        </row>
        <row r="234">
          <cell r="A234" t="str">
            <v>2014Mark11</v>
          </cell>
          <cell r="D234" t="str">
            <v>Mark</v>
          </cell>
          <cell r="E234" t="str">
            <v>Abby</v>
          </cell>
          <cell r="F234">
            <v>2014</v>
          </cell>
          <cell r="I234">
            <v>64</v>
          </cell>
          <cell r="J234">
            <v>-20</v>
          </cell>
          <cell r="K234" t="str">
            <v>L</v>
          </cell>
        </row>
        <row r="235">
          <cell r="A235" t="str">
            <v>2014Abby11</v>
          </cell>
          <cell r="D235" t="str">
            <v>Abby</v>
          </cell>
          <cell r="E235" t="str">
            <v>Mark</v>
          </cell>
          <cell r="F235">
            <v>2014</v>
          </cell>
          <cell r="I235">
            <v>84</v>
          </cell>
          <cell r="J235">
            <v>20</v>
          </cell>
          <cell r="K235" t="str">
            <v>W</v>
          </cell>
        </row>
        <row r="236">
          <cell r="A236" t="str">
            <v>2014Watty11</v>
          </cell>
          <cell r="D236" t="str">
            <v>Watty</v>
          </cell>
          <cell r="E236" t="str">
            <v>Brian</v>
          </cell>
          <cell r="F236">
            <v>2014</v>
          </cell>
          <cell r="I236">
            <v>78</v>
          </cell>
          <cell r="J236">
            <v>-15</v>
          </cell>
          <cell r="K236" t="str">
            <v>L</v>
          </cell>
        </row>
        <row r="237">
          <cell r="A237" t="str">
            <v>2014Brian11</v>
          </cell>
          <cell r="D237" t="str">
            <v>Brian</v>
          </cell>
          <cell r="E237" t="str">
            <v>Watty</v>
          </cell>
          <cell r="F237">
            <v>2014</v>
          </cell>
          <cell r="I237">
            <v>93</v>
          </cell>
          <cell r="J237">
            <v>15</v>
          </cell>
          <cell r="K237" t="str">
            <v>W</v>
          </cell>
        </row>
        <row r="238">
          <cell r="A238" t="str">
            <v>2014David11</v>
          </cell>
          <cell r="D238" t="str">
            <v>David</v>
          </cell>
          <cell r="E238" t="str">
            <v>Russell</v>
          </cell>
          <cell r="F238">
            <v>2014</v>
          </cell>
          <cell r="I238">
            <v>88</v>
          </cell>
          <cell r="J238">
            <v>-17</v>
          </cell>
          <cell r="K238" t="str">
            <v>L</v>
          </cell>
        </row>
        <row r="239">
          <cell r="A239" t="str">
            <v>2014Russell11</v>
          </cell>
          <cell r="D239" t="str">
            <v>Russell</v>
          </cell>
          <cell r="E239" t="str">
            <v>David</v>
          </cell>
          <cell r="F239">
            <v>2014</v>
          </cell>
          <cell r="I239">
            <v>105</v>
          </cell>
          <cell r="J239">
            <v>17</v>
          </cell>
          <cell r="K239" t="str">
            <v>W</v>
          </cell>
        </row>
        <row r="240">
          <cell r="A240" t="str">
            <v>2014Emily11</v>
          </cell>
          <cell r="D240" t="str">
            <v>Emily</v>
          </cell>
          <cell r="E240" t="str">
            <v>Matt</v>
          </cell>
          <cell r="F240">
            <v>2014</v>
          </cell>
          <cell r="I240">
            <v>88</v>
          </cell>
          <cell r="J240">
            <v>3</v>
          </cell>
          <cell r="K240" t="str">
            <v>W</v>
          </cell>
        </row>
        <row r="241">
          <cell r="A241" t="str">
            <v>2014Matt11</v>
          </cell>
          <cell r="D241" t="str">
            <v>Matt</v>
          </cell>
          <cell r="E241" t="str">
            <v>Emily</v>
          </cell>
          <cell r="F241">
            <v>2014</v>
          </cell>
          <cell r="I241">
            <v>85</v>
          </cell>
          <cell r="J241">
            <v>-3</v>
          </cell>
          <cell r="K241" t="str">
            <v>L</v>
          </cell>
        </row>
        <row r="242">
          <cell r="A242" t="str">
            <v>2014Michael12</v>
          </cell>
          <cell r="D242" t="str">
            <v>Michael</v>
          </cell>
          <cell r="E242" t="str">
            <v>Emily</v>
          </cell>
          <cell r="F242">
            <v>2014</v>
          </cell>
          <cell r="I242">
            <v>112</v>
          </cell>
          <cell r="J242">
            <v>40</v>
          </cell>
          <cell r="K242" t="str">
            <v>W</v>
          </cell>
        </row>
        <row r="243">
          <cell r="A243" t="str">
            <v>2014Emily12</v>
          </cell>
          <cell r="D243" t="str">
            <v>Emily</v>
          </cell>
          <cell r="E243" t="str">
            <v>Michael</v>
          </cell>
          <cell r="F243">
            <v>2014</v>
          </cell>
          <cell r="I243">
            <v>72</v>
          </cell>
          <cell r="J243">
            <v>-40</v>
          </cell>
          <cell r="K243" t="str">
            <v>L</v>
          </cell>
        </row>
        <row r="244">
          <cell r="A244" t="str">
            <v>2014Brian12</v>
          </cell>
          <cell r="D244" t="str">
            <v>Brian</v>
          </cell>
          <cell r="E244" t="str">
            <v>BR</v>
          </cell>
          <cell r="F244">
            <v>2014</v>
          </cell>
          <cell r="I244">
            <v>99</v>
          </cell>
          <cell r="J244">
            <v>4</v>
          </cell>
          <cell r="K244" t="str">
            <v>W</v>
          </cell>
        </row>
        <row r="245">
          <cell r="A245" t="str">
            <v>2014BR12</v>
          </cell>
          <cell r="D245" t="str">
            <v>BR</v>
          </cell>
          <cell r="E245" t="str">
            <v>Brian</v>
          </cell>
          <cell r="F245">
            <v>2014</v>
          </cell>
          <cell r="I245">
            <v>95</v>
          </cell>
          <cell r="J245">
            <v>-4</v>
          </cell>
          <cell r="K245" t="str">
            <v>L</v>
          </cell>
        </row>
        <row r="246">
          <cell r="A246" t="str">
            <v>2014Watty12</v>
          </cell>
          <cell r="D246" t="str">
            <v>Watty</v>
          </cell>
          <cell r="E246" t="str">
            <v>Mark</v>
          </cell>
          <cell r="F246">
            <v>2014</v>
          </cell>
          <cell r="I246">
            <v>74</v>
          </cell>
          <cell r="J246">
            <v>-7</v>
          </cell>
          <cell r="K246" t="str">
            <v>L</v>
          </cell>
        </row>
        <row r="247">
          <cell r="A247" t="str">
            <v>2014Mark12</v>
          </cell>
          <cell r="D247" t="str">
            <v>Mark</v>
          </cell>
          <cell r="E247" t="str">
            <v>Watty</v>
          </cell>
          <cell r="F247">
            <v>2014</v>
          </cell>
          <cell r="I247">
            <v>81</v>
          </cell>
          <cell r="J247">
            <v>7</v>
          </cell>
          <cell r="K247" t="str">
            <v>W</v>
          </cell>
        </row>
        <row r="248">
          <cell r="A248" t="str">
            <v>2014Abby12</v>
          </cell>
          <cell r="D248" t="str">
            <v>Abby</v>
          </cell>
          <cell r="E248" t="str">
            <v>David</v>
          </cell>
          <cell r="F248">
            <v>2014</v>
          </cell>
          <cell r="I248">
            <v>109</v>
          </cell>
          <cell r="J248">
            <v>20</v>
          </cell>
          <cell r="K248" t="str">
            <v>W</v>
          </cell>
        </row>
        <row r="249">
          <cell r="A249" t="str">
            <v>2014David12</v>
          </cell>
          <cell r="D249" t="str">
            <v>David</v>
          </cell>
          <cell r="E249" t="str">
            <v>Abby</v>
          </cell>
          <cell r="F249">
            <v>2014</v>
          </cell>
          <cell r="I249">
            <v>89</v>
          </cell>
          <cell r="J249">
            <v>-20</v>
          </cell>
          <cell r="K249" t="str">
            <v>L</v>
          </cell>
        </row>
        <row r="250">
          <cell r="A250" t="str">
            <v>2014Russell12</v>
          </cell>
          <cell r="D250" t="str">
            <v>Russell</v>
          </cell>
          <cell r="E250" t="str">
            <v>Matt</v>
          </cell>
          <cell r="F250">
            <v>2014</v>
          </cell>
          <cell r="I250">
            <v>99</v>
          </cell>
          <cell r="J250">
            <v>-19</v>
          </cell>
          <cell r="K250" t="str">
            <v>L</v>
          </cell>
        </row>
        <row r="251">
          <cell r="A251" t="str">
            <v>2014Matt12</v>
          </cell>
          <cell r="D251" t="str">
            <v>Matt</v>
          </cell>
          <cell r="E251" t="str">
            <v>Russell</v>
          </cell>
          <cell r="F251">
            <v>2014</v>
          </cell>
          <cell r="I251">
            <v>118</v>
          </cell>
          <cell r="J251">
            <v>19</v>
          </cell>
          <cell r="K251" t="str">
            <v>W</v>
          </cell>
        </row>
        <row r="252">
          <cell r="A252" t="str">
            <v>2014Russell13</v>
          </cell>
          <cell r="D252" t="str">
            <v>Russell</v>
          </cell>
          <cell r="E252" t="str">
            <v>Michael</v>
          </cell>
          <cell r="F252">
            <v>2014</v>
          </cell>
          <cell r="I252">
            <v>109</v>
          </cell>
          <cell r="J252">
            <v>0</v>
          </cell>
          <cell r="K252" t="str">
            <v>T</v>
          </cell>
        </row>
        <row r="253">
          <cell r="A253" t="str">
            <v>2014Michael13</v>
          </cell>
          <cell r="D253" t="str">
            <v>Michael</v>
          </cell>
          <cell r="E253" t="str">
            <v>Russell</v>
          </cell>
          <cell r="F253">
            <v>2014</v>
          </cell>
          <cell r="I253">
            <v>109</v>
          </cell>
          <cell r="J253">
            <v>0</v>
          </cell>
          <cell r="K253" t="str">
            <v>T</v>
          </cell>
        </row>
        <row r="254">
          <cell r="A254" t="str">
            <v>2014Matt13</v>
          </cell>
          <cell r="D254" t="str">
            <v>Matt</v>
          </cell>
          <cell r="E254" t="str">
            <v>David</v>
          </cell>
          <cell r="F254">
            <v>2014</v>
          </cell>
          <cell r="I254">
            <v>98</v>
          </cell>
          <cell r="J254">
            <v>-17</v>
          </cell>
          <cell r="K254" t="str">
            <v>L</v>
          </cell>
        </row>
        <row r="255">
          <cell r="A255" t="str">
            <v>2014David13</v>
          </cell>
          <cell r="D255" t="str">
            <v>David</v>
          </cell>
          <cell r="E255" t="str">
            <v>Matt</v>
          </cell>
          <cell r="F255">
            <v>2014</v>
          </cell>
          <cell r="I255">
            <v>115</v>
          </cell>
          <cell r="J255">
            <v>17</v>
          </cell>
          <cell r="K255" t="str">
            <v>W</v>
          </cell>
        </row>
        <row r="256">
          <cell r="A256" t="str">
            <v>2014BR13</v>
          </cell>
          <cell r="D256" t="str">
            <v>BR</v>
          </cell>
          <cell r="E256" t="str">
            <v>Mark</v>
          </cell>
          <cell r="F256">
            <v>2014</v>
          </cell>
          <cell r="I256">
            <v>133</v>
          </cell>
          <cell r="J256">
            <v>36</v>
          </cell>
          <cell r="K256" t="str">
            <v>W</v>
          </cell>
        </row>
        <row r="257">
          <cell r="A257" t="str">
            <v>2014Mark13</v>
          </cell>
          <cell r="D257" t="str">
            <v>Mark</v>
          </cell>
          <cell r="E257" t="str">
            <v>BR</v>
          </cell>
          <cell r="F257">
            <v>2014</v>
          </cell>
          <cell r="I257">
            <v>97</v>
          </cell>
          <cell r="J257">
            <v>-36</v>
          </cell>
          <cell r="K257" t="str">
            <v>L</v>
          </cell>
        </row>
        <row r="258">
          <cell r="A258" t="str">
            <v>2014Brian13</v>
          </cell>
          <cell r="D258" t="str">
            <v>Brian</v>
          </cell>
          <cell r="E258" t="str">
            <v>Emily</v>
          </cell>
          <cell r="F258">
            <v>2014</v>
          </cell>
          <cell r="I258">
            <v>93</v>
          </cell>
          <cell r="J258">
            <v>11</v>
          </cell>
          <cell r="K258" t="str">
            <v>W</v>
          </cell>
        </row>
        <row r="259">
          <cell r="A259" t="str">
            <v>2014Emily13</v>
          </cell>
          <cell r="D259" t="str">
            <v>Emily</v>
          </cell>
          <cell r="E259" t="str">
            <v>Brian</v>
          </cell>
          <cell r="F259">
            <v>2014</v>
          </cell>
          <cell r="I259">
            <v>82</v>
          </cell>
          <cell r="J259">
            <v>-11</v>
          </cell>
          <cell r="K259" t="str">
            <v>L</v>
          </cell>
        </row>
        <row r="260">
          <cell r="A260" t="str">
            <v>2014Abby13</v>
          </cell>
          <cell r="D260" t="str">
            <v>Abby</v>
          </cell>
          <cell r="E260" t="str">
            <v>Watty</v>
          </cell>
          <cell r="F260">
            <v>2014</v>
          </cell>
          <cell r="I260">
            <v>78</v>
          </cell>
          <cell r="J260">
            <v>17</v>
          </cell>
          <cell r="K260" t="str">
            <v>W</v>
          </cell>
        </row>
        <row r="261">
          <cell r="A261" t="str">
            <v>2014Watty13</v>
          </cell>
          <cell r="D261" t="str">
            <v>Watty</v>
          </cell>
          <cell r="E261" t="str">
            <v>Abby</v>
          </cell>
          <cell r="F261">
            <v>2014</v>
          </cell>
          <cell r="I261">
            <v>61</v>
          </cell>
          <cell r="J261">
            <v>-17</v>
          </cell>
          <cell r="K261" t="str">
            <v>L</v>
          </cell>
        </row>
        <row r="262">
          <cell r="A262" t="str">
            <v>2015Russell1</v>
          </cell>
          <cell r="D262" t="str">
            <v>Russell</v>
          </cell>
          <cell r="E262" t="str">
            <v>Brent</v>
          </cell>
          <cell r="F262">
            <v>2015</v>
          </cell>
          <cell r="I262">
            <v>101</v>
          </cell>
          <cell r="J262">
            <v>-10</v>
          </cell>
          <cell r="K262" t="str">
            <v>L</v>
          </cell>
        </row>
        <row r="263">
          <cell r="A263" t="str">
            <v>2015Brent1</v>
          </cell>
          <cell r="D263" t="str">
            <v>Brent</v>
          </cell>
          <cell r="E263" t="str">
            <v>Russell</v>
          </cell>
          <cell r="F263">
            <v>2015</v>
          </cell>
          <cell r="I263">
            <v>111</v>
          </cell>
          <cell r="J263">
            <v>10</v>
          </cell>
          <cell r="K263" t="str">
            <v>W</v>
          </cell>
        </row>
        <row r="264">
          <cell r="A264" t="str">
            <v>2015Michael1</v>
          </cell>
          <cell r="D264" t="str">
            <v>Michael</v>
          </cell>
          <cell r="E264" t="str">
            <v>Matt</v>
          </cell>
          <cell r="F264">
            <v>2015</v>
          </cell>
          <cell r="I264">
            <v>104</v>
          </cell>
          <cell r="J264">
            <v>28</v>
          </cell>
          <cell r="K264" t="str">
            <v>W</v>
          </cell>
        </row>
        <row r="265">
          <cell r="A265" t="str">
            <v>2015Matt1</v>
          </cell>
          <cell r="D265" t="str">
            <v>Matt</v>
          </cell>
          <cell r="E265" t="str">
            <v>Michael</v>
          </cell>
          <cell r="F265">
            <v>2015</v>
          </cell>
          <cell r="I265">
            <v>76</v>
          </cell>
          <cell r="J265">
            <v>-28</v>
          </cell>
          <cell r="K265" t="str">
            <v>L</v>
          </cell>
        </row>
        <row r="266">
          <cell r="A266" t="str">
            <v>2015Emily1</v>
          </cell>
          <cell r="D266" t="str">
            <v>Emily</v>
          </cell>
          <cell r="E266" t="str">
            <v>David</v>
          </cell>
          <cell r="F266">
            <v>2015</v>
          </cell>
          <cell r="I266">
            <v>59</v>
          </cell>
          <cell r="J266">
            <v>-27</v>
          </cell>
          <cell r="K266" t="str">
            <v>L</v>
          </cell>
        </row>
        <row r="267">
          <cell r="A267" t="str">
            <v>2015David1</v>
          </cell>
          <cell r="D267" t="str">
            <v>David</v>
          </cell>
          <cell r="E267" t="str">
            <v>Emily</v>
          </cell>
          <cell r="F267">
            <v>2015</v>
          </cell>
          <cell r="I267">
            <v>86</v>
          </cell>
          <cell r="J267">
            <v>27</v>
          </cell>
          <cell r="K267" t="str">
            <v>W</v>
          </cell>
        </row>
        <row r="268">
          <cell r="A268" t="str">
            <v>2015Abby1</v>
          </cell>
          <cell r="D268" t="str">
            <v>Abby</v>
          </cell>
          <cell r="E268" t="str">
            <v>Mark</v>
          </cell>
          <cell r="F268">
            <v>2015</v>
          </cell>
          <cell r="I268">
            <v>60</v>
          </cell>
          <cell r="J268">
            <v>-13</v>
          </cell>
          <cell r="K268" t="str">
            <v>L</v>
          </cell>
        </row>
        <row r="269">
          <cell r="A269" t="str">
            <v>2015Mark1</v>
          </cell>
          <cell r="D269" t="str">
            <v>Mark</v>
          </cell>
          <cell r="E269" t="str">
            <v>Abby</v>
          </cell>
          <cell r="F269">
            <v>2015</v>
          </cell>
          <cell r="I269">
            <v>73</v>
          </cell>
          <cell r="J269">
            <v>13</v>
          </cell>
          <cell r="K269" t="str">
            <v>W</v>
          </cell>
        </row>
        <row r="270">
          <cell r="A270" t="str">
            <v>2015BR1</v>
          </cell>
          <cell r="D270" t="str">
            <v>BR</v>
          </cell>
          <cell r="E270" t="str">
            <v>Watty</v>
          </cell>
          <cell r="F270">
            <v>2015</v>
          </cell>
          <cell r="I270">
            <v>75</v>
          </cell>
          <cell r="J270">
            <v>16</v>
          </cell>
          <cell r="K270" t="str">
            <v>W</v>
          </cell>
        </row>
        <row r="271">
          <cell r="A271" t="str">
            <v>2015Watty1</v>
          </cell>
          <cell r="D271" t="str">
            <v>Watty</v>
          </cell>
          <cell r="E271" t="str">
            <v>BR</v>
          </cell>
          <cell r="F271">
            <v>2015</v>
          </cell>
          <cell r="I271">
            <v>59</v>
          </cell>
          <cell r="J271">
            <v>-16</v>
          </cell>
          <cell r="K271" t="str">
            <v>L</v>
          </cell>
        </row>
        <row r="272">
          <cell r="A272" t="str">
            <v>2015Charles1</v>
          </cell>
          <cell r="D272" t="str">
            <v>Charles</v>
          </cell>
          <cell r="E272" t="str">
            <v>Brian</v>
          </cell>
          <cell r="F272">
            <v>2015</v>
          </cell>
          <cell r="I272">
            <v>99</v>
          </cell>
          <cell r="J272">
            <v>43</v>
          </cell>
          <cell r="K272" t="str">
            <v>W</v>
          </cell>
        </row>
        <row r="273">
          <cell r="A273" t="str">
            <v>2015Brian1</v>
          </cell>
          <cell r="D273" t="str">
            <v>Brian</v>
          </cell>
          <cell r="E273" t="str">
            <v>Charles</v>
          </cell>
          <cell r="F273">
            <v>2015</v>
          </cell>
          <cell r="I273">
            <v>56</v>
          </cell>
          <cell r="J273">
            <v>-43</v>
          </cell>
          <cell r="K273" t="str">
            <v>L</v>
          </cell>
        </row>
        <row r="274">
          <cell r="A274" t="str">
            <v>2015Russell2</v>
          </cell>
          <cell r="D274" t="str">
            <v>Russell</v>
          </cell>
          <cell r="E274" t="str">
            <v>David</v>
          </cell>
          <cell r="F274">
            <v>2015</v>
          </cell>
          <cell r="I274">
            <v>76</v>
          </cell>
          <cell r="J274">
            <v>7</v>
          </cell>
          <cell r="K274" t="str">
            <v>W</v>
          </cell>
        </row>
        <row r="275">
          <cell r="A275" t="str">
            <v>2015David2</v>
          </cell>
          <cell r="D275" t="str">
            <v>David</v>
          </cell>
          <cell r="E275" t="str">
            <v>Russell</v>
          </cell>
          <cell r="F275">
            <v>2015</v>
          </cell>
          <cell r="I275">
            <v>69</v>
          </cell>
          <cell r="J275">
            <v>-7</v>
          </cell>
          <cell r="K275" t="str">
            <v>L</v>
          </cell>
        </row>
        <row r="276">
          <cell r="A276" t="str">
            <v>2015Emily2</v>
          </cell>
          <cell r="D276" t="str">
            <v>Emily</v>
          </cell>
          <cell r="E276" t="str">
            <v>Michael</v>
          </cell>
          <cell r="F276">
            <v>2015</v>
          </cell>
          <cell r="I276">
            <v>108</v>
          </cell>
          <cell r="J276">
            <v>15</v>
          </cell>
          <cell r="K276" t="str">
            <v>W</v>
          </cell>
        </row>
        <row r="277">
          <cell r="A277" t="str">
            <v>2015Michael2</v>
          </cell>
          <cell r="D277" t="str">
            <v>Michael</v>
          </cell>
          <cell r="E277" t="str">
            <v>Emily</v>
          </cell>
          <cell r="F277">
            <v>2015</v>
          </cell>
          <cell r="I277">
            <v>93</v>
          </cell>
          <cell r="J277">
            <v>-15</v>
          </cell>
          <cell r="K277" t="str">
            <v>L</v>
          </cell>
        </row>
        <row r="278">
          <cell r="A278" t="str">
            <v>2015Matt2</v>
          </cell>
          <cell r="D278" t="str">
            <v>Matt</v>
          </cell>
          <cell r="E278" t="str">
            <v>Brent</v>
          </cell>
          <cell r="F278">
            <v>2015</v>
          </cell>
          <cell r="I278">
            <v>80</v>
          </cell>
          <cell r="J278">
            <v>-8</v>
          </cell>
          <cell r="K278" t="str">
            <v>L</v>
          </cell>
        </row>
        <row r="279">
          <cell r="A279" t="str">
            <v>2015Brent2</v>
          </cell>
          <cell r="D279" t="str">
            <v>Brent</v>
          </cell>
          <cell r="E279" t="str">
            <v>Matt</v>
          </cell>
          <cell r="F279">
            <v>2015</v>
          </cell>
          <cell r="I279">
            <v>88</v>
          </cell>
          <cell r="J279">
            <v>8</v>
          </cell>
          <cell r="K279" t="str">
            <v>W</v>
          </cell>
        </row>
        <row r="280">
          <cell r="A280" t="str">
            <v>2015BR2</v>
          </cell>
          <cell r="D280" t="str">
            <v>BR</v>
          </cell>
          <cell r="E280" t="str">
            <v>Abby</v>
          </cell>
          <cell r="F280">
            <v>2015</v>
          </cell>
          <cell r="I280">
            <v>82</v>
          </cell>
          <cell r="J280">
            <v>5</v>
          </cell>
          <cell r="K280" t="str">
            <v>W</v>
          </cell>
        </row>
        <row r="281">
          <cell r="A281" t="str">
            <v>2015Abby2</v>
          </cell>
          <cell r="D281" t="str">
            <v>Abby</v>
          </cell>
          <cell r="E281" t="str">
            <v>BR</v>
          </cell>
          <cell r="F281">
            <v>2015</v>
          </cell>
          <cell r="I281">
            <v>77</v>
          </cell>
          <cell r="J281">
            <v>-5</v>
          </cell>
          <cell r="K281" t="str">
            <v>L</v>
          </cell>
        </row>
        <row r="282">
          <cell r="A282" t="str">
            <v>2015Mark2</v>
          </cell>
          <cell r="D282" t="str">
            <v>Mark</v>
          </cell>
          <cell r="E282" t="str">
            <v>Charles</v>
          </cell>
          <cell r="F282">
            <v>2015</v>
          </cell>
          <cell r="I282">
            <v>80</v>
          </cell>
          <cell r="J282">
            <v>21</v>
          </cell>
          <cell r="K282" t="str">
            <v>W</v>
          </cell>
        </row>
        <row r="283">
          <cell r="A283" t="str">
            <v>2015Charles2</v>
          </cell>
          <cell r="D283" t="str">
            <v>Charles</v>
          </cell>
          <cell r="E283" t="str">
            <v>Mark</v>
          </cell>
          <cell r="F283">
            <v>2015</v>
          </cell>
          <cell r="I283">
            <v>59</v>
          </cell>
          <cell r="J283">
            <v>-21</v>
          </cell>
          <cell r="K283" t="str">
            <v>L</v>
          </cell>
        </row>
        <row r="284">
          <cell r="A284" t="str">
            <v>2015Watty2</v>
          </cell>
          <cell r="D284" t="str">
            <v>Watty</v>
          </cell>
          <cell r="E284" t="str">
            <v>Brian</v>
          </cell>
          <cell r="F284">
            <v>2015</v>
          </cell>
          <cell r="I284">
            <v>48</v>
          </cell>
          <cell r="J284">
            <v>-29</v>
          </cell>
          <cell r="K284" t="str">
            <v>L</v>
          </cell>
        </row>
        <row r="285">
          <cell r="A285" t="str">
            <v>2015Brian2</v>
          </cell>
          <cell r="D285" t="str">
            <v>Brian</v>
          </cell>
          <cell r="E285" t="str">
            <v>Watty</v>
          </cell>
          <cell r="F285">
            <v>2015</v>
          </cell>
          <cell r="I285">
            <v>77</v>
          </cell>
          <cell r="J285">
            <v>29</v>
          </cell>
          <cell r="K285" t="str">
            <v>W</v>
          </cell>
        </row>
        <row r="286">
          <cell r="A286" t="str">
            <v>2015Russell3</v>
          </cell>
          <cell r="D286" t="str">
            <v>Russell</v>
          </cell>
          <cell r="E286" t="str">
            <v>Emily</v>
          </cell>
          <cell r="F286">
            <v>2015</v>
          </cell>
          <cell r="I286">
            <v>89</v>
          </cell>
          <cell r="J286">
            <v>-67</v>
          </cell>
          <cell r="K286" t="str">
            <v>L</v>
          </cell>
        </row>
        <row r="287">
          <cell r="A287" t="str">
            <v>2015Emily3</v>
          </cell>
          <cell r="D287" t="str">
            <v>Emily</v>
          </cell>
          <cell r="E287" t="str">
            <v>Russell</v>
          </cell>
          <cell r="F287">
            <v>2015</v>
          </cell>
          <cell r="I287">
            <v>156</v>
          </cell>
          <cell r="J287">
            <v>67</v>
          </cell>
          <cell r="K287" t="str">
            <v>W</v>
          </cell>
        </row>
        <row r="288">
          <cell r="A288" t="str">
            <v>2015Michael3</v>
          </cell>
          <cell r="D288" t="str">
            <v>Michael</v>
          </cell>
          <cell r="E288" t="str">
            <v>Brent</v>
          </cell>
          <cell r="F288">
            <v>2015</v>
          </cell>
          <cell r="I288">
            <v>92</v>
          </cell>
          <cell r="J288">
            <v>-17</v>
          </cell>
          <cell r="K288" t="str">
            <v>L</v>
          </cell>
        </row>
        <row r="289">
          <cell r="A289" t="str">
            <v>2015Brent3</v>
          </cell>
          <cell r="D289" t="str">
            <v>Brent</v>
          </cell>
          <cell r="E289" t="str">
            <v>Michael</v>
          </cell>
          <cell r="F289">
            <v>2015</v>
          </cell>
          <cell r="I289">
            <v>109</v>
          </cell>
          <cell r="J289">
            <v>17</v>
          </cell>
          <cell r="K289" t="str">
            <v>W</v>
          </cell>
        </row>
        <row r="290">
          <cell r="A290" t="str">
            <v>2015David3</v>
          </cell>
          <cell r="D290" t="str">
            <v>David</v>
          </cell>
          <cell r="E290" t="str">
            <v>Matt</v>
          </cell>
          <cell r="F290">
            <v>2015</v>
          </cell>
          <cell r="I290">
            <v>79</v>
          </cell>
          <cell r="J290">
            <v>16</v>
          </cell>
          <cell r="K290" t="str">
            <v>W</v>
          </cell>
        </row>
        <row r="291">
          <cell r="A291" t="str">
            <v>2015Matt3</v>
          </cell>
          <cell r="D291" t="str">
            <v>Matt</v>
          </cell>
          <cell r="E291" t="str">
            <v>David</v>
          </cell>
          <cell r="F291">
            <v>2015</v>
          </cell>
          <cell r="I291">
            <v>63</v>
          </cell>
          <cell r="J291">
            <v>-16</v>
          </cell>
          <cell r="K291" t="str">
            <v>L</v>
          </cell>
        </row>
        <row r="292">
          <cell r="A292" t="str">
            <v>2015Abby3</v>
          </cell>
          <cell r="D292" t="str">
            <v>Abby</v>
          </cell>
          <cell r="E292" t="str">
            <v>Charles</v>
          </cell>
          <cell r="F292">
            <v>2015</v>
          </cell>
          <cell r="I292">
            <v>69</v>
          </cell>
          <cell r="J292">
            <v>-43</v>
          </cell>
          <cell r="K292" t="str">
            <v>L</v>
          </cell>
        </row>
        <row r="293">
          <cell r="A293" t="str">
            <v>2015Charles3</v>
          </cell>
          <cell r="D293" t="str">
            <v>Charles</v>
          </cell>
          <cell r="E293" t="str">
            <v>Abby</v>
          </cell>
          <cell r="F293">
            <v>2015</v>
          </cell>
          <cell r="I293">
            <v>112</v>
          </cell>
          <cell r="J293">
            <v>43</v>
          </cell>
          <cell r="K293" t="str">
            <v>W</v>
          </cell>
        </row>
        <row r="294">
          <cell r="A294" t="str">
            <v>2015Brian3</v>
          </cell>
          <cell r="D294" t="str">
            <v>Brian</v>
          </cell>
          <cell r="E294" t="str">
            <v>BR</v>
          </cell>
          <cell r="F294">
            <v>2015</v>
          </cell>
          <cell r="I294">
            <v>141</v>
          </cell>
          <cell r="J294">
            <v>73</v>
          </cell>
          <cell r="K294" t="str">
            <v>W</v>
          </cell>
        </row>
        <row r="295">
          <cell r="A295" t="str">
            <v>2015BR3</v>
          </cell>
          <cell r="D295" t="str">
            <v>BR</v>
          </cell>
          <cell r="E295" t="str">
            <v>Brian</v>
          </cell>
          <cell r="F295">
            <v>2015</v>
          </cell>
          <cell r="I295">
            <v>68</v>
          </cell>
          <cell r="J295">
            <v>-73</v>
          </cell>
          <cell r="K295" t="str">
            <v>L</v>
          </cell>
        </row>
        <row r="296">
          <cell r="A296" t="str">
            <v>2015Watty3</v>
          </cell>
          <cell r="D296" t="str">
            <v>Watty</v>
          </cell>
          <cell r="E296" t="str">
            <v>Mark</v>
          </cell>
          <cell r="F296">
            <v>2015</v>
          </cell>
          <cell r="I296">
            <v>98</v>
          </cell>
          <cell r="J296">
            <v>26</v>
          </cell>
          <cell r="K296" t="str">
            <v>W</v>
          </cell>
        </row>
        <row r="297">
          <cell r="A297" t="str">
            <v>2015Mark3</v>
          </cell>
          <cell r="D297" t="str">
            <v>Mark</v>
          </cell>
          <cell r="E297" t="str">
            <v>Watty</v>
          </cell>
          <cell r="F297">
            <v>2015</v>
          </cell>
          <cell r="I297">
            <v>72</v>
          </cell>
          <cell r="J297">
            <v>-26</v>
          </cell>
          <cell r="K297" t="str">
            <v>L</v>
          </cell>
        </row>
        <row r="298">
          <cell r="A298" t="str">
            <v>2015Russell4</v>
          </cell>
          <cell r="D298" t="str">
            <v>Russell</v>
          </cell>
          <cell r="E298" t="str">
            <v>Michael</v>
          </cell>
          <cell r="F298">
            <v>2015</v>
          </cell>
          <cell r="I298">
            <v>83</v>
          </cell>
          <cell r="J298">
            <v>13</v>
          </cell>
          <cell r="K298" t="str">
            <v>W</v>
          </cell>
        </row>
        <row r="299">
          <cell r="A299" t="str">
            <v>2015Michael4</v>
          </cell>
          <cell r="D299" t="str">
            <v>Michael</v>
          </cell>
          <cell r="E299" t="str">
            <v>Russell</v>
          </cell>
          <cell r="F299">
            <v>2015</v>
          </cell>
          <cell r="I299">
            <v>70</v>
          </cell>
          <cell r="J299">
            <v>-13</v>
          </cell>
          <cell r="K299" t="str">
            <v>L</v>
          </cell>
        </row>
        <row r="300">
          <cell r="A300" t="str">
            <v>2015Brent4</v>
          </cell>
          <cell r="D300" t="str">
            <v>Brent</v>
          </cell>
          <cell r="E300" t="str">
            <v>David</v>
          </cell>
          <cell r="F300">
            <v>2015</v>
          </cell>
          <cell r="I300">
            <v>65</v>
          </cell>
          <cell r="J300">
            <v>-21</v>
          </cell>
          <cell r="K300" t="str">
            <v>L</v>
          </cell>
        </row>
        <row r="301">
          <cell r="A301" t="str">
            <v>2015David4</v>
          </cell>
          <cell r="D301" t="str">
            <v>David</v>
          </cell>
          <cell r="E301" t="str">
            <v>Brent</v>
          </cell>
          <cell r="F301">
            <v>2015</v>
          </cell>
          <cell r="I301">
            <v>86</v>
          </cell>
          <cell r="J301">
            <v>21</v>
          </cell>
          <cell r="K301" t="str">
            <v>W</v>
          </cell>
        </row>
        <row r="302">
          <cell r="A302" t="str">
            <v>2015Emily4</v>
          </cell>
          <cell r="D302" t="str">
            <v>Emily</v>
          </cell>
          <cell r="E302" t="str">
            <v>Matt</v>
          </cell>
          <cell r="F302">
            <v>2015</v>
          </cell>
          <cell r="I302">
            <v>103</v>
          </cell>
          <cell r="J302">
            <v>25</v>
          </cell>
          <cell r="K302" t="str">
            <v>W</v>
          </cell>
        </row>
        <row r="303">
          <cell r="A303" t="str">
            <v>2015Matt4</v>
          </cell>
          <cell r="D303" t="str">
            <v>Matt</v>
          </cell>
          <cell r="E303" t="str">
            <v>Emily</v>
          </cell>
          <cell r="F303">
            <v>2015</v>
          </cell>
          <cell r="I303">
            <v>78</v>
          </cell>
          <cell r="J303">
            <v>-25</v>
          </cell>
          <cell r="K303" t="str">
            <v>L</v>
          </cell>
        </row>
        <row r="304">
          <cell r="A304" t="str">
            <v>2015Brian4</v>
          </cell>
          <cell r="D304" t="str">
            <v>Brian</v>
          </cell>
          <cell r="E304" t="str">
            <v>Abby</v>
          </cell>
          <cell r="F304">
            <v>2015</v>
          </cell>
          <cell r="I304">
            <v>39</v>
          </cell>
          <cell r="J304">
            <v>-27</v>
          </cell>
          <cell r="K304" t="str">
            <v>L</v>
          </cell>
        </row>
        <row r="305">
          <cell r="A305" t="str">
            <v>2015Abby4</v>
          </cell>
          <cell r="D305" t="str">
            <v>Abby</v>
          </cell>
          <cell r="E305" t="str">
            <v>Brian</v>
          </cell>
          <cell r="F305">
            <v>2015</v>
          </cell>
          <cell r="I305">
            <v>66</v>
          </cell>
          <cell r="J305">
            <v>27</v>
          </cell>
          <cell r="K305" t="str">
            <v>W</v>
          </cell>
        </row>
        <row r="306">
          <cell r="A306" t="str">
            <v>2015Charles4</v>
          </cell>
          <cell r="D306" t="str">
            <v>Charles</v>
          </cell>
          <cell r="E306" t="str">
            <v>Watty</v>
          </cell>
          <cell r="F306">
            <v>2015</v>
          </cell>
          <cell r="I306">
            <v>57</v>
          </cell>
          <cell r="J306">
            <v>-14</v>
          </cell>
          <cell r="K306" t="str">
            <v>L</v>
          </cell>
        </row>
        <row r="307">
          <cell r="A307" t="str">
            <v>2015Watty4</v>
          </cell>
          <cell r="D307" t="str">
            <v>Watty</v>
          </cell>
          <cell r="E307" t="str">
            <v>Charles</v>
          </cell>
          <cell r="F307">
            <v>2015</v>
          </cell>
          <cell r="I307">
            <v>71</v>
          </cell>
          <cell r="J307">
            <v>14</v>
          </cell>
          <cell r="K307" t="str">
            <v>W</v>
          </cell>
        </row>
        <row r="308">
          <cell r="A308" t="str">
            <v>2015BR4</v>
          </cell>
          <cell r="D308" t="str">
            <v>BR</v>
          </cell>
          <cell r="E308" t="str">
            <v>Mark</v>
          </cell>
          <cell r="F308">
            <v>2015</v>
          </cell>
          <cell r="I308">
            <v>75</v>
          </cell>
          <cell r="J308">
            <v>2</v>
          </cell>
          <cell r="K308" t="str">
            <v>W</v>
          </cell>
        </row>
        <row r="309">
          <cell r="A309" t="str">
            <v>2015Mark4</v>
          </cell>
          <cell r="D309" t="str">
            <v>Mark</v>
          </cell>
          <cell r="E309" t="str">
            <v>BR</v>
          </cell>
          <cell r="F309">
            <v>2015</v>
          </cell>
          <cell r="I309">
            <v>73</v>
          </cell>
          <cell r="J309">
            <v>-2</v>
          </cell>
          <cell r="K309" t="str">
            <v>L</v>
          </cell>
        </row>
        <row r="310">
          <cell r="A310" t="str">
            <v>2015Russell5</v>
          </cell>
          <cell r="D310" t="str">
            <v>Russell</v>
          </cell>
          <cell r="E310" t="str">
            <v>Matt</v>
          </cell>
          <cell r="F310">
            <v>2015</v>
          </cell>
          <cell r="I310">
            <v>105</v>
          </cell>
          <cell r="J310">
            <v>-6</v>
          </cell>
          <cell r="K310" t="str">
            <v>L</v>
          </cell>
        </row>
        <row r="311">
          <cell r="A311" t="str">
            <v>2015Matt5</v>
          </cell>
          <cell r="D311" t="str">
            <v>Matt</v>
          </cell>
          <cell r="E311" t="str">
            <v>Russell</v>
          </cell>
          <cell r="F311">
            <v>2015</v>
          </cell>
          <cell r="I311">
            <v>111</v>
          </cell>
          <cell r="J311">
            <v>6</v>
          </cell>
          <cell r="K311" t="str">
            <v>W</v>
          </cell>
        </row>
        <row r="312">
          <cell r="A312" t="str">
            <v>2015Michael5</v>
          </cell>
          <cell r="D312" t="str">
            <v>Michael</v>
          </cell>
          <cell r="E312" t="str">
            <v>David</v>
          </cell>
          <cell r="F312">
            <v>2015</v>
          </cell>
          <cell r="I312">
            <v>97</v>
          </cell>
          <cell r="J312">
            <v>16</v>
          </cell>
          <cell r="K312" t="str">
            <v>W</v>
          </cell>
        </row>
        <row r="313">
          <cell r="A313" t="str">
            <v>2015David5</v>
          </cell>
          <cell r="D313" t="str">
            <v>David</v>
          </cell>
          <cell r="E313" t="str">
            <v>Michael</v>
          </cell>
          <cell r="F313">
            <v>2015</v>
          </cell>
          <cell r="I313">
            <v>81</v>
          </cell>
          <cell r="J313">
            <v>-16</v>
          </cell>
          <cell r="K313" t="str">
            <v>L</v>
          </cell>
        </row>
        <row r="314">
          <cell r="A314" t="str">
            <v>2015Emily5</v>
          </cell>
          <cell r="D314" t="str">
            <v>Emily</v>
          </cell>
          <cell r="E314" t="str">
            <v>Brent</v>
          </cell>
          <cell r="F314">
            <v>2015</v>
          </cell>
          <cell r="I314">
            <v>112</v>
          </cell>
          <cell r="J314">
            <v>-3</v>
          </cell>
          <cell r="K314" t="str">
            <v>L</v>
          </cell>
        </row>
        <row r="315">
          <cell r="A315" t="str">
            <v>2015Brent5</v>
          </cell>
          <cell r="D315" t="str">
            <v>Brent</v>
          </cell>
          <cell r="E315" t="str">
            <v>Emily</v>
          </cell>
          <cell r="F315">
            <v>2015</v>
          </cell>
          <cell r="I315">
            <v>115</v>
          </cell>
          <cell r="J315">
            <v>3</v>
          </cell>
          <cell r="K315" t="str">
            <v>W</v>
          </cell>
        </row>
        <row r="316">
          <cell r="A316" t="str">
            <v>2015Abby5</v>
          </cell>
          <cell r="D316" t="str">
            <v>Abby</v>
          </cell>
          <cell r="E316" t="str">
            <v>Watty</v>
          </cell>
          <cell r="F316">
            <v>2015</v>
          </cell>
          <cell r="I316">
            <v>42</v>
          </cell>
          <cell r="J316">
            <v>-17</v>
          </cell>
          <cell r="K316" t="str">
            <v>L</v>
          </cell>
        </row>
        <row r="317">
          <cell r="A317" t="str">
            <v>2015Watty5</v>
          </cell>
          <cell r="D317" t="str">
            <v>Watty</v>
          </cell>
          <cell r="E317" t="str">
            <v>Abby</v>
          </cell>
          <cell r="F317">
            <v>2015</v>
          </cell>
          <cell r="I317">
            <v>59</v>
          </cell>
          <cell r="J317">
            <v>17</v>
          </cell>
          <cell r="K317" t="str">
            <v>W</v>
          </cell>
        </row>
        <row r="318">
          <cell r="A318" t="str">
            <v>2015Mark5</v>
          </cell>
          <cell r="D318" t="str">
            <v>Mark</v>
          </cell>
          <cell r="E318" t="str">
            <v>Brian</v>
          </cell>
          <cell r="F318">
            <v>2015</v>
          </cell>
          <cell r="I318">
            <v>88</v>
          </cell>
          <cell r="J318">
            <v>4</v>
          </cell>
          <cell r="K318" t="str">
            <v>W</v>
          </cell>
        </row>
        <row r="319">
          <cell r="A319" t="str">
            <v>2015Brian5</v>
          </cell>
          <cell r="D319" t="str">
            <v>Brian</v>
          </cell>
          <cell r="E319" t="str">
            <v>Mark</v>
          </cell>
          <cell r="F319">
            <v>2015</v>
          </cell>
          <cell r="I319">
            <v>84</v>
          </cell>
          <cell r="J319">
            <v>-4</v>
          </cell>
          <cell r="K319" t="str">
            <v>L</v>
          </cell>
        </row>
        <row r="320">
          <cell r="A320" t="str">
            <v>2015BR5</v>
          </cell>
          <cell r="D320" t="str">
            <v>BR</v>
          </cell>
          <cell r="E320" t="str">
            <v>Charles</v>
          </cell>
          <cell r="F320">
            <v>2015</v>
          </cell>
          <cell r="I320">
            <v>73</v>
          </cell>
          <cell r="J320">
            <v>27</v>
          </cell>
          <cell r="K320" t="str">
            <v>W</v>
          </cell>
        </row>
        <row r="321">
          <cell r="A321" t="str">
            <v>2015Charles5</v>
          </cell>
          <cell r="D321" t="str">
            <v>Charles</v>
          </cell>
          <cell r="E321" t="str">
            <v>BR</v>
          </cell>
          <cell r="F321">
            <v>2015</v>
          </cell>
          <cell r="I321">
            <v>46</v>
          </cell>
          <cell r="J321">
            <v>-27</v>
          </cell>
          <cell r="K321" t="str">
            <v>L</v>
          </cell>
        </row>
        <row r="322">
          <cell r="A322" t="str">
            <v>2015Russell6</v>
          </cell>
          <cell r="D322" t="str">
            <v>Russell</v>
          </cell>
          <cell r="E322" t="str">
            <v>Brian</v>
          </cell>
          <cell r="F322">
            <v>2015</v>
          </cell>
          <cell r="I322">
            <v>64</v>
          </cell>
          <cell r="J322">
            <v>5</v>
          </cell>
          <cell r="K322" t="str">
            <v>W</v>
          </cell>
        </row>
        <row r="323">
          <cell r="A323" t="str">
            <v>2015Brian6</v>
          </cell>
          <cell r="D323" t="str">
            <v>Brian</v>
          </cell>
          <cell r="E323" t="str">
            <v>Russell</v>
          </cell>
          <cell r="F323">
            <v>2015</v>
          </cell>
          <cell r="I323">
            <v>59</v>
          </cell>
          <cell r="J323">
            <v>-5</v>
          </cell>
          <cell r="K323" t="str">
            <v>L</v>
          </cell>
        </row>
        <row r="324">
          <cell r="A324" t="str">
            <v>2015Abby6</v>
          </cell>
          <cell r="D324" t="str">
            <v>Abby</v>
          </cell>
          <cell r="E324" t="str">
            <v>Michael</v>
          </cell>
          <cell r="F324">
            <v>2015</v>
          </cell>
          <cell r="I324">
            <v>68</v>
          </cell>
          <cell r="J324">
            <v>-76</v>
          </cell>
          <cell r="K324" t="str">
            <v>L</v>
          </cell>
        </row>
        <row r="325">
          <cell r="A325" t="str">
            <v>2015Michael6</v>
          </cell>
          <cell r="D325" t="str">
            <v>Michael</v>
          </cell>
          <cell r="E325" t="str">
            <v>Abby</v>
          </cell>
          <cell r="F325">
            <v>2015</v>
          </cell>
          <cell r="I325">
            <v>144</v>
          </cell>
          <cell r="J325">
            <v>76</v>
          </cell>
          <cell r="K325" t="str">
            <v>W</v>
          </cell>
        </row>
        <row r="326">
          <cell r="A326" t="str">
            <v>2015Mark6</v>
          </cell>
          <cell r="D326" t="str">
            <v>Mark</v>
          </cell>
          <cell r="E326" t="str">
            <v>Matt</v>
          </cell>
          <cell r="F326">
            <v>2015</v>
          </cell>
          <cell r="I326">
            <v>82</v>
          </cell>
          <cell r="J326">
            <v>-18</v>
          </cell>
          <cell r="K326" t="str">
            <v>L</v>
          </cell>
        </row>
        <row r="327">
          <cell r="A327" t="str">
            <v>2015Matt6</v>
          </cell>
          <cell r="D327" t="str">
            <v>Matt</v>
          </cell>
          <cell r="E327" t="str">
            <v>Mark</v>
          </cell>
          <cell r="F327">
            <v>2015</v>
          </cell>
          <cell r="I327">
            <v>100</v>
          </cell>
          <cell r="J327">
            <v>18</v>
          </cell>
          <cell r="K327" t="str">
            <v>W</v>
          </cell>
        </row>
        <row r="328">
          <cell r="A328" t="str">
            <v>2015BR6</v>
          </cell>
          <cell r="D328" t="str">
            <v>BR</v>
          </cell>
          <cell r="E328" t="str">
            <v>Emily</v>
          </cell>
          <cell r="F328">
            <v>2015</v>
          </cell>
          <cell r="I328">
            <v>82</v>
          </cell>
          <cell r="J328">
            <v>-18</v>
          </cell>
          <cell r="K328" t="str">
            <v>L</v>
          </cell>
        </row>
        <row r="329">
          <cell r="A329" t="str">
            <v>2015Emily6</v>
          </cell>
          <cell r="D329" t="str">
            <v>Emily</v>
          </cell>
          <cell r="E329" t="str">
            <v>BR</v>
          </cell>
          <cell r="F329">
            <v>2015</v>
          </cell>
          <cell r="I329">
            <v>100</v>
          </cell>
          <cell r="J329">
            <v>18</v>
          </cell>
          <cell r="K329" t="str">
            <v>W</v>
          </cell>
        </row>
        <row r="330">
          <cell r="A330" t="str">
            <v>2015Charles6</v>
          </cell>
          <cell r="D330" t="str">
            <v>Charles</v>
          </cell>
          <cell r="E330" t="str">
            <v>Brent</v>
          </cell>
          <cell r="F330">
            <v>2015</v>
          </cell>
          <cell r="I330">
            <v>73</v>
          </cell>
          <cell r="J330">
            <v>-16</v>
          </cell>
          <cell r="K330" t="str">
            <v>L</v>
          </cell>
        </row>
        <row r="331">
          <cell r="A331" t="str">
            <v>2015Brent6</v>
          </cell>
          <cell r="D331" t="str">
            <v>Brent</v>
          </cell>
          <cell r="E331" t="str">
            <v>Charles</v>
          </cell>
          <cell r="F331">
            <v>2015</v>
          </cell>
          <cell r="I331">
            <v>89</v>
          </cell>
          <cell r="J331">
            <v>16</v>
          </cell>
          <cell r="K331" t="str">
            <v>W</v>
          </cell>
        </row>
        <row r="332">
          <cell r="A332" t="str">
            <v>2015Watty6</v>
          </cell>
          <cell r="D332" t="str">
            <v>Watty</v>
          </cell>
          <cell r="E332" t="str">
            <v>David</v>
          </cell>
          <cell r="F332">
            <v>2015</v>
          </cell>
          <cell r="I332">
            <v>46</v>
          </cell>
          <cell r="J332">
            <v>-27</v>
          </cell>
          <cell r="K332" t="str">
            <v>L</v>
          </cell>
        </row>
        <row r="333">
          <cell r="A333" t="str">
            <v>2015David6</v>
          </cell>
          <cell r="D333" t="str">
            <v>David</v>
          </cell>
          <cell r="E333" t="str">
            <v>Watty</v>
          </cell>
          <cell r="F333">
            <v>2015</v>
          </cell>
          <cell r="I333">
            <v>73</v>
          </cell>
          <cell r="J333">
            <v>27</v>
          </cell>
          <cell r="K333" t="str">
            <v>W</v>
          </cell>
        </row>
        <row r="334">
          <cell r="A334" t="str">
            <v>2015Russell7</v>
          </cell>
          <cell r="D334" t="str">
            <v>Russell</v>
          </cell>
          <cell r="E334" t="str">
            <v>Charles</v>
          </cell>
          <cell r="F334">
            <v>2015</v>
          </cell>
          <cell r="I334">
            <v>80</v>
          </cell>
          <cell r="J334">
            <v>-46</v>
          </cell>
          <cell r="K334" t="str">
            <v>L</v>
          </cell>
        </row>
        <row r="335">
          <cell r="A335" t="str">
            <v>2015Charles7</v>
          </cell>
          <cell r="D335" t="str">
            <v>Charles</v>
          </cell>
          <cell r="E335" t="str">
            <v>Russell</v>
          </cell>
          <cell r="F335">
            <v>2015</v>
          </cell>
          <cell r="I335">
            <v>126</v>
          </cell>
          <cell r="J335">
            <v>46</v>
          </cell>
          <cell r="K335" t="str">
            <v>W</v>
          </cell>
        </row>
        <row r="336">
          <cell r="A336" t="str">
            <v>2015Matt7</v>
          </cell>
          <cell r="D336" t="str">
            <v>Matt</v>
          </cell>
          <cell r="E336" t="str">
            <v>Abby</v>
          </cell>
          <cell r="F336">
            <v>2015</v>
          </cell>
          <cell r="I336">
            <v>71</v>
          </cell>
          <cell r="J336">
            <v>-2</v>
          </cell>
          <cell r="K336" t="str">
            <v>L</v>
          </cell>
        </row>
        <row r="337">
          <cell r="A337" t="str">
            <v>2015Abby7</v>
          </cell>
          <cell r="D337" t="str">
            <v>Abby</v>
          </cell>
          <cell r="E337" t="str">
            <v>Matt</v>
          </cell>
          <cell r="F337">
            <v>2015</v>
          </cell>
          <cell r="I337">
            <v>73</v>
          </cell>
          <cell r="J337">
            <v>2</v>
          </cell>
          <cell r="K337" t="str">
            <v>W</v>
          </cell>
        </row>
        <row r="338">
          <cell r="A338" t="str">
            <v>2015Emily7</v>
          </cell>
          <cell r="D338" t="str">
            <v>Emily</v>
          </cell>
          <cell r="E338" t="str">
            <v>Mark</v>
          </cell>
          <cell r="F338">
            <v>2015</v>
          </cell>
          <cell r="I338">
            <v>76</v>
          </cell>
          <cell r="J338">
            <v>15</v>
          </cell>
          <cell r="K338" t="str">
            <v>W</v>
          </cell>
        </row>
        <row r="339">
          <cell r="A339" t="str">
            <v>2015Mark7</v>
          </cell>
          <cell r="D339" t="str">
            <v>Mark</v>
          </cell>
          <cell r="E339" t="str">
            <v>Emily</v>
          </cell>
          <cell r="F339">
            <v>2015</v>
          </cell>
          <cell r="I339">
            <v>61</v>
          </cell>
          <cell r="J339">
            <v>-15</v>
          </cell>
          <cell r="K339" t="str">
            <v>L</v>
          </cell>
        </row>
        <row r="340">
          <cell r="A340" t="str">
            <v>2015Brent7</v>
          </cell>
          <cell r="D340" t="str">
            <v>Brent</v>
          </cell>
          <cell r="E340" t="str">
            <v>BR</v>
          </cell>
          <cell r="F340">
            <v>2015</v>
          </cell>
          <cell r="I340">
            <v>98</v>
          </cell>
          <cell r="J340">
            <v>-15</v>
          </cell>
          <cell r="K340" t="str">
            <v>L</v>
          </cell>
        </row>
        <row r="341">
          <cell r="A341" t="str">
            <v>2015BR7</v>
          </cell>
          <cell r="D341" t="str">
            <v>BR</v>
          </cell>
          <cell r="E341" t="str">
            <v>Brent</v>
          </cell>
          <cell r="F341">
            <v>2015</v>
          </cell>
          <cell r="I341">
            <v>113</v>
          </cell>
          <cell r="J341">
            <v>15</v>
          </cell>
          <cell r="K341" t="str">
            <v>W</v>
          </cell>
        </row>
        <row r="342">
          <cell r="A342" t="str">
            <v>2015David7</v>
          </cell>
          <cell r="D342" t="str">
            <v>David</v>
          </cell>
          <cell r="E342" t="str">
            <v>Brian</v>
          </cell>
          <cell r="F342">
            <v>2015</v>
          </cell>
          <cell r="I342">
            <v>62</v>
          </cell>
          <cell r="J342">
            <v>-64</v>
          </cell>
          <cell r="K342" t="str">
            <v>L</v>
          </cell>
        </row>
        <row r="343">
          <cell r="A343" t="str">
            <v>2015Brian7</v>
          </cell>
          <cell r="D343" t="str">
            <v>Brian</v>
          </cell>
          <cell r="E343" t="str">
            <v>David</v>
          </cell>
          <cell r="F343">
            <v>2015</v>
          </cell>
          <cell r="I343">
            <v>126</v>
          </cell>
          <cell r="J343">
            <v>64</v>
          </cell>
          <cell r="K343" t="str">
            <v>W</v>
          </cell>
        </row>
        <row r="344">
          <cell r="A344" t="str">
            <v>2015Michael7</v>
          </cell>
          <cell r="D344" t="str">
            <v>Michael</v>
          </cell>
          <cell r="E344" t="str">
            <v>Watty</v>
          </cell>
          <cell r="F344">
            <v>2015</v>
          </cell>
          <cell r="I344">
            <v>104</v>
          </cell>
          <cell r="J344">
            <v>21</v>
          </cell>
          <cell r="K344" t="str">
            <v>W</v>
          </cell>
        </row>
        <row r="345">
          <cell r="A345" t="str">
            <v>2015Watty7</v>
          </cell>
          <cell r="D345" t="str">
            <v>Watty</v>
          </cell>
          <cell r="E345" t="str">
            <v>Michael</v>
          </cell>
          <cell r="F345">
            <v>2015</v>
          </cell>
          <cell r="I345">
            <v>83</v>
          </cell>
          <cell r="J345">
            <v>-21</v>
          </cell>
          <cell r="K345" t="str">
            <v>L</v>
          </cell>
        </row>
        <row r="346">
          <cell r="A346" t="str">
            <v>2015Russell8</v>
          </cell>
          <cell r="D346" t="str">
            <v>Russell</v>
          </cell>
          <cell r="E346" t="str">
            <v>BR</v>
          </cell>
          <cell r="F346">
            <v>2015</v>
          </cell>
          <cell r="I346">
            <v>85</v>
          </cell>
          <cell r="J346">
            <v>-37</v>
          </cell>
          <cell r="K346" t="str">
            <v>L</v>
          </cell>
        </row>
        <row r="347">
          <cell r="A347" t="str">
            <v>2015BR8</v>
          </cell>
          <cell r="D347" t="str">
            <v>BR</v>
          </cell>
          <cell r="E347" t="str">
            <v>Russell</v>
          </cell>
          <cell r="F347">
            <v>2015</v>
          </cell>
          <cell r="I347">
            <v>122</v>
          </cell>
          <cell r="J347">
            <v>37</v>
          </cell>
          <cell r="K347" t="str">
            <v>W</v>
          </cell>
        </row>
        <row r="348">
          <cell r="A348" t="str">
            <v>2015Abby8</v>
          </cell>
          <cell r="D348" t="str">
            <v>Abby</v>
          </cell>
          <cell r="E348" t="str">
            <v>Emily</v>
          </cell>
          <cell r="F348">
            <v>2015</v>
          </cell>
          <cell r="I348">
            <v>68</v>
          </cell>
          <cell r="J348">
            <v>-11</v>
          </cell>
          <cell r="K348" t="str">
            <v>L</v>
          </cell>
        </row>
        <row r="349">
          <cell r="A349" t="str">
            <v>2015Emily8</v>
          </cell>
          <cell r="D349" t="str">
            <v>Emily</v>
          </cell>
          <cell r="E349" t="str">
            <v>Abby</v>
          </cell>
          <cell r="F349">
            <v>2015</v>
          </cell>
          <cell r="I349">
            <v>79</v>
          </cell>
          <cell r="J349">
            <v>11</v>
          </cell>
          <cell r="K349" t="str">
            <v>W</v>
          </cell>
        </row>
        <row r="350">
          <cell r="A350" t="str">
            <v>2015Mark8</v>
          </cell>
          <cell r="D350" t="str">
            <v>Mark</v>
          </cell>
          <cell r="E350" t="str">
            <v>Brent</v>
          </cell>
          <cell r="F350">
            <v>2015</v>
          </cell>
          <cell r="I350">
            <v>100</v>
          </cell>
          <cell r="J350">
            <v>-7</v>
          </cell>
          <cell r="K350" t="str">
            <v>L</v>
          </cell>
        </row>
        <row r="351">
          <cell r="A351" t="str">
            <v>2015Brent8</v>
          </cell>
          <cell r="D351" t="str">
            <v>Brent</v>
          </cell>
          <cell r="E351" t="str">
            <v>Mark</v>
          </cell>
          <cell r="F351">
            <v>2015</v>
          </cell>
          <cell r="I351">
            <v>107</v>
          </cell>
          <cell r="J351">
            <v>7</v>
          </cell>
          <cell r="K351" t="str">
            <v>W</v>
          </cell>
        </row>
        <row r="352">
          <cell r="A352" t="str">
            <v>2015Charles8</v>
          </cell>
          <cell r="D352" t="str">
            <v>Charles</v>
          </cell>
          <cell r="E352" t="str">
            <v>David</v>
          </cell>
          <cell r="F352">
            <v>2015</v>
          </cell>
          <cell r="I352">
            <v>79</v>
          </cell>
          <cell r="J352">
            <v>28</v>
          </cell>
          <cell r="K352" t="str">
            <v>W</v>
          </cell>
        </row>
        <row r="353">
          <cell r="A353" t="str">
            <v>2015David8</v>
          </cell>
          <cell r="D353" t="str">
            <v>David</v>
          </cell>
          <cell r="E353" t="str">
            <v>Charles</v>
          </cell>
          <cell r="F353">
            <v>2015</v>
          </cell>
          <cell r="I353">
            <v>51</v>
          </cell>
          <cell r="J353">
            <v>-28</v>
          </cell>
          <cell r="K353" t="str">
            <v>L</v>
          </cell>
        </row>
        <row r="354">
          <cell r="A354" t="str">
            <v>2015Brian8</v>
          </cell>
          <cell r="D354" t="str">
            <v>Brian</v>
          </cell>
          <cell r="E354" t="str">
            <v>Michael</v>
          </cell>
          <cell r="F354">
            <v>2015</v>
          </cell>
          <cell r="I354">
            <v>92</v>
          </cell>
          <cell r="J354">
            <v>12</v>
          </cell>
          <cell r="K354" t="str">
            <v>W</v>
          </cell>
        </row>
        <row r="355">
          <cell r="A355" t="str">
            <v>2015Michael8</v>
          </cell>
          <cell r="D355" t="str">
            <v>Michael</v>
          </cell>
          <cell r="E355" t="str">
            <v>Brian</v>
          </cell>
          <cell r="F355">
            <v>2015</v>
          </cell>
          <cell r="I355">
            <v>80</v>
          </cell>
          <cell r="J355">
            <v>-12</v>
          </cell>
          <cell r="K355" t="str">
            <v>L</v>
          </cell>
        </row>
        <row r="356">
          <cell r="A356" t="str">
            <v>2015Watty8</v>
          </cell>
          <cell r="D356" t="str">
            <v>Watty</v>
          </cell>
          <cell r="E356" t="str">
            <v>Matt</v>
          </cell>
          <cell r="F356">
            <v>2015</v>
          </cell>
          <cell r="I356">
            <v>50</v>
          </cell>
          <cell r="J356">
            <v>-85</v>
          </cell>
          <cell r="K356" t="str">
            <v>L</v>
          </cell>
        </row>
        <row r="357">
          <cell r="A357" t="str">
            <v>2015Matt8</v>
          </cell>
          <cell r="D357" t="str">
            <v>Matt</v>
          </cell>
          <cell r="E357" t="str">
            <v>Watty</v>
          </cell>
          <cell r="F357">
            <v>2015</v>
          </cell>
          <cell r="I357">
            <v>135</v>
          </cell>
          <cell r="J357">
            <v>85</v>
          </cell>
          <cell r="K357" t="str">
            <v>W</v>
          </cell>
        </row>
        <row r="358">
          <cell r="A358" t="str">
            <v>2015Russell9</v>
          </cell>
          <cell r="D358" t="str">
            <v>Russell</v>
          </cell>
          <cell r="E358" t="str">
            <v>Mark</v>
          </cell>
          <cell r="F358">
            <v>2015</v>
          </cell>
          <cell r="I358">
            <v>81</v>
          </cell>
          <cell r="J358">
            <v>4</v>
          </cell>
          <cell r="K358" t="str">
            <v>W</v>
          </cell>
        </row>
        <row r="359">
          <cell r="A359" t="str">
            <v>2015Mark9</v>
          </cell>
          <cell r="D359" t="str">
            <v>Mark</v>
          </cell>
          <cell r="E359" t="str">
            <v>Russell</v>
          </cell>
          <cell r="F359">
            <v>2015</v>
          </cell>
          <cell r="I359">
            <v>77</v>
          </cell>
          <cell r="J359">
            <v>-4</v>
          </cell>
          <cell r="K359" t="str">
            <v>L</v>
          </cell>
        </row>
        <row r="360">
          <cell r="A360" t="str">
            <v>2015Brent9</v>
          </cell>
          <cell r="D360" t="str">
            <v>Brent</v>
          </cell>
          <cell r="E360" t="str">
            <v>Abby</v>
          </cell>
          <cell r="F360">
            <v>2015</v>
          </cell>
          <cell r="I360">
            <v>91</v>
          </cell>
          <cell r="J360">
            <v>19</v>
          </cell>
          <cell r="K360" t="str">
            <v>W</v>
          </cell>
        </row>
        <row r="361">
          <cell r="A361" t="str">
            <v>2015Abby9</v>
          </cell>
          <cell r="D361" t="str">
            <v>Abby</v>
          </cell>
          <cell r="E361" t="str">
            <v>Brent</v>
          </cell>
          <cell r="F361">
            <v>2015</v>
          </cell>
          <cell r="I361">
            <v>72</v>
          </cell>
          <cell r="J361">
            <v>-19</v>
          </cell>
          <cell r="K361" t="str">
            <v>L</v>
          </cell>
        </row>
        <row r="362">
          <cell r="A362" t="str">
            <v>2015David9</v>
          </cell>
          <cell r="D362" t="str">
            <v>David</v>
          </cell>
          <cell r="E362" t="str">
            <v>BR</v>
          </cell>
          <cell r="F362">
            <v>2015</v>
          </cell>
          <cell r="I362">
            <v>108</v>
          </cell>
          <cell r="J362">
            <v>13</v>
          </cell>
          <cell r="K362" t="str">
            <v>W</v>
          </cell>
        </row>
        <row r="363">
          <cell r="A363" t="str">
            <v>2015BR9</v>
          </cell>
          <cell r="D363" t="str">
            <v>BR</v>
          </cell>
          <cell r="E363" t="str">
            <v>David</v>
          </cell>
          <cell r="F363">
            <v>2015</v>
          </cell>
          <cell r="I363">
            <v>95</v>
          </cell>
          <cell r="J363">
            <v>-13</v>
          </cell>
          <cell r="K363" t="str">
            <v>L</v>
          </cell>
        </row>
        <row r="364">
          <cell r="A364" t="str">
            <v>2015Michael9</v>
          </cell>
          <cell r="D364" t="str">
            <v>Michael</v>
          </cell>
          <cell r="E364" t="str">
            <v>Charles</v>
          </cell>
          <cell r="F364">
            <v>2015</v>
          </cell>
          <cell r="I364">
            <v>80</v>
          </cell>
          <cell r="J364">
            <v>-45</v>
          </cell>
          <cell r="K364" t="str">
            <v>L</v>
          </cell>
        </row>
        <row r="365">
          <cell r="A365" t="str">
            <v>2015Charles9</v>
          </cell>
          <cell r="D365" t="str">
            <v>Charles</v>
          </cell>
          <cell r="E365" t="str">
            <v>Michael</v>
          </cell>
          <cell r="F365">
            <v>2015</v>
          </cell>
          <cell r="I365">
            <v>125</v>
          </cell>
          <cell r="J365">
            <v>45</v>
          </cell>
          <cell r="K365" t="str">
            <v>W</v>
          </cell>
        </row>
        <row r="366">
          <cell r="A366" t="str">
            <v>2015Matt9</v>
          </cell>
          <cell r="D366" t="str">
            <v>Matt</v>
          </cell>
          <cell r="E366" t="str">
            <v>Brian</v>
          </cell>
          <cell r="F366">
            <v>2015</v>
          </cell>
          <cell r="I366">
            <v>116</v>
          </cell>
          <cell r="J366">
            <v>35</v>
          </cell>
          <cell r="K366" t="str">
            <v>W</v>
          </cell>
        </row>
        <row r="367">
          <cell r="A367" t="str">
            <v>2015Brian9</v>
          </cell>
          <cell r="D367" t="str">
            <v>Brian</v>
          </cell>
          <cell r="E367" t="str">
            <v>Matt</v>
          </cell>
          <cell r="F367">
            <v>2015</v>
          </cell>
          <cell r="I367">
            <v>81</v>
          </cell>
          <cell r="J367">
            <v>-35</v>
          </cell>
          <cell r="K367" t="str">
            <v>L</v>
          </cell>
        </row>
        <row r="368">
          <cell r="A368" t="str">
            <v>2015Emily9</v>
          </cell>
          <cell r="D368" t="str">
            <v>Emily</v>
          </cell>
          <cell r="E368" t="str">
            <v>Watty</v>
          </cell>
          <cell r="F368">
            <v>2015</v>
          </cell>
          <cell r="I368">
            <v>69</v>
          </cell>
          <cell r="J368">
            <v>-8</v>
          </cell>
          <cell r="K368" t="str">
            <v>L</v>
          </cell>
        </row>
        <row r="369">
          <cell r="A369" t="str">
            <v>2015Watty9</v>
          </cell>
          <cell r="D369" t="str">
            <v>Watty</v>
          </cell>
          <cell r="E369" t="str">
            <v>Emily</v>
          </cell>
          <cell r="F369">
            <v>2015</v>
          </cell>
          <cell r="I369">
            <v>77</v>
          </cell>
          <cell r="J369">
            <v>8</v>
          </cell>
          <cell r="K369" t="str">
            <v>W</v>
          </cell>
        </row>
        <row r="370">
          <cell r="A370" t="str">
            <v>2015Russell10</v>
          </cell>
          <cell r="D370" t="str">
            <v>Russell</v>
          </cell>
          <cell r="E370" t="str">
            <v>Abby</v>
          </cell>
          <cell r="F370">
            <v>2015</v>
          </cell>
          <cell r="I370">
            <v>71</v>
          </cell>
          <cell r="J370">
            <v>52</v>
          </cell>
          <cell r="K370" t="str">
            <v>W</v>
          </cell>
        </row>
        <row r="371">
          <cell r="A371" t="str">
            <v>2015Abby10</v>
          </cell>
          <cell r="D371" t="str">
            <v>Abby</v>
          </cell>
          <cell r="E371" t="str">
            <v>Russell</v>
          </cell>
          <cell r="F371">
            <v>2015</v>
          </cell>
          <cell r="I371">
            <v>19</v>
          </cell>
          <cell r="J371">
            <v>-52</v>
          </cell>
          <cell r="K371" t="str">
            <v>L</v>
          </cell>
        </row>
        <row r="372">
          <cell r="A372" t="str">
            <v>2015Mark10</v>
          </cell>
          <cell r="D372" t="str">
            <v>Mark</v>
          </cell>
          <cell r="E372" t="str">
            <v>David</v>
          </cell>
          <cell r="F372">
            <v>2015</v>
          </cell>
          <cell r="I372">
            <v>68</v>
          </cell>
          <cell r="J372">
            <v>-23</v>
          </cell>
          <cell r="K372" t="str">
            <v>L</v>
          </cell>
        </row>
        <row r="373">
          <cell r="A373" t="str">
            <v>2015David10</v>
          </cell>
          <cell r="D373" t="str">
            <v>David</v>
          </cell>
          <cell r="E373" t="str">
            <v>Mark</v>
          </cell>
          <cell r="F373">
            <v>2015</v>
          </cell>
          <cell r="I373">
            <v>91</v>
          </cell>
          <cell r="J373">
            <v>23</v>
          </cell>
          <cell r="K373" t="str">
            <v>W</v>
          </cell>
        </row>
        <row r="374">
          <cell r="A374" t="str">
            <v>2015BR10</v>
          </cell>
          <cell r="D374" t="str">
            <v>BR</v>
          </cell>
          <cell r="E374" t="str">
            <v>Michael</v>
          </cell>
          <cell r="F374">
            <v>2015</v>
          </cell>
          <cell r="I374">
            <v>74</v>
          </cell>
          <cell r="J374">
            <v>-14</v>
          </cell>
          <cell r="K374" t="str">
            <v>L</v>
          </cell>
        </row>
        <row r="375">
          <cell r="A375" t="str">
            <v>2015Michael10</v>
          </cell>
          <cell r="D375" t="str">
            <v>Michael</v>
          </cell>
          <cell r="E375" t="str">
            <v>BR</v>
          </cell>
          <cell r="F375">
            <v>2015</v>
          </cell>
          <cell r="I375">
            <v>88</v>
          </cell>
          <cell r="J375">
            <v>14</v>
          </cell>
          <cell r="K375" t="str">
            <v>W</v>
          </cell>
        </row>
        <row r="376">
          <cell r="A376" t="str">
            <v>2015Charles10</v>
          </cell>
          <cell r="D376" t="str">
            <v>Charles</v>
          </cell>
          <cell r="E376" t="str">
            <v>Matt</v>
          </cell>
          <cell r="F376">
            <v>2015</v>
          </cell>
          <cell r="I376">
            <v>91</v>
          </cell>
          <cell r="J376">
            <v>-1</v>
          </cell>
          <cell r="K376" t="str">
            <v>L</v>
          </cell>
        </row>
        <row r="377">
          <cell r="A377" t="str">
            <v>2015Matt10</v>
          </cell>
          <cell r="D377" t="str">
            <v>Matt</v>
          </cell>
          <cell r="E377" t="str">
            <v>Charles</v>
          </cell>
          <cell r="F377">
            <v>2015</v>
          </cell>
          <cell r="I377">
            <v>92</v>
          </cell>
          <cell r="J377">
            <v>1</v>
          </cell>
          <cell r="K377" t="str">
            <v>W</v>
          </cell>
        </row>
        <row r="378">
          <cell r="A378" t="str">
            <v>2015Brian10</v>
          </cell>
          <cell r="D378" t="str">
            <v>Brian</v>
          </cell>
          <cell r="E378" t="str">
            <v>Emily</v>
          </cell>
          <cell r="F378">
            <v>2015</v>
          </cell>
          <cell r="I378">
            <v>95</v>
          </cell>
          <cell r="J378">
            <v>8</v>
          </cell>
          <cell r="K378" t="str">
            <v>W</v>
          </cell>
        </row>
        <row r="379">
          <cell r="A379" t="str">
            <v>2015Emily10</v>
          </cell>
          <cell r="D379" t="str">
            <v>Emily</v>
          </cell>
          <cell r="E379" t="str">
            <v>Brian</v>
          </cell>
          <cell r="F379">
            <v>2015</v>
          </cell>
          <cell r="I379">
            <v>87</v>
          </cell>
          <cell r="J379">
            <v>-8</v>
          </cell>
          <cell r="K379" t="str">
            <v>L</v>
          </cell>
        </row>
        <row r="380">
          <cell r="A380" t="str">
            <v>2015Watty10</v>
          </cell>
          <cell r="D380" t="str">
            <v>Watty</v>
          </cell>
          <cell r="E380" t="str">
            <v>Brent</v>
          </cell>
          <cell r="F380">
            <v>2015</v>
          </cell>
          <cell r="I380">
            <v>74</v>
          </cell>
          <cell r="J380">
            <v>5</v>
          </cell>
          <cell r="K380" t="str">
            <v>W</v>
          </cell>
        </row>
        <row r="381">
          <cell r="A381" t="str">
            <v>2015Brent10</v>
          </cell>
          <cell r="D381" t="str">
            <v>Brent</v>
          </cell>
          <cell r="E381" t="str">
            <v>Watty</v>
          </cell>
          <cell r="F381">
            <v>2015</v>
          </cell>
          <cell r="I381">
            <v>69</v>
          </cell>
          <cell r="J381">
            <v>-5</v>
          </cell>
          <cell r="K381" t="str">
            <v>L</v>
          </cell>
        </row>
        <row r="382">
          <cell r="A382" t="str">
            <v>2015Russell11</v>
          </cell>
          <cell r="D382" t="str">
            <v>Russell</v>
          </cell>
          <cell r="E382" t="str">
            <v>Watty</v>
          </cell>
          <cell r="F382">
            <v>2015</v>
          </cell>
          <cell r="I382">
            <v>84</v>
          </cell>
          <cell r="J382">
            <v>2</v>
          </cell>
          <cell r="K382" t="str">
            <v>W</v>
          </cell>
        </row>
        <row r="383">
          <cell r="A383" t="str">
            <v>2015Watty11</v>
          </cell>
          <cell r="D383" t="str">
            <v>Watty</v>
          </cell>
          <cell r="E383" t="str">
            <v>Russell</v>
          </cell>
          <cell r="F383">
            <v>2015</v>
          </cell>
          <cell r="I383">
            <v>82</v>
          </cell>
          <cell r="J383">
            <v>-2</v>
          </cell>
          <cell r="K383" t="str">
            <v>L</v>
          </cell>
        </row>
        <row r="384">
          <cell r="A384" t="str">
            <v>2015David11</v>
          </cell>
          <cell r="D384" t="str">
            <v>David</v>
          </cell>
          <cell r="E384" t="str">
            <v>Abby</v>
          </cell>
          <cell r="F384">
            <v>2015</v>
          </cell>
          <cell r="I384">
            <v>59</v>
          </cell>
          <cell r="J384">
            <v>-24</v>
          </cell>
          <cell r="K384" t="str">
            <v>L</v>
          </cell>
        </row>
        <row r="385">
          <cell r="A385" t="str">
            <v>2015Abby11</v>
          </cell>
          <cell r="D385" t="str">
            <v>Abby</v>
          </cell>
          <cell r="E385" t="str">
            <v>David</v>
          </cell>
          <cell r="F385">
            <v>2015</v>
          </cell>
          <cell r="I385">
            <v>83</v>
          </cell>
          <cell r="J385">
            <v>24</v>
          </cell>
          <cell r="K385" t="str">
            <v>W</v>
          </cell>
        </row>
        <row r="386">
          <cell r="A386" t="str">
            <v>2015Michael11</v>
          </cell>
          <cell r="D386" t="str">
            <v>Michael</v>
          </cell>
          <cell r="E386" t="str">
            <v>Mark</v>
          </cell>
          <cell r="F386">
            <v>2015</v>
          </cell>
          <cell r="I386">
            <v>84</v>
          </cell>
          <cell r="J386">
            <v>4</v>
          </cell>
          <cell r="K386" t="str">
            <v>W</v>
          </cell>
        </row>
        <row r="387">
          <cell r="A387" t="str">
            <v>2015Mark11</v>
          </cell>
          <cell r="D387" t="str">
            <v>Mark</v>
          </cell>
          <cell r="E387" t="str">
            <v>Michael</v>
          </cell>
          <cell r="F387">
            <v>2015</v>
          </cell>
          <cell r="I387">
            <v>80</v>
          </cell>
          <cell r="J387">
            <v>-4</v>
          </cell>
          <cell r="K387" t="str">
            <v>L</v>
          </cell>
        </row>
        <row r="388">
          <cell r="A388" t="str">
            <v>2015Matt11</v>
          </cell>
          <cell r="D388" t="str">
            <v>Matt</v>
          </cell>
          <cell r="E388" t="str">
            <v>BR</v>
          </cell>
          <cell r="F388">
            <v>2015</v>
          </cell>
          <cell r="I388">
            <v>103</v>
          </cell>
          <cell r="J388">
            <v>75</v>
          </cell>
          <cell r="K388" t="str">
            <v>W</v>
          </cell>
        </row>
        <row r="389">
          <cell r="A389" t="str">
            <v>2015BR11</v>
          </cell>
          <cell r="D389" t="str">
            <v>BR</v>
          </cell>
          <cell r="E389" t="str">
            <v>Matt</v>
          </cell>
          <cell r="F389">
            <v>2015</v>
          </cell>
          <cell r="I389">
            <v>28</v>
          </cell>
          <cell r="J389">
            <v>-75</v>
          </cell>
          <cell r="K389" t="str">
            <v>L</v>
          </cell>
        </row>
        <row r="390">
          <cell r="A390" t="str">
            <v>2015Emily11</v>
          </cell>
          <cell r="D390" t="str">
            <v>Emily</v>
          </cell>
          <cell r="E390" t="str">
            <v>Charles</v>
          </cell>
          <cell r="F390">
            <v>2015</v>
          </cell>
          <cell r="I390">
            <v>57</v>
          </cell>
          <cell r="J390">
            <v>11</v>
          </cell>
          <cell r="K390" t="str">
            <v>W</v>
          </cell>
        </row>
        <row r="391">
          <cell r="A391" t="str">
            <v>2015Charles11</v>
          </cell>
          <cell r="D391" t="str">
            <v>Charles</v>
          </cell>
          <cell r="E391" t="str">
            <v>Emily</v>
          </cell>
          <cell r="F391">
            <v>2015</v>
          </cell>
          <cell r="I391">
            <v>46</v>
          </cell>
          <cell r="J391">
            <v>-11</v>
          </cell>
          <cell r="K391" t="str">
            <v>L</v>
          </cell>
        </row>
        <row r="392">
          <cell r="A392" t="str">
            <v>2015Brent11</v>
          </cell>
          <cell r="D392" t="str">
            <v>Brent</v>
          </cell>
          <cell r="E392" t="str">
            <v>Brian</v>
          </cell>
          <cell r="F392">
            <v>2015</v>
          </cell>
          <cell r="I392">
            <v>87</v>
          </cell>
          <cell r="J392">
            <v>12</v>
          </cell>
          <cell r="K392" t="str">
            <v>W</v>
          </cell>
        </row>
        <row r="393">
          <cell r="A393" t="str">
            <v>2015Brian11</v>
          </cell>
          <cell r="D393" t="str">
            <v>Brian</v>
          </cell>
          <cell r="E393" t="str">
            <v>Brent</v>
          </cell>
          <cell r="F393">
            <v>2015</v>
          </cell>
          <cell r="I393">
            <v>75</v>
          </cell>
          <cell r="J393">
            <v>-12</v>
          </cell>
          <cell r="K393" t="str">
            <v>L</v>
          </cell>
        </row>
        <row r="394">
          <cell r="A394" t="str">
            <v>2015Russell12</v>
          </cell>
          <cell r="D394" t="str">
            <v>Russell</v>
          </cell>
          <cell r="E394" t="str">
            <v>Brian</v>
          </cell>
          <cell r="F394">
            <v>2015</v>
          </cell>
          <cell r="I394">
            <v>93</v>
          </cell>
          <cell r="J394">
            <v>31</v>
          </cell>
          <cell r="K394" t="str">
            <v>W</v>
          </cell>
        </row>
        <row r="395">
          <cell r="A395" t="str">
            <v>2015Brian12</v>
          </cell>
          <cell r="D395" t="str">
            <v>Brian</v>
          </cell>
          <cell r="E395" t="str">
            <v>Russell</v>
          </cell>
          <cell r="F395">
            <v>2015</v>
          </cell>
          <cell r="I395">
            <v>62</v>
          </cell>
          <cell r="J395">
            <v>-31</v>
          </cell>
          <cell r="K395" t="str">
            <v>L</v>
          </cell>
        </row>
        <row r="396">
          <cell r="A396" t="str">
            <v>2015Michael12</v>
          </cell>
          <cell r="D396" t="str">
            <v>Michael</v>
          </cell>
          <cell r="E396" t="str">
            <v>Abby</v>
          </cell>
          <cell r="F396">
            <v>2015</v>
          </cell>
          <cell r="I396">
            <v>80</v>
          </cell>
          <cell r="J396">
            <v>-13</v>
          </cell>
          <cell r="K396" t="str">
            <v>L</v>
          </cell>
        </row>
        <row r="397">
          <cell r="A397" t="str">
            <v>2015Abby12</v>
          </cell>
          <cell r="D397" t="str">
            <v>Abby</v>
          </cell>
          <cell r="E397" t="str">
            <v>Michael</v>
          </cell>
          <cell r="F397">
            <v>2015</v>
          </cell>
          <cell r="I397">
            <v>93</v>
          </cell>
          <cell r="J397">
            <v>13</v>
          </cell>
          <cell r="K397" t="str">
            <v>W</v>
          </cell>
        </row>
        <row r="398">
          <cell r="A398" t="str">
            <v>2015Matt12</v>
          </cell>
          <cell r="D398" t="str">
            <v>Matt</v>
          </cell>
          <cell r="E398" t="str">
            <v>Mark</v>
          </cell>
          <cell r="F398">
            <v>2015</v>
          </cell>
          <cell r="I398">
            <v>71</v>
          </cell>
          <cell r="J398">
            <v>-4</v>
          </cell>
          <cell r="K398" t="str">
            <v>L</v>
          </cell>
        </row>
        <row r="399">
          <cell r="A399" t="str">
            <v>2015Mark12</v>
          </cell>
          <cell r="D399" t="str">
            <v>Mark</v>
          </cell>
          <cell r="E399" t="str">
            <v>Matt</v>
          </cell>
          <cell r="F399">
            <v>2015</v>
          </cell>
          <cell r="I399">
            <v>75</v>
          </cell>
          <cell r="J399">
            <v>4</v>
          </cell>
          <cell r="K399" t="str">
            <v>W</v>
          </cell>
        </row>
        <row r="400">
          <cell r="A400" t="str">
            <v>2015Emily12</v>
          </cell>
          <cell r="D400" t="str">
            <v>Emily</v>
          </cell>
          <cell r="E400" t="str">
            <v>BR</v>
          </cell>
          <cell r="F400">
            <v>2015</v>
          </cell>
          <cell r="I400">
            <v>71</v>
          </cell>
          <cell r="J400">
            <v>-33</v>
          </cell>
          <cell r="K400" t="str">
            <v>L</v>
          </cell>
        </row>
        <row r="401">
          <cell r="A401" t="str">
            <v>2015BR12</v>
          </cell>
          <cell r="D401" t="str">
            <v>BR</v>
          </cell>
          <cell r="E401" t="str">
            <v>Emily</v>
          </cell>
          <cell r="F401">
            <v>2015</v>
          </cell>
          <cell r="I401">
            <v>104</v>
          </cell>
          <cell r="J401">
            <v>33</v>
          </cell>
          <cell r="K401" t="str">
            <v>W</v>
          </cell>
        </row>
        <row r="402">
          <cell r="A402" t="str">
            <v>2015Brent12</v>
          </cell>
          <cell r="D402" t="str">
            <v>Brent</v>
          </cell>
          <cell r="E402" t="str">
            <v>Charles</v>
          </cell>
          <cell r="F402">
            <v>2015</v>
          </cell>
          <cell r="I402">
            <v>104</v>
          </cell>
          <cell r="J402">
            <v>8</v>
          </cell>
          <cell r="K402" t="str">
            <v>W</v>
          </cell>
        </row>
        <row r="403">
          <cell r="A403" t="str">
            <v>2015Charles12</v>
          </cell>
          <cell r="D403" t="str">
            <v>Charles</v>
          </cell>
          <cell r="E403" t="str">
            <v>Brent</v>
          </cell>
          <cell r="F403">
            <v>2015</v>
          </cell>
          <cell r="I403">
            <v>96</v>
          </cell>
          <cell r="J403">
            <v>-8</v>
          </cell>
          <cell r="K403" t="str">
            <v>L</v>
          </cell>
        </row>
        <row r="404">
          <cell r="A404" t="str">
            <v>2015David12</v>
          </cell>
          <cell r="D404" t="str">
            <v>David</v>
          </cell>
          <cell r="E404" t="str">
            <v>Watty</v>
          </cell>
          <cell r="F404">
            <v>2015</v>
          </cell>
          <cell r="I404">
            <v>81</v>
          </cell>
          <cell r="J404">
            <v>3</v>
          </cell>
          <cell r="K404" t="str">
            <v>W</v>
          </cell>
        </row>
        <row r="405">
          <cell r="A405" t="str">
            <v>2015Watty12</v>
          </cell>
          <cell r="D405" t="str">
            <v>Watty</v>
          </cell>
          <cell r="E405" t="str">
            <v>David</v>
          </cell>
          <cell r="F405">
            <v>2015</v>
          </cell>
          <cell r="I405">
            <v>78</v>
          </cell>
          <cell r="J405">
            <v>-3</v>
          </cell>
          <cell r="K405" t="str">
            <v>L</v>
          </cell>
        </row>
        <row r="406">
          <cell r="A406" t="str">
            <v>2015Russell13</v>
          </cell>
          <cell r="D406" t="str">
            <v>Russell</v>
          </cell>
          <cell r="E406" t="str">
            <v>Charles</v>
          </cell>
          <cell r="F406">
            <v>2015</v>
          </cell>
          <cell r="I406">
            <v>97</v>
          </cell>
          <cell r="J406">
            <v>-31</v>
          </cell>
          <cell r="K406" t="str">
            <v>L</v>
          </cell>
        </row>
        <row r="407">
          <cell r="A407" t="str">
            <v>2015Charles13</v>
          </cell>
          <cell r="D407" t="str">
            <v>Charles</v>
          </cell>
          <cell r="E407" t="str">
            <v>Russell</v>
          </cell>
          <cell r="F407">
            <v>2015</v>
          </cell>
          <cell r="I407">
            <v>128</v>
          </cell>
          <cell r="J407">
            <v>31</v>
          </cell>
          <cell r="K407" t="str">
            <v>W</v>
          </cell>
        </row>
        <row r="408">
          <cell r="A408" t="str">
            <v>2015Abby13</v>
          </cell>
          <cell r="D408" t="str">
            <v>Abby</v>
          </cell>
          <cell r="E408" t="str">
            <v>Matt</v>
          </cell>
          <cell r="F408">
            <v>2015</v>
          </cell>
          <cell r="I408">
            <v>106</v>
          </cell>
          <cell r="J408">
            <v>19</v>
          </cell>
          <cell r="K408" t="str">
            <v>W</v>
          </cell>
        </row>
        <row r="409">
          <cell r="A409" t="str">
            <v>2015Matt13</v>
          </cell>
          <cell r="D409" t="str">
            <v>Matt</v>
          </cell>
          <cell r="E409" t="str">
            <v>Abby</v>
          </cell>
          <cell r="F409">
            <v>2015</v>
          </cell>
          <cell r="I409">
            <v>87</v>
          </cell>
          <cell r="J409">
            <v>-19</v>
          </cell>
          <cell r="K409" t="str">
            <v>L</v>
          </cell>
        </row>
        <row r="410">
          <cell r="A410" t="str">
            <v>2015Mark13</v>
          </cell>
          <cell r="D410" t="str">
            <v>Mark</v>
          </cell>
          <cell r="E410" t="str">
            <v>Emily</v>
          </cell>
          <cell r="F410">
            <v>2015</v>
          </cell>
          <cell r="I410">
            <v>68</v>
          </cell>
          <cell r="J410">
            <v>-37</v>
          </cell>
          <cell r="K410" t="str">
            <v>L</v>
          </cell>
        </row>
        <row r="411">
          <cell r="A411" t="str">
            <v>2015Emily13</v>
          </cell>
          <cell r="D411" t="str">
            <v>Emily</v>
          </cell>
          <cell r="E411" t="str">
            <v>Mark</v>
          </cell>
          <cell r="F411">
            <v>2015</v>
          </cell>
          <cell r="I411">
            <v>105</v>
          </cell>
          <cell r="J411">
            <v>37</v>
          </cell>
          <cell r="K411" t="str">
            <v>W</v>
          </cell>
        </row>
        <row r="412">
          <cell r="A412" t="str">
            <v>2015BR13</v>
          </cell>
          <cell r="D412" t="str">
            <v>BR</v>
          </cell>
          <cell r="E412" t="str">
            <v>Brent</v>
          </cell>
          <cell r="F412">
            <v>2015</v>
          </cell>
          <cell r="I412">
            <v>100</v>
          </cell>
          <cell r="J412">
            <v>-4</v>
          </cell>
          <cell r="K412" t="str">
            <v>L</v>
          </cell>
        </row>
        <row r="413">
          <cell r="A413" t="str">
            <v>2015Brent13</v>
          </cell>
          <cell r="D413" t="str">
            <v>Brent</v>
          </cell>
          <cell r="E413" t="str">
            <v>BR</v>
          </cell>
          <cell r="F413">
            <v>2015</v>
          </cell>
          <cell r="I413">
            <v>104</v>
          </cell>
          <cell r="J413">
            <v>4</v>
          </cell>
          <cell r="K413" t="str">
            <v>W</v>
          </cell>
        </row>
        <row r="414">
          <cell r="A414" t="str">
            <v>2015Brian13</v>
          </cell>
          <cell r="D414" t="str">
            <v>Brian</v>
          </cell>
          <cell r="E414" t="str">
            <v>David</v>
          </cell>
          <cell r="F414">
            <v>2015</v>
          </cell>
          <cell r="I414">
            <v>72</v>
          </cell>
          <cell r="J414">
            <v>9</v>
          </cell>
          <cell r="K414" t="str">
            <v>W</v>
          </cell>
        </row>
        <row r="415">
          <cell r="A415" t="str">
            <v>2015David13</v>
          </cell>
          <cell r="D415" t="str">
            <v>David</v>
          </cell>
          <cell r="E415" t="str">
            <v>Brian</v>
          </cell>
          <cell r="F415">
            <v>2015</v>
          </cell>
          <cell r="I415">
            <v>63</v>
          </cell>
          <cell r="J415">
            <v>-9</v>
          </cell>
          <cell r="K415" t="str">
            <v>L</v>
          </cell>
        </row>
        <row r="416">
          <cell r="A416" t="str">
            <v>2015Watty13</v>
          </cell>
          <cell r="D416" t="str">
            <v>Watty</v>
          </cell>
          <cell r="E416" t="str">
            <v>Michael</v>
          </cell>
          <cell r="F416">
            <v>2015</v>
          </cell>
          <cell r="I416">
            <v>81</v>
          </cell>
          <cell r="J416">
            <v>-50</v>
          </cell>
          <cell r="K416" t="str">
            <v>L</v>
          </cell>
        </row>
        <row r="417">
          <cell r="A417" t="str">
            <v>2015Michael13</v>
          </cell>
          <cell r="D417" t="str">
            <v>Michael</v>
          </cell>
          <cell r="E417" t="str">
            <v>Watty</v>
          </cell>
          <cell r="F417">
            <v>2015</v>
          </cell>
          <cell r="I417">
            <v>131</v>
          </cell>
          <cell r="J417">
            <v>50</v>
          </cell>
          <cell r="K417" t="str">
            <v>W</v>
          </cell>
        </row>
        <row r="418">
          <cell r="A418" t="str">
            <v>2016Michael1</v>
          </cell>
          <cell r="D418" t="str">
            <v>Michael</v>
          </cell>
          <cell r="E418" t="str">
            <v>Matt</v>
          </cell>
          <cell r="F418">
            <v>2016</v>
          </cell>
          <cell r="I418">
            <v>78</v>
          </cell>
          <cell r="J418">
            <v>5</v>
          </cell>
          <cell r="K418" t="str">
            <v>W</v>
          </cell>
        </row>
        <row r="419">
          <cell r="A419" t="str">
            <v>2016Matt1</v>
          </cell>
          <cell r="D419" t="str">
            <v>Matt</v>
          </cell>
          <cell r="E419" t="str">
            <v>Michael</v>
          </cell>
          <cell r="F419">
            <v>2016</v>
          </cell>
          <cell r="I419">
            <v>73</v>
          </cell>
          <cell r="J419">
            <v>-5</v>
          </cell>
          <cell r="K419" t="str">
            <v>L</v>
          </cell>
        </row>
        <row r="420">
          <cell r="A420" t="str">
            <v>2016Abby1</v>
          </cell>
          <cell r="D420" t="str">
            <v>Abby</v>
          </cell>
          <cell r="E420" t="str">
            <v>Russell</v>
          </cell>
          <cell r="F420">
            <v>2016</v>
          </cell>
          <cell r="I420">
            <v>95</v>
          </cell>
          <cell r="J420">
            <v>-42</v>
          </cell>
          <cell r="K420" t="str">
            <v>L</v>
          </cell>
        </row>
        <row r="421">
          <cell r="A421" t="str">
            <v>2016Russell1</v>
          </cell>
          <cell r="D421" t="str">
            <v>Russell</v>
          </cell>
          <cell r="E421" t="str">
            <v>Abby</v>
          </cell>
          <cell r="F421">
            <v>2016</v>
          </cell>
          <cell r="I421">
            <v>137</v>
          </cell>
          <cell r="J421">
            <v>42</v>
          </cell>
          <cell r="K421" t="str">
            <v>W</v>
          </cell>
        </row>
        <row r="422">
          <cell r="A422" t="str">
            <v>2016BR1</v>
          </cell>
          <cell r="D422" t="str">
            <v>BR</v>
          </cell>
          <cell r="E422" t="str">
            <v>Watty</v>
          </cell>
          <cell r="F422">
            <v>2016</v>
          </cell>
          <cell r="I422">
            <v>108</v>
          </cell>
          <cell r="J422">
            <v>5</v>
          </cell>
          <cell r="K422" t="str">
            <v>W</v>
          </cell>
        </row>
        <row r="423">
          <cell r="A423" t="str">
            <v>2016Watty1</v>
          </cell>
          <cell r="D423" t="str">
            <v>Watty</v>
          </cell>
          <cell r="E423" t="str">
            <v>BR</v>
          </cell>
          <cell r="F423">
            <v>2016</v>
          </cell>
          <cell r="I423">
            <v>103</v>
          </cell>
          <cell r="J423">
            <v>-5</v>
          </cell>
          <cell r="K423" t="str">
            <v>L</v>
          </cell>
        </row>
        <row r="424">
          <cell r="A424" t="str">
            <v>2016Emily1</v>
          </cell>
          <cell r="D424" t="str">
            <v>Emily</v>
          </cell>
          <cell r="E424" t="str">
            <v>David</v>
          </cell>
          <cell r="F424">
            <v>2016</v>
          </cell>
          <cell r="I424">
            <v>72</v>
          </cell>
          <cell r="J424">
            <v>-18</v>
          </cell>
          <cell r="K424" t="str">
            <v>L</v>
          </cell>
        </row>
        <row r="425">
          <cell r="A425" t="str">
            <v>2016David1</v>
          </cell>
          <cell r="D425" t="str">
            <v>David</v>
          </cell>
          <cell r="E425" t="str">
            <v>Emily</v>
          </cell>
          <cell r="F425">
            <v>2016</v>
          </cell>
          <cell r="I425">
            <v>90</v>
          </cell>
          <cell r="J425">
            <v>18</v>
          </cell>
          <cell r="K425" t="str">
            <v>W</v>
          </cell>
        </row>
        <row r="426">
          <cell r="A426" t="str">
            <v>2016Brent1</v>
          </cell>
          <cell r="D426" t="str">
            <v>Brent</v>
          </cell>
          <cell r="E426" t="str">
            <v>Mark</v>
          </cell>
          <cell r="F426">
            <v>2016</v>
          </cell>
          <cell r="I426">
            <v>105</v>
          </cell>
          <cell r="J426">
            <v>21</v>
          </cell>
          <cell r="K426" t="str">
            <v>W</v>
          </cell>
        </row>
        <row r="427">
          <cell r="A427" t="str">
            <v>2016Mark1</v>
          </cell>
          <cell r="D427" t="str">
            <v>Mark</v>
          </cell>
          <cell r="E427" t="str">
            <v>Brent</v>
          </cell>
          <cell r="F427">
            <v>2016</v>
          </cell>
          <cell r="I427">
            <v>84</v>
          </cell>
          <cell r="J427">
            <v>-21</v>
          </cell>
          <cell r="K427" t="str">
            <v>L</v>
          </cell>
        </row>
        <row r="428">
          <cell r="A428" t="str">
            <v>2016Charles1</v>
          </cell>
          <cell r="D428" t="str">
            <v>Charles</v>
          </cell>
          <cell r="E428" t="str">
            <v>Brian</v>
          </cell>
          <cell r="F428">
            <v>2016</v>
          </cell>
          <cell r="I428">
            <v>141</v>
          </cell>
          <cell r="J428">
            <v>87</v>
          </cell>
          <cell r="K428" t="str">
            <v>W</v>
          </cell>
        </row>
        <row r="429">
          <cell r="A429" t="str">
            <v>2016Brian1</v>
          </cell>
          <cell r="D429" t="str">
            <v>Brian</v>
          </cell>
          <cell r="E429" t="str">
            <v>Charles</v>
          </cell>
          <cell r="F429">
            <v>2016</v>
          </cell>
          <cell r="I429">
            <v>54</v>
          </cell>
          <cell r="J429">
            <v>-87</v>
          </cell>
          <cell r="K429" t="str">
            <v>L</v>
          </cell>
        </row>
        <row r="430">
          <cell r="A430" t="str">
            <v>2016Emily2</v>
          </cell>
          <cell r="D430" t="str">
            <v>Emily</v>
          </cell>
          <cell r="E430" t="str">
            <v>Michael</v>
          </cell>
          <cell r="F430">
            <v>2016</v>
          </cell>
          <cell r="I430">
            <v>54</v>
          </cell>
          <cell r="J430">
            <v>-38</v>
          </cell>
          <cell r="K430" t="str">
            <v>L</v>
          </cell>
        </row>
        <row r="431">
          <cell r="A431" t="str">
            <v>2016Michael2</v>
          </cell>
          <cell r="D431" t="str">
            <v>Michael</v>
          </cell>
          <cell r="E431" t="str">
            <v>Emily</v>
          </cell>
          <cell r="F431">
            <v>2016</v>
          </cell>
          <cell r="I431">
            <v>92</v>
          </cell>
          <cell r="J431">
            <v>38</v>
          </cell>
          <cell r="K431" t="str">
            <v>W</v>
          </cell>
        </row>
        <row r="432">
          <cell r="A432" t="str">
            <v>2016David2</v>
          </cell>
          <cell r="D432" t="str">
            <v>David</v>
          </cell>
          <cell r="E432" t="str">
            <v>Russell</v>
          </cell>
          <cell r="F432">
            <v>2016</v>
          </cell>
          <cell r="I432">
            <v>73</v>
          </cell>
          <cell r="J432">
            <v>6</v>
          </cell>
          <cell r="K432" t="str">
            <v>W</v>
          </cell>
        </row>
        <row r="433">
          <cell r="A433" t="str">
            <v>2016Russell2</v>
          </cell>
          <cell r="D433" t="str">
            <v>Russell</v>
          </cell>
          <cell r="E433" t="str">
            <v>David</v>
          </cell>
          <cell r="F433">
            <v>2016</v>
          </cell>
          <cell r="I433">
            <v>67</v>
          </cell>
          <cell r="J433">
            <v>-6</v>
          </cell>
          <cell r="K433" t="str">
            <v>L</v>
          </cell>
        </row>
        <row r="434">
          <cell r="A434" t="str">
            <v>2016Mark2</v>
          </cell>
          <cell r="D434" t="str">
            <v>Mark</v>
          </cell>
          <cell r="E434" t="str">
            <v>Charles</v>
          </cell>
          <cell r="F434">
            <v>2016</v>
          </cell>
          <cell r="I434">
            <v>89</v>
          </cell>
          <cell r="J434">
            <v>-8</v>
          </cell>
          <cell r="K434" t="str">
            <v>L</v>
          </cell>
        </row>
        <row r="435">
          <cell r="A435" t="str">
            <v>2016Charles2</v>
          </cell>
          <cell r="D435" t="str">
            <v>Charles</v>
          </cell>
          <cell r="E435" t="str">
            <v>Mark</v>
          </cell>
          <cell r="F435">
            <v>2016</v>
          </cell>
          <cell r="I435">
            <v>97</v>
          </cell>
          <cell r="J435">
            <v>8</v>
          </cell>
          <cell r="K435" t="str">
            <v>W</v>
          </cell>
        </row>
        <row r="436">
          <cell r="A436" t="str">
            <v>2016Matt2</v>
          </cell>
          <cell r="D436" t="str">
            <v>Matt</v>
          </cell>
          <cell r="E436" t="str">
            <v>Brent</v>
          </cell>
          <cell r="F436">
            <v>2016</v>
          </cell>
          <cell r="I436">
            <v>88</v>
          </cell>
          <cell r="J436">
            <v>-1</v>
          </cell>
          <cell r="K436" t="str">
            <v>L</v>
          </cell>
        </row>
        <row r="437">
          <cell r="A437" t="str">
            <v>2016Brent2</v>
          </cell>
          <cell r="D437" t="str">
            <v>Brent</v>
          </cell>
          <cell r="E437" t="str">
            <v>Matt</v>
          </cell>
          <cell r="F437">
            <v>2016</v>
          </cell>
          <cell r="I437">
            <v>89</v>
          </cell>
          <cell r="J437">
            <v>1</v>
          </cell>
          <cell r="K437" t="str">
            <v>W</v>
          </cell>
        </row>
        <row r="438">
          <cell r="A438" t="str">
            <v>2016BR2</v>
          </cell>
          <cell r="D438" t="str">
            <v>BR</v>
          </cell>
          <cell r="E438" t="str">
            <v>Abby</v>
          </cell>
          <cell r="F438">
            <v>2016</v>
          </cell>
          <cell r="I438">
            <v>89</v>
          </cell>
          <cell r="J438">
            <v>-20</v>
          </cell>
          <cell r="K438" t="str">
            <v>L</v>
          </cell>
        </row>
        <row r="439">
          <cell r="A439" t="str">
            <v>2016Abby2</v>
          </cell>
          <cell r="D439" t="str">
            <v>Abby</v>
          </cell>
          <cell r="E439" t="str">
            <v>BR</v>
          </cell>
          <cell r="F439">
            <v>2016</v>
          </cell>
          <cell r="I439">
            <v>109</v>
          </cell>
          <cell r="J439">
            <v>20</v>
          </cell>
          <cell r="K439" t="str">
            <v>W</v>
          </cell>
        </row>
        <row r="440">
          <cell r="A440" t="str">
            <v>2016Watty2</v>
          </cell>
          <cell r="D440" t="str">
            <v>Watty</v>
          </cell>
          <cell r="E440" t="str">
            <v>Brian</v>
          </cell>
          <cell r="F440">
            <v>2016</v>
          </cell>
          <cell r="I440">
            <v>93</v>
          </cell>
          <cell r="J440">
            <v>-27</v>
          </cell>
          <cell r="K440" t="str">
            <v>L</v>
          </cell>
        </row>
        <row r="441">
          <cell r="A441" t="str">
            <v>2016Brian2</v>
          </cell>
          <cell r="D441" t="str">
            <v>Brian</v>
          </cell>
          <cell r="E441" t="str">
            <v>Watty</v>
          </cell>
          <cell r="F441">
            <v>2016</v>
          </cell>
          <cell r="I441">
            <v>120</v>
          </cell>
          <cell r="J441">
            <v>27</v>
          </cell>
          <cell r="K441" t="str">
            <v>W</v>
          </cell>
        </row>
        <row r="442">
          <cell r="A442" t="str">
            <v>2016Michael3</v>
          </cell>
          <cell r="D442" t="str">
            <v>Michael</v>
          </cell>
          <cell r="E442" t="str">
            <v>Brent</v>
          </cell>
          <cell r="F442">
            <v>2016</v>
          </cell>
          <cell r="I442">
            <v>56</v>
          </cell>
          <cell r="J442">
            <v>-72</v>
          </cell>
          <cell r="K442" t="str">
            <v>L</v>
          </cell>
        </row>
        <row r="443">
          <cell r="A443" t="str">
            <v>2016Brent3</v>
          </cell>
          <cell r="D443" t="str">
            <v>Brent</v>
          </cell>
          <cell r="E443" t="str">
            <v>Michael</v>
          </cell>
          <cell r="F443">
            <v>2016</v>
          </cell>
          <cell r="I443">
            <v>128</v>
          </cell>
          <cell r="J443">
            <v>72</v>
          </cell>
          <cell r="K443" t="str">
            <v>W</v>
          </cell>
        </row>
        <row r="444">
          <cell r="A444" t="str">
            <v>2016David3</v>
          </cell>
          <cell r="D444" t="str">
            <v>David</v>
          </cell>
          <cell r="E444" t="str">
            <v>Matt</v>
          </cell>
          <cell r="F444">
            <v>2016</v>
          </cell>
          <cell r="I444">
            <v>116</v>
          </cell>
          <cell r="J444">
            <v>28</v>
          </cell>
          <cell r="K444" t="str">
            <v>W</v>
          </cell>
        </row>
        <row r="445">
          <cell r="A445" t="str">
            <v>2016Matt3</v>
          </cell>
          <cell r="D445" t="str">
            <v>Matt</v>
          </cell>
          <cell r="E445" t="str">
            <v>David</v>
          </cell>
          <cell r="F445">
            <v>2016</v>
          </cell>
          <cell r="I445">
            <v>88</v>
          </cell>
          <cell r="J445">
            <v>-28</v>
          </cell>
          <cell r="K445" t="str">
            <v>L</v>
          </cell>
        </row>
        <row r="446">
          <cell r="A446" t="str">
            <v>2016Brian3</v>
          </cell>
          <cell r="D446" t="str">
            <v>Brian</v>
          </cell>
          <cell r="E446" t="str">
            <v>BR</v>
          </cell>
          <cell r="F446">
            <v>2016</v>
          </cell>
          <cell r="I446">
            <v>70</v>
          </cell>
          <cell r="J446">
            <v>-24</v>
          </cell>
          <cell r="K446" t="str">
            <v>L</v>
          </cell>
        </row>
        <row r="447">
          <cell r="A447" t="str">
            <v>2016BR3</v>
          </cell>
          <cell r="D447" t="str">
            <v>BR</v>
          </cell>
          <cell r="E447" t="str">
            <v>Brian</v>
          </cell>
          <cell r="F447">
            <v>2016</v>
          </cell>
          <cell r="I447">
            <v>94</v>
          </cell>
          <cell r="J447">
            <v>24</v>
          </cell>
          <cell r="K447" t="str">
            <v>W</v>
          </cell>
        </row>
        <row r="448">
          <cell r="A448" t="str">
            <v>2016Russell3</v>
          </cell>
          <cell r="D448" t="str">
            <v>Russell</v>
          </cell>
          <cell r="E448" t="str">
            <v>Emily</v>
          </cell>
          <cell r="F448">
            <v>2016</v>
          </cell>
          <cell r="I448">
            <v>92</v>
          </cell>
          <cell r="J448">
            <v>-38</v>
          </cell>
          <cell r="K448" t="str">
            <v>L</v>
          </cell>
        </row>
        <row r="449">
          <cell r="A449" t="str">
            <v>2016Emily3</v>
          </cell>
          <cell r="D449" t="str">
            <v>Emily</v>
          </cell>
          <cell r="E449" t="str">
            <v>Russell</v>
          </cell>
          <cell r="F449">
            <v>2016</v>
          </cell>
          <cell r="I449">
            <v>130</v>
          </cell>
          <cell r="J449">
            <v>38</v>
          </cell>
          <cell r="K449" t="str">
            <v>W</v>
          </cell>
        </row>
        <row r="450">
          <cell r="A450" t="str">
            <v>2016Abby3</v>
          </cell>
          <cell r="D450" t="str">
            <v>Abby</v>
          </cell>
          <cell r="E450" t="str">
            <v>Charles</v>
          </cell>
          <cell r="F450">
            <v>2016</v>
          </cell>
          <cell r="I450">
            <v>104</v>
          </cell>
          <cell r="J450">
            <v>34</v>
          </cell>
          <cell r="K450" t="str">
            <v>W</v>
          </cell>
        </row>
        <row r="451">
          <cell r="A451" t="str">
            <v>2016Charles3</v>
          </cell>
          <cell r="D451" t="str">
            <v>Charles</v>
          </cell>
          <cell r="E451" t="str">
            <v>Abby</v>
          </cell>
          <cell r="F451">
            <v>2016</v>
          </cell>
          <cell r="I451">
            <v>70</v>
          </cell>
          <cell r="J451">
            <v>-34</v>
          </cell>
          <cell r="K451" t="str">
            <v>L</v>
          </cell>
        </row>
        <row r="452">
          <cell r="A452" t="str">
            <v>2016Watty3</v>
          </cell>
          <cell r="D452" t="str">
            <v>Watty</v>
          </cell>
          <cell r="E452" t="str">
            <v>Mark</v>
          </cell>
          <cell r="F452">
            <v>2016</v>
          </cell>
          <cell r="I452">
            <v>77</v>
          </cell>
          <cell r="J452">
            <v>-26</v>
          </cell>
          <cell r="K452" t="str">
            <v>L</v>
          </cell>
        </row>
        <row r="453">
          <cell r="A453" t="str">
            <v>2016Mark3</v>
          </cell>
          <cell r="D453" t="str">
            <v>Mark</v>
          </cell>
          <cell r="E453" t="str">
            <v>Watty</v>
          </cell>
          <cell r="F453">
            <v>2016</v>
          </cell>
          <cell r="I453">
            <v>103</v>
          </cell>
          <cell r="J453">
            <v>26</v>
          </cell>
          <cell r="K453" t="str">
            <v>W</v>
          </cell>
        </row>
        <row r="454">
          <cell r="A454" t="str">
            <v>2016Russell4</v>
          </cell>
          <cell r="D454" t="str">
            <v>Russell</v>
          </cell>
          <cell r="E454" t="str">
            <v>Michael</v>
          </cell>
          <cell r="F454">
            <v>2016</v>
          </cell>
          <cell r="I454">
            <v>86</v>
          </cell>
          <cell r="J454">
            <v>7</v>
          </cell>
          <cell r="K454" t="str">
            <v>W</v>
          </cell>
        </row>
        <row r="455">
          <cell r="A455" t="str">
            <v>2016Michael4</v>
          </cell>
          <cell r="D455" t="str">
            <v>Michael</v>
          </cell>
          <cell r="E455" t="str">
            <v>Russell</v>
          </cell>
          <cell r="F455">
            <v>2016</v>
          </cell>
          <cell r="I455">
            <v>79</v>
          </cell>
          <cell r="J455">
            <v>-7</v>
          </cell>
          <cell r="K455" t="str">
            <v>L</v>
          </cell>
        </row>
        <row r="456">
          <cell r="A456" t="str">
            <v>2016Emily4</v>
          </cell>
          <cell r="D456" t="str">
            <v>Emily</v>
          </cell>
          <cell r="E456" t="str">
            <v>Matt</v>
          </cell>
          <cell r="F456">
            <v>2016</v>
          </cell>
          <cell r="I456">
            <v>69</v>
          </cell>
          <cell r="J456">
            <v>-48</v>
          </cell>
          <cell r="K456" t="str">
            <v>L</v>
          </cell>
        </row>
        <row r="457">
          <cell r="A457" t="str">
            <v>2016Matt4</v>
          </cell>
          <cell r="D457" t="str">
            <v>Matt</v>
          </cell>
          <cell r="E457" t="str">
            <v>Emily</v>
          </cell>
          <cell r="F457">
            <v>2016</v>
          </cell>
          <cell r="I457">
            <v>117</v>
          </cell>
          <cell r="J457">
            <v>48</v>
          </cell>
          <cell r="K457" t="str">
            <v>W</v>
          </cell>
        </row>
        <row r="458">
          <cell r="A458" t="str">
            <v>2016Charles4</v>
          </cell>
          <cell r="D458" t="str">
            <v>Charles</v>
          </cell>
          <cell r="E458" t="str">
            <v>Watty</v>
          </cell>
          <cell r="F458">
            <v>2016</v>
          </cell>
          <cell r="I458">
            <v>99</v>
          </cell>
          <cell r="J458">
            <v>-12</v>
          </cell>
          <cell r="K458" t="str">
            <v>L</v>
          </cell>
        </row>
        <row r="459">
          <cell r="A459" t="str">
            <v>2016Watty4</v>
          </cell>
          <cell r="D459" t="str">
            <v>Watty</v>
          </cell>
          <cell r="E459" t="str">
            <v>Charles</v>
          </cell>
          <cell r="F459">
            <v>2016</v>
          </cell>
          <cell r="I459">
            <v>111</v>
          </cell>
          <cell r="J459">
            <v>12</v>
          </cell>
          <cell r="K459" t="str">
            <v>W</v>
          </cell>
        </row>
        <row r="460">
          <cell r="A460" t="str">
            <v>2016Brent4</v>
          </cell>
          <cell r="D460" t="str">
            <v>Brent</v>
          </cell>
          <cell r="E460" t="str">
            <v>David</v>
          </cell>
          <cell r="F460">
            <v>2016</v>
          </cell>
          <cell r="I460">
            <v>107</v>
          </cell>
          <cell r="J460">
            <v>38</v>
          </cell>
          <cell r="K460" t="str">
            <v>W</v>
          </cell>
        </row>
        <row r="461">
          <cell r="A461" t="str">
            <v>2016David4</v>
          </cell>
          <cell r="D461" t="str">
            <v>David</v>
          </cell>
          <cell r="E461" t="str">
            <v>Brent</v>
          </cell>
          <cell r="F461">
            <v>2016</v>
          </cell>
          <cell r="I461">
            <v>69</v>
          </cell>
          <cell r="J461">
            <v>-38</v>
          </cell>
          <cell r="K461" t="str">
            <v>L</v>
          </cell>
        </row>
        <row r="462">
          <cell r="A462" t="str">
            <v>2016Brian4</v>
          </cell>
          <cell r="D462" t="str">
            <v>Brian</v>
          </cell>
          <cell r="E462" t="str">
            <v>Abby</v>
          </cell>
          <cell r="F462">
            <v>2016</v>
          </cell>
          <cell r="I462">
            <v>61</v>
          </cell>
          <cell r="J462">
            <v>-5</v>
          </cell>
          <cell r="K462" t="str">
            <v>L</v>
          </cell>
        </row>
        <row r="463">
          <cell r="A463" t="str">
            <v>2016Abby4</v>
          </cell>
          <cell r="D463" t="str">
            <v>Abby</v>
          </cell>
          <cell r="E463" t="str">
            <v>Brian</v>
          </cell>
          <cell r="F463">
            <v>2016</v>
          </cell>
          <cell r="I463">
            <v>66</v>
          </cell>
          <cell r="J463">
            <v>5</v>
          </cell>
          <cell r="K463" t="str">
            <v>W</v>
          </cell>
        </row>
        <row r="464">
          <cell r="A464" t="str">
            <v>2016BR4</v>
          </cell>
          <cell r="D464" t="str">
            <v>BR</v>
          </cell>
          <cell r="E464" t="str">
            <v>Mark</v>
          </cell>
          <cell r="F464">
            <v>2016</v>
          </cell>
          <cell r="I464">
            <v>96</v>
          </cell>
          <cell r="J464">
            <v>5</v>
          </cell>
          <cell r="K464" t="str">
            <v>W</v>
          </cell>
        </row>
        <row r="465">
          <cell r="A465" t="str">
            <v>2016Mark4</v>
          </cell>
          <cell r="D465" t="str">
            <v>Mark</v>
          </cell>
          <cell r="E465" t="str">
            <v>BR</v>
          </cell>
          <cell r="F465">
            <v>2016</v>
          </cell>
          <cell r="I465">
            <v>91</v>
          </cell>
          <cell r="J465">
            <v>-5</v>
          </cell>
          <cell r="K465" t="str">
            <v>L</v>
          </cell>
        </row>
        <row r="466">
          <cell r="A466" t="str">
            <v>2016Michael5</v>
          </cell>
          <cell r="D466" t="str">
            <v>Michael</v>
          </cell>
          <cell r="E466" t="str">
            <v>David</v>
          </cell>
          <cell r="F466">
            <v>2016</v>
          </cell>
          <cell r="I466">
            <v>96</v>
          </cell>
          <cell r="J466">
            <v>13</v>
          </cell>
          <cell r="K466" t="str">
            <v>W</v>
          </cell>
        </row>
        <row r="467">
          <cell r="A467" t="str">
            <v>2016David5</v>
          </cell>
          <cell r="D467" t="str">
            <v>David</v>
          </cell>
          <cell r="E467" t="str">
            <v>Michael</v>
          </cell>
          <cell r="F467">
            <v>2016</v>
          </cell>
          <cell r="I467">
            <v>83</v>
          </cell>
          <cell r="J467">
            <v>-13</v>
          </cell>
          <cell r="K467" t="str">
            <v>L</v>
          </cell>
        </row>
        <row r="468">
          <cell r="A468" t="str">
            <v>2016Emily5</v>
          </cell>
          <cell r="D468" t="str">
            <v>Emily</v>
          </cell>
          <cell r="E468" t="str">
            <v>Brent</v>
          </cell>
          <cell r="F468">
            <v>2016</v>
          </cell>
          <cell r="I468">
            <v>72</v>
          </cell>
          <cell r="J468">
            <v>-20</v>
          </cell>
          <cell r="K468" t="str">
            <v>L</v>
          </cell>
        </row>
        <row r="469">
          <cell r="A469" t="str">
            <v>2016Brent5</v>
          </cell>
          <cell r="D469" t="str">
            <v>Brent</v>
          </cell>
          <cell r="E469" t="str">
            <v>Emily</v>
          </cell>
          <cell r="F469">
            <v>2016</v>
          </cell>
          <cell r="I469">
            <v>92</v>
          </cell>
          <cell r="J469">
            <v>20</v>
          </cell>
          <cell r="K469" t="str">
            <v>W</v>
          </cell>
        </row>
        <row r="470">
          <cell r="A470" t="str">
            <v>2016Mark5</v>
          </cell>
          <cell r="D470" t="str">
            <v>Mark</v>
          </cell>
          <cell r="E470" t="str">
            <v>Brian</v>
          </cell>
          <cell r="F470">
            <v>2016</v>
          </cell>
          <cell r="I470">
            <v>82</v>
          </cell>
          <cell r="J470">
            <v>26</v>
          </cell>
          <cell r="K470" t="str">
            <v>W</v>
          </cell>
        </row>
        <row r="471">
          <cell r="A471" t="str">
            <v>2016Brian5</v>
          </cell>
          <cell r="D471" t="str">
            <v>Brian</v>
          </cell>
          <cell r="E471" t="str">
            <v>Mark</v>
          </cell>
          <cell r="F471">
            <v>2016</v>
          </cell>
          <cell r="I471">
            <v>56</v>
          </cell>
          <cell r="J471">
            <v>-26</v>
          </cell>
          <cell r="K471" t="str">
            <v>L</v>
          </cell>
        </row>
        <row r="472">
          <cell r="A472" t="str">
            <v>2016Matt5</v>
          </cell>
          <cell r="D472" t="str">
            <v>Matt</v>
          </cell>
          <cell r="E472" t="str">
            <v>Russell</v>
          </cell>
          <cell r="F472">
            <v>2016</v>
          </cell>
          <cell r="I472">
            <v>121</v>
          </cell>
          <cell r="J472">
            <v>38</v>
          </cell>
          <cell r="K472" t="str">
            <v>W</v>
          </cell>
        </row>
        <row r="473">
          <cell r="A473" t="str">
            <v>2016Russell5</v>
          </cell>
          <cell r="D473" t="str">
            <v>Russell</v>
          </cell>
          <cell r="E473" t="str">
            <v>Matt</v>
          </cell>
          <cell r="F473">
            <v>2016</v>
          </cell>
          <cell r="I473">
            <v>83</v>
          </cell>
          <cell r="J473">
            <v>-38</v>
          </cell>
          <cell r="K473" t="str">
            <v>L</v>
          </cell>
        </row>
        <row r="474">
          <cell r="A474" t="str">
            <v>2016Abby5</v>
          </cell>
          <cell r="D474" t="str">
            <v>Abby</v>
          </cell>
          <cell r="E474" t="str">
            <v>Watty</v>
          </cell>
          <cell r="F474">
            <v>2016</v>
          </cell>
          <cell r="I474">
            <v>74</v>
          </cell>
          <cell r="J474">
            <v>-37</v>
          </cell>
          <cell r="K474" t="str">
            <v>L</v>
          </cell>
        </row>
        <row r="475">
          <cell r="A475" t="str">
            <v>2016Watty5</v>
          </cell>
          <cell r="D475" t="str">
            <v>Watty</v>
          </cell>
          <cell r="E475" t="str">
            <v>Abby</v>
          </cell>
          <cell r="F475">
            <v>2016</v>
          </cell>
          <cell r="I475">
            <v>111</v>
          </cell>
          <cell r="J475">
            <v>37</v>
          </cell>
          <cell r="K475" t="str">
            <v>W</v>
          </cell>
        </row>
        <row r="476">
          <cell r="A476" t="str">
            <v>2016BR5</v>
          </cell>
          <cell r="D476" t="str">
            <v>BR</v>
          </cell>
          <cell r="E476" t="str">
            <v>Charles</v>
          </cell>
          <cell r="F476">
            <v>2016</v>
          </cell>
          <cell r="I476">
            <v>111</v>
          </cell>
          <cell r="J476">
            <v>12</v>
          </cell>
          <cell r="K476" t="str">
            <v>W</v>
          </cell>
        </row>
        <row r="477">
          <cell r="A477" t="str">
            <v>2016Charles5</v>
          </cell>
          <cell r="D477" t="str">
            <v>Charles</v>
          </cell>
          <cell r="E477" t="str">
            <v>BR</v>
          </cell>
          <cell r="F477">
            <v>2016</v>
          </cell>
          <cell r="I477">
            <v>99</v>
          </cell>
          <cell r="J477">
            <v>-12</v>
          </cell>
          <cell r="K477" t="str">
            <v>L</v>
          </cell>
        </row>
        <row r="478">
          <cell r="A478" t="str">
            <v>2016Abby6</v>
          </cell>
          <cell r="D478" t="str">
            <v>Abby</v>
          </cell>
          <cell r="E478" t="str">
            <v>Michael</v>
          </cell>
          <cell r="F478">
            <v>2016</v>
          </cell>
          <cell r="I478">
            <v>94</v>
          </cell>
          <cell r="J478">
            <v>51</v>
          </cell>
          <cell r="K478" t="str">
            <v>W</v>
          </cell>
        </row>
        <row r="479">
          <cell r="A479" t="str">
            <v>2016Michael6</v>
          </cell>
          <cell r="D479" t="str">
            <v>Michael</v>
          </cell>
          <cell r="E479" t="str">
            <v>Abby</v>
          </cell>
          <cell r="F479">
            <v>2016</v>
          </cell>
          <cell r="I479">
            <v>43</v>
          </cell>
          <cell r="J479">
            <v>-51</v>
          </cell>
          <cell r="K479" t="str">
            <v>L</v>
          </cell>
        </row>
        <row r="480">
          <cell r="A480" t="str">
            <v>2016BR6</v>
          </cell>
          <cell r="D480" t="str">
            <v>BR</v>
          </cell>
          <cell r="E480" t="str">
            <v>Emily</v>
          </cell>
          <cell r="F480">
            <v>2016</v>
          </cell>
          <cell r="I480">
            <v>98</v>
          </cell>
          <cell r="J480">
            <v>-7</v>
          </cell>
          <cell r="K480" t="str">
            <v>L</v>
          </cell>
        </row>
        <row r="481">
          <cell r="A481" t="str">
            <v>2016Emily6</v>
          </cell>
          <cell r="D481" t="str">
            <v>Emily</v>
          </cell>
          <cell r="E481" t="str">
            <v>BR</v>
          </cell>
          <cell r="F481">
            <v>2016</v>
          </cell>
          <cell r="I481">
            <v>105</v>
          </cell>
          <cell r="J481">
            <v>7</v>
          </cell>
          <cell r="K481" t="str">
            <v>W</v>
          </cell>
        </row>
        <row r="482">
          <cell r="A482" t="str">
            <v>2016Brian6</v>
          </cell>
          <cell r="D482" t="str">
            <v>Brian</v>
          </cell>
          <cell r="E482" t="str">
            <v>Russell</v>
          </cell>
          <cell r="F482">
            <v>2016</v>
          </cell>
          <cell r="I482">
            <v>54</v>
          </cell>
          <cell r="J482">
            <v>-50</v>
          </cell>
          <cell r="K482" t="str">
            <v>L</v>
          </cell>
        </row>
        <row r="483">
          <cell r="A483" t="str">
            <v>2016Russell6</v>
          </cell>
          <cell r="D483" t="str">
            <v>Russell</v>
          </cell>
          <cell r="E483" t="str">
            <v>Brian</v>
          </cell>
          <cell r="F483">
            <v>2016</v>
          </cell>
          <cell r="I483">
            <v>104</v>
          </cell>
          <cell r="J483">
            <v>50</v>
          </cell>
          <cell r="K483" t="str">
            <v>W</v>
          </cell>
        </row>
        <row r="484">
          <cell r="A484" t="str">
            <v>2016Mark6</v>
          </cell>
          <cell r="D484" t="str">
            <v>Mark</v>
          </cell>
          <cell r="E484" t="str">
            <v>Matt</v>
          </cell>
          <cell r="F484">
            <v>2016</v>
          </cell>
          <cell r="I484">
            <v>71</v>
          </cell>
          <cell r="J484">
            <v>-21</v>
          </cell>
          <cell r="K484" t="str">
            <v>L</v>
          </cell>
        </row>
        <row r="485">
          <cell r="A485" t="str">
            <v>2016Matt6</v>
          </cell>
          <cell r="D485" t="str">
            <v>Matt</v>
          </cell>
          <cell r="E485" t="str">
            <v>Mark</v>
          </cell>
          <cell r="F485">
            <v>2016</v>
          </cell>
          <cell r="I485">
            <v>92</v>
          </cell>
          <cell r="J485">
            <v>21</v>
          </cell>
          <cell r="K485" t="str">
            <v>W</v>
          </cell>
        </row>
        <row r="486">
          <cell r="A486" t="str">
            <v>2016Charles6</v>
          </cell>
          <cell r="D486" t="str">
            <v>Charles</v>
          </cell>
          <cell r="E486" t="str">
            <v>Brent</v>
          </cell>
          <cell r="F486">
            <v>2016</v>
          </cell>
          <cell r="I486">
            <v>85</v>
          </cell>
          <cell r="J486">
            <v>-31</v>
          </cell>
          <cell r="K486" t="str">
            <v>L</v>
          </cell>
        </row>
        <row r="487">
          <cell r="A487" t="str">
            <v>2016Brent6</v>
          </cell>
          <cell r="D487" t="str">
            <v>Brent</v>
          </cell>
          <cell r="E487" t="str">
            <v>Charles</v>
          </cell>
          <cell r="F487">
            <v>2016</v>
          </cell>
          <cell r="I487">
            <v>116</v>
          </cell>
          <cell r="J487">
            <v>31</v>
          </cell>
          <cell r="K487" t="str">
            <v>W</v>
          </cell>
        </row>
        <row r="488">
          <cell r="A488" t="str">
            <v>2016Watty6</v>
          </cell>
          <cell r="D488" t="str">
            <v>Watty</v>
          </cell>
          <cell r="E488" t="str">
            <v>David</v>
          </cell>
          <cell r="F488">
            <v>2016</v>
          </cell>
          <cell r="I488">
            <v>51</v>
          </cell>
          <cell r="J488">
            <v>-25</v>
          </cell>
          <cell r="K488" t="str">
            <v>L</v>
          </cell>
        </row>
        <row r="489">
          <cell r="A489" t="str">
            <v>2016David6</v>
          </cell>
          <cell r="D489" t="str">
            <v>David</v>
          </cell>
          <cell r="E489" t="str">
            <v>Watty</v>
          </cell>
          <cell r="F489">
            <v>2016</v>
          </cell>
          <cell r="I489">
            <v>76</v>
          </cell>
          <cell r="J489">
            <v>25</v>
          </cell>
          <cell r="K489" t="str">
            <v>W</v>
          </cell>
        </row>
        <row r="490">
          <cell r="A490" t="str">
            <v>2016Michael7</v>
          </cell>
          <cell r="D490" t="str">
            <v>Michael</v>
          </cell>
          <cell r="E490" t="str">
            <v>Watty</v>
          </cell>
          <cell r="F490">
            <v>2016</v>
          </cell>
          <cell r="I490">
            <v>85</v>
          </cell>
          <cell r="J490">
            <v>-25</v>
          </cell>
          <cell r="K490" t="str">
            <v>L</v>
          </cell>
        </row>
        <row r="491">
          <cell r="A491" t="str">
            <v>2016Watty7</v>
          </cell>
          <cell r="D491" t="str">
            <v>Watty</v>
          </cell>
          <cell r="E491" t="str">
            <v>Michael</v>
          </cell>
          <cell r="F491">
            <v>2016</v>
          </cell>
          <cell r="I491">
            <v>110</v>
          </cell>
          <cell r="J491">
            <v>25</v>
          </cell>
          <cell r="K491" t="str">
            <v>W</v>
          </cell>
        </row>
        <row r="492">
          <cell r="A492" t="str">
            <v>2016Emily7</v>
          </cell>
          <cell r="D492" t="str">
            <v>Emily</v>
          </cell>
          <cell r="E492" t="str">
            <v>Mark</v>
          </cell>
          <cell r="F492">
            <v>2016</v>
          </cell>
          <cell r="I492">
            <v>85</v>
          </cell>
          <cell r="J492">
            <v>33</v>
          </cell>
          <cell r="K492" t="str">
            <v>W</v>
          </cell>
        </row>
        <row r="493">
          <cell r="A493" t="str">
            <v>2016Mark7</v>
          </cell>
          <cell r="D493" t="str">
            <v>Mark</v>
          </cell>
          <cell r="E493" t="str">
            <v>Emily</v>
          </cell>
          <cell r="F493">
            <v>2016</v>
          </cell>
          <cell r="I493">
            <v>52</v>
          </cell>
          <cell r="J493">
            <v>-33</v>
          </cell>
          <cell r="K493" t="str">
            <v>L</v>
          </cell>
        </row>
        <row r="494">
          <cell r="A494" t="str">
            <v>2016Russell7</v>
          </cell>
          <cell r="D494" t="str">
            <v>Russell</v>
          </cell>
          <cell r="E494" t="str">
            <v>Charles</v>
          </cell>
          <cell r="F494">
            <v>2016</v>
          </cell>
          <cell r="I494">
            <v>70</v>
          </cell>
          <cell r="J494">
            <v>-60</v>
          </cell>
          <cell r="K494" t="str">
            <v>L</v>
          </cell>
        </row>
        <row r="495">
          <cell r="A495" t="str">
            <v>2016Charles7</v>
          </cell>
          <cell r="D495" t="str">
            <v>Charles</v>
          </cell>
          <cell r="E495" t="str">
            <v>Russell</v>
          </cell>
          <cell r="F495">
            <v>2016</v>
          </cell>
          <cell r="I495">
            <v>130</v>
          </cell>
          <cell r="J495">
            <v>60</v>
          </cell>
          <cell r="K495" t="str">
            <v>W</v>
          </cell>
        </row>
        <row r="496">
          <cell r="A496" t="str">
            <v>2016Matt7</v>
          </cell>
          <cell r="D496" t="str">
            <v>Matt</v>
          </cell>
          <cell r="E496" t="str">
            <v>Abby</v>
          </cell>
          <cell r="F496">
            <v>2016</v>
          </cell>
          <cell r="I496">
            <v>87</v>
          </cell>
          <cell r="J496">
            <v>7</v>
          </cell>
          <cell r="K496" t="str">
            <v>W</v>
          </cell>
        </row>
        <row r="497">
          <cell r="A497" t="str">
            <v>2016Abby7</v>
          </cell>
          <cell r="D497" t="str">
            <v>Abby</v>
          </cell>
          <cell r="E497" t="str">
            <v>Matt</v>
          </cell>
          <cell r="F497">
            <v>2016</v>
          </cell>
          <cell r="I497">
            <v>80</v>
          </cell>
          <cell r="J497">
            <v>-7</v>
          </cell>
          <cell r="K497" t="str">
            <v>L</v>
          </cell>
        </row>
        <row r="498">
          <cell r="A498" t="str">
            <v>2016Brent7</v>
          </cell>
          <cell r="D498" t="str">
            <v>Brent</v>
          </cell>
          <cell r="E498" t="str">
            <v>BR</v>
          </cell>
          <cell r="F498">
            <v>2016</v>
          </cell>
          <cell r="I498">
            <v>108</v>
          </cell>
          <cell r="J498">
            <v>37</v>
          </cell>
          <cell r="K498" t="str">
            <v>W</v>
          </cell>
        </row>
        <row r="499">
          <cell r="A499" t="str">
            <v>2016BR7</v>
          </cell>
          <cell r="D499" t="str">
            <v>BR</v>
          </cell>
          <cell r="E499" t="str">
            <v>Brent</v>
          </cell>
          <cell r="F499">
            <v>2016</v>
          </cell>
          <cell r="I499">
            <v>71</v>
          </cell>
          <cell r="J499">
            <v>-37</v>
          </cell>
          <cell r="K499" t="str">
            <v>L</v>
          </cell>
        </row>
        <row r="500">
          <cell r="A500" t="str">
            <v>2016David7</v>
          </cell>
          <cell r="D500" t="str">
            <v>David</v>
          </cell>
          <cell r="E500" t="str">
            <v>Brian</v>
          </cell>
          <cell r="F500">
            <v>2016</v>
          </cell>
          <cell r="I500">
            <v>96</v>
          </cell>
          <cell r="J500">
            <v>-1</v>
          </cell>
          <cell r="K500" t="str">
            <v>L</v>
          </cell>
        </row>
        <row r="501">
          <cell r="A501" t="str">
            <v>2016Brian7</v>
          </cell>
          <cell r="D501" t="str">
            <v>Brian</v>
          </cell>
          <cell r="E501" t="str">
            <v>David</v>
          </cell>
          <cell r="F501">
            <v>2016</v>
          </cell>
          <cell r="I501">
            <v>97</v>
          </cell>
          <cell r="J501">
            <v>1</v>
          </cell>
          <cell r="K501" t="str">
            <v>W</v>
          </cell>
        </row>
        <row r="502">
          <cell r="A502" t="str">
            <v>2016Brian8</v>
          </cell>
          <cell r="D502" t="str">
            <v>Brian</v>
          </cell>
          <cell r="E502" t="str">
            <v>Michael</v>
          </cell>
          <cell r="F502">
            <v>2016</v>
          </cell>
          <cell r="I502">
            <v>82</v>
          </cell>
          <cell r="J502">
            <v>20</v>
          </cell>
          <cell r="K502" t="str">
            <v>W</v>
          </cell>
        </row>
        <row r="503">
          <cell r="A503" t="str">
            <v>2016Michael8</v>
          </cell>
          <cell r="D503" t="str">
            <v>Michael</v>
          </cell>
          <cell r="E503" t="str">
            <v>Brian</v>
          </cell>
          <cell r="F503">
            <v>2016</v>
          </cell>
          <cell r="I503">
            <v>62</v>
          </cell>
          <cell r="J503">
            <v>-20</v>
          </cell>
          <cell r="K503" t="str">
            <v>L</v>
          </cell>
        </row>
        <row r="504">
          <cell r="A504" t="str">
            <v>2016Mark8</v>
          </cell>
          <cell r="D504" t="str">
            <v>Mark</v>
          </cell>
          <cell r="E504" t="str">
            <v>Brent</v>
          </cell>
          <cell r="F504">
            <v>2016</v>
          </cell>
          <cell r="I504">
            <v>90</v>
          </cell>
          <cell r="J504">
            <v>-16</v>
          </cell>
          <cell r="K504" t="str">
            <v>L</v>
          </cell>
        </row>
        <row r="505">
          <cell r="A505" t="str">
            <v>2016Brent8</v>
          </cell>
          <cell r="D505" t="str">
            <v>Brent</v>
          </cell>
          <cell r="E505" t="str">
            <v>Mark</v>
          </cell>
          <cell r="F505">
            <v>2016</v>
          </cell>
          <cell r="I505">
            <v>106</v>
          </cell>
          <cell r="J505">
            <v>16</v>
          </cell>
          <cell r="K505" t="str">
            <v>W</v>
          </cell>
        </row>
        <row r="506">
          <cell r="A506" t="str">
            <v>2016Charles8</v>
          </cell>
          <cell r="D506" t="str">
            <v>Charles</v>
          </cell>
          <cell r="E506" t="str">
            <v>David</v>
          </cell>
          <cell r="F506">
            <v>2016</v>
          </cell>
          <cell r="I506">
            <v>76</v>
          </cell>
          <cell r="J506">
            <v>-7</v>
          </cell>
          <cell r="K506" t="str">
            <v>L</v>
          </cell>
        </row>
        <row r="507">
          <cell r="A507" t="str">
            <v>2016David8</v>
          </cell>
          <cell r="D507" t="str">
            <v>David</v>
          </cell>
          <cell r="E507" t="str">
            <v>Charles</v>
          </cell>
          <cell r="F507">
            <v>2016</v>
          </cell>
          <cell r="I507">
            <v>83</v>
          </cell>
          <cell r="J507">
            <v>7</v>
          </cell>
          <cell r="K507" t="str">
            <v>W</v>
          </cell>
        </row>
        <row r="508">
          <cell r="A508" t="str">
            <v>2016Abby8</v>
          </cell>
          <cell r="D508" t="str">
            <v>Abby</v>
          </cell>
          <cell r="E508" t="str">
            <v>Emily</v>
          </cell>
          <cell r="F508">
            <v>2016</v>
          </cell>
          <cell r="I508">
            <v>92</v>
          </cell>
          <cell r="J508">
            <v>5</v>
          </cell>
          <cell r="K508" t="str">
            <v>W</v>
          </cell>
        </row>
        <row r="509">
          <cell r="A509" t="str">
            <v>2016Emily8</v>
          </cell>
          <cell r="D509" t="str">
            <v>Emily</v>
          </cell>
          <cell r="E509" t="str">
            <v>Abby</v>
          </cell>
          <cell r="F509">
            <v>2016</v>
          </cell>
          <cell r="I509">
            <v>87</v>
          </cell>
          <cell r="J509">
            <v>-5</v>
          </cell>
          <cell r="K509" t="str">
            <v>L</v>
          </cell>
        </row>
        <row r="510">
          <cell r="A510" t="str">
            <v>2016BR8</v>
          </cell>
          <cell r="D510" t="str">
            <v>BR</v>
          </cell>
          <cell r="E510" t="str">
            <v>Russell</v>
          </cell>
          <cell r="F510">
            <v>2016</v>
          </cell>
          <cell r="I510">
            <v>57</v>
          </cell>
          <cell r="J510">
            <v>-36</v>
          </cell>
          <cell r="K510" t="str">
            <v>L</v>
          </cell>
        </row>
        <row r="511">
          <cell r="A511" t="str">
            <v>2016Russell8</v>
          </cell>
          <cell r="D511" t="str">
            <v>Russell</v>
          </cell>
          <cell r="E511" t="str">
            <v>BR</v>
          </cell>
          <cell r="F511">
            <v>2016</v>
          </cell>
          <cell r="I511">
            <v>93</v>
          </cell>
          <cell r="J511">
            <v>36</v>
          </cell>
          <cell r="K511" t="str">
            <v>W</v>
          </cell>
        </row>
        <row r="512">
          <cell r="A512" t="str">
            <v>2016Watty8</v>
          </cell>
          <cell r="D512" t="str">
            <v>Watty</v>
          </cell>
          <cell r="E512" t="str">
            <v>Matt</v>
          </cell>
          <cell r="F512">
            <v>2016</v>
          </cell>
          <cell r="I512">
            <v>76</v>
          </cell>
          <cell r="J512">
            <v>1</v>
          </cell>
          <cell r="K512" t="str">
            <v>W</v>
          </cell>
        </row>
        <row r="513">
          <cell r="A513" t="str">
            <v>2016Matt8</v>
          </cell>
          <cell r="D513" t="str">
            <v>Matt</v>
          </cell>
          <cell r="E513" t="str">
            <v>Watty</v>
          </cell>
          <cell r="F513">
            <v>2016</v>
          </cell>
          <cell r="I513">
            <v>75</v>
          </cell>
          <cell r="J513">
            <v>-1</v>
          </cell>
          <cell r="K513" t="str">
            <v>L</v>
          </cell>
        </row>
        <row r="514">
          <cell r="A514" t="str">
            <v>2016Michael9</v>
          </cell>
          <cell r="D514" t="str">
            <v>Michael</v>
          </cell>
          <cell r="E514" t="str">
            <v>Charles</v>
          </cell>
          <cell r="F514">
            <v>2016</v>
          </cell>
          <cell r="I514">
            <v>51</v>
          </cell>
          <cell r="J514">
            <v>-60</v>
          </cell>
          <cell r="K514" t="str">
            <v>L</v>
          </cell>
        </row>
        <row r="515">
          <cell r="A515" t="str">
            <v>2016Charles9</v>
          </cell>
          <cell r="D515" t="str">
            <v>Charles</v>
          </cell>
          <cell r="E515" t="str">
            <v>Michael</v>
          </cell>
          <cell r="F515">
            <v>2016</v>
          </cell>
          <cell r="I515">
            <v>111</v>
          </cell>
          <cell r="J515">
            <v>60</v>
          </cell>
          <cell r="K515" t="str">
            <v>W</v>
          </cell>
        </row>
        <row r="516">
          <cell r="A516" t="str">
            <v>2016Russell9</v>
          </cell>
          <cell r="D516" t="str">
            <v>Russell</v>
          </cell>
          <cell r="E516" t="str">
            <v>Mark</v>
          </cell>
          <cell r="F516">
            <v>2016</v>
          </cell>
          <cell r="I516">
            <v>84</v>
          </cell>
          <cell r="J516">
            <v>18</v>
          </cell>
          <cell r="K516" t="str">
            <v>W</v>
          </cell>
        </row>
        <row r="517">
          <cell r="A517" t="str">
            <v>2016Mark9</v>
          </cell>
          <cell r="D517" t="str">
            <v>Mark</v>
          </cell>
          <cell r="E517" t="str">
            <v>Russell</v>
          </cell>
          <cell r="F517">
            <v>2016</v>
          </cell>
          <cell r="I517">
            <v>66</v>
          </cell>
          <cell r="J517">
            <v>-18</v>
          </cell>
          <cell r="K517" t="str">
            <v>L</v>
          </cell>
        </row>
        <row r="518">
          <cell r="A518" t="str">
            <v>2016Matt9</v>
          </cell>
          <cell r="D518" t="str">
            <v>Matt</v>
          </cell>
          <cell r="E518" t="str">
            <v>Brian</v>
          </cell>
          <cell r="F518">
            <v>2016</v>
          </cell>
          <cell r="I518">
            <v>100</v>
          </cell>
          <cell r="J518">
            <v>27</v>
          </cell>
          <cell r="K518" t="str">
            <v>W</v>
          </cell>
        </row>
        <row r="519">
          <cell r="A519" t="str">
            <v>2016Brian9</v>
          </cell>
          <cell r="D519" t="str">
            <v>Brian</v>
          </cell>
          <cell r="E519" t="str">
            <v>Matt</v>
          </cell>
          <cell r="F519">
            <v>2016</v>
          </cell>
          <cell r="I519">
            <v>73</v>
          </cell>
          <cell r="J519">
            <v>-27</v>
          </cell>
          <cell r="K519" t="str">
            <v>L</v>
          </cell>
        </row>
        <row r="520">
          <cell r="A520" t="str">
            <v>2016Brent9</v>
          </cell>
          <cell r="D520" t="str">
            <v>Brent</v>
          </cell>
          <cell r="E520" t="str">
            <v>Abby</v>
          </cell>
          <cell r="F520">
            <v>2016</v>
          </cell>
          <cell r="I520">
            <v>105</v>
          </cell>
          <cell r="J520">
            <v>29</v>
          </cell>
          <cell r="K520" t="str">
            <v>W</v>
          </cell>
        </row>
        <row r="521">
          <cell r="A521" t="str">
            <v>2016Abby9</v>
          </cell>
          <cell r="D521" t="str">
            <v>Abby</v>
          </cell>
          <cell r="E521" t="str">
            <v>Brent</v>
          </cell>
          <cell r="F521">
            <v>2016</v>
          </cell>
          <cell r="I521">
            <v>76</v>
          </cell>
          <cell r="J521">
            <v>-29</v>
          </cell>
          <cell r="K521" t="str">
            <v>L</v>
          </cell>
        </row>
        <row r="522">
          <cell r="A522" t="str">
            <v>2016David9</v>
          </cell>
          <cell r="D522" t="str">
            <v>David</v>
          </cell>
          <cell r="E522" t="str">
            <v>BR</v>
          </cell>
          <cell r="F522">
            <v>2016</v>
          </cell>
          <cell r="I522">
            <v>83</v>
          </cell>
          <cell r="J522">
            <v>19</v>
          </cell>
          <cell r="K522" t="str">
            <v>W</v>
          </cell>
        </row>
        <row r="523">
          <cell r="A523" t="str">
            <v>2016BR9</v>
          </cell>
          <cell r="D523" t="str">
            <v>BR</v>
          </cell>
          <cell r="E523" t="str">
            <v>David</v>
          </cell>
          <cell r="F523">
            <v>2016</v>
          </cell>
          <cell r="I523">
            <v>64</v>
          </cell>
          <cell r="J523">
            <v>-19</v>
          </cell>
          <cell r="K523" t="str">
            <v>L</v>
          </cell>
        </row>
        <row r="524">
          <cell r="A524" t="str">
            <v>2016Emily9</v>
          </cell>
          <cell r="D524" t="str">
            <v>Emily</v>
          </cell>
          <cell r="E524" t="str">
            <v>Watty</v>
          </cell>
          <cell r="F524">
            <v>2016</v>
          </cell>
          <cell r="I524">
            <v>104</v>
          </cell>
          <cell r="J524">
            <v>11</v>
          </cell>
          <cell r="K524" t="str">
            <v>W</v>
          </cell>
        </row>
        <row r="525">
          <cell r="A525" t="str">
            <v>2016Watty9</v>
          </cell>
          <cell r="D525" t="str">
            <v>Watty</v>
          </cell>
          <cell r="E525" t="str">
            <v>Emily</v>
          </cell>
          <cell r="F525">
            <v>2016</v>
          </cell>
          <cell r="I525">
            <v>93</v>
          </cell>
          <cell r="J525">
            <v>-11</v>
          </cell>
          <cell r="K525" t="str">
            <v>L</v>
          </cell>
        </row>
        <row r="526">
          <cell r="A526" t="str">
            <v>2016BR10</v>
          </cell>
          <cell r="D526" t="str">
            <v>BR</v>
          </cell>
          <cell r="E526" t="str">
            <v>Michael</v>
          </cell>
          <cell r="F526">
            <v>2016</v>
          </cell>
          <cell r="I526">
            <v>70</v>
          </cell>
          <cell r="J526">
            <v>-7</v>
          </cell>
          <cell r="K526" t="str">
            <v>L</v>
          </cell>
        </row>
        <row r="527">
          <cell r="A527" t="str">
            <v>2016Michael10</v>
          </cell>
          <cell r="D527" t="str">
            <v>Michael</v>
          </cell>
          <cell r="E527" t="str">
            <v>BR</v>
          </cell>
          <cell r="F527">
            <v>2016</v>
          </cell>
          <cell r="I527">
            <v>77</v>
          </cell>
          <cell r="J527">
            <v>7</v>
          </cell>
          <cell r="K527" t="str">
            <v>W</v>
          </cell>
        </row>
        <row r="528">
          <cell r="A528" t="str">
            <v>2016Mark10</v>
          </cell>
          <cell r="D528" t="str">
            <v>Mark</v>
          </cell>
          <cell r="E528" t="str">
            <v>David</v>
          </cell>
          <cell r="F528">
            <v>2016</v>
          </cell>
          <cell r="I528">
            <v>90</v>
          </cell>
          <cell r="J528">
            <v>22</v>
          </cell>
          <cell r="K528" t="str">
            <v>W</v>
          </cell>
        </row>
        <row r="529">
          <cell r="A529" t="str">
            <v>2016David10</v>
          </cell>
          <cell r="D529" t="str">
            <v>David</v>
          </cell>
          <cell r="E529" t="str">
            <v>Mark</v>
          </cell>
          <cell r="F529">
            <v>2016</v>
          </cell>
          <cell r="I529">
            <v>68</v>
          </cell>
          <cell r="J529">
            <v>-22</v>
          </cell>
          <cell r="K529" t="str">
            <v>L</v>
          </cell>
        </row>
        <row r="530">
          <cell r="A530" t="str">
            <v>2016Brian10</v>
          </cell>
          <cell r="D530" t="str">
            <v>Brian</v>
          </cell>
          <cell r="E530" t="str">
            <v>Emily</v>
          </cell>
          <cell r="F530">
            <v>2016</v>
          </cell>
          <cell r="I530">
            <v>131</v>
          </cell>
          <cell r="J530">
            <v>52</v>
          </cell>
          <cell r="K530" t="str">
            <v>W</v>
          </cell>
        </row>
        <row r="531">
          <cell r="A531" t="str">
            <v>2016Emily10</v>
          </cell>
          <cell r="D531" t="str">
            <v>Emily</v>
          </cell>
          <cell r="E531" t="str">
            <v>Brian</v>
          </cell>
          <cell r="F531">
            <v>2016</v>
          </cell>
          <cell r="I531">
            <v>79</v>
          </cell>
          <cell r="J531">
            <v>-52</v>
          </cell>
          <cell r="K531" t="str">
            <v>L</v>
          </cell>
        </row>
        <row r="532">
          <cell r="A532" t="str">
            <v>2016Abby10</v>
          </cell>
          <cell r="D532" t="str">
            <v>Abby</v>
          </cell>
          <cell r="E532" t="str">
            <v>Russell</v>
          </cell>
          <cell r="F532">
            <v>2016</v>
          </cell>
          <cell r="I532">
            <v>92</v>
          </cell>
          <cell r="J532">
            <v>-21</v>
          </cell>
          <cell r="K532" t="str">
            <v>L</v>
          </cell>
        </row>
        <row r="533">
          <cell r="A533" t="str">
            <v>2016Russell10</v>
          </cell>
          <cell r="D533" t="str">
            <v>Russell</v>
          </cell>
          <cell r="E533" t="str">
            <v>Abby</v>
          </cell>
          <cell r="F533">
            <v>2016</v>
          </cell>
          <cell r="I533">
            <v>113</v>
          </cell>
          <cell r="J533">
            <v>21</v>
          </cell>
          <cell r="K533" t="str">
            <v>W</v>
          </cell>
        </row>
        <row r="534">
          <cell r="A534" t="str">
            <v>2016Charles10</v>
          </cell>
          <cell r="D534" t="str">
            <v>Charles</v>
          </cell>
          <cell r="E534" t="str">
            <v>Matt</v>
          </cell>
          <cell r="F534">
            <v>2016</v>
          </cell>
          <cell r="I534">
            <v>96</v>
          </cell>
          <cell r="J534">
            <v>14</v>
          </cell>
          <cell r="K534" t="str">
            <v>W</v>
          </cell>
        </row>
        <row r="535">
          <cell r="A535" t="str">
            <v>2016Matt10</v>
          </cell>
          <cell r="D535" t="str">
            <v>Matt</v>
          </cell>
          <cell r="E535" t="str">
            <v>Charles</v>
          </cell>
          <cell r="F535">
            <v>2016</v>
          </cell>
          <cell r="I535">
            <v>82</v>
          </cell>
          <cell r="J535">
            <v>-14</v>
          </cell>
          <cell r="K535" t="str">
            <v>L</v>
          </cell>
        </row>
        <row r="536">
          <cell r="A536" t="str">
            <v>2016Watty10</v>
          </cell>
          <cell r="D536" t="str">
            <v>Watty</v>
          </cell>
          <cell r="E536" t="str">
            <v>Brent</v>
          </cell>
          <cell r="F536">
            <v>2016</v>
          </cell>
          <cell r="I536">
            <v>74</v>
          </cell>
          <cell r="J536">
            <v>-30</v>
          </cell>
          <cell r="K536" t="str">
            <v>L</v>
          </cell>
        </row>
        <row r="537">
          <cell r="A537" t="str">
            <v>2016Brent10</v>
          </cell>
          <cell r="D537" t="str">
            <v>Brent</v>
          </cell>
          <cell r="E537" t="str">
            <v>Watty</v>
          </cell>
          <cell r="F537">
            <v>2016</v>
          </cell>
          <cell r="I537">
            <v>104</v>
          </cell>
          <cell r="J537">
            <v>30</v>
          </cell>
          <cell r="K537" t="str">
            <v>W</v>
          </cell>
        </row>
        <row r="538">
          <cell r="A538" t="str">
            <v>2016Michael11</v>
          </cell>
          <cell r="D538" t="str">
            <v>Michael</v>
          </cell>
          <cell r="E538" t="str">
            <v>Mark</v>
          </cell>
          <cell r="F538">
            <v>2016</v>
          </cell>
          <cell r="I538">
            <v>74</v>
          </cell>
          <cell r="J538">
            <v>-15</v>
          </cell>
          <cell r="K538" t="str">
            <v>L</v>
          </cell>
        </row>
        <row r="539">
          <cell r="A539" t="str">
            <v>2016Mark11</v>
          </cell>
          <cell r="D539" t="str">
            <v>Mark</v>
          </cell>
          <cell r="E539" t="str">
            <v>Michael</v>
          </cell>
          <cell r="F539">
            <v>2016</v>
          </cell>
          <cell r="I539">
            <v>89</v>
          </cell>
          <cell r="J539">
            <v>15</v>
          </cell>
          <cell r="K539" t="str">
            <v>W</v>
          </cell>
        </row>
        <row r="540">
          <cell r="A540" t="str">
            <v>2016Matt11</v>
          </cell>
          <cell r="D540" t="str">
            <v>Matt</v>
          </cell>
          <cell r="E540" t="str">
            <v>BR</v>
          </cell>
          <cell r="F540">
            <v>2016</v>
          </cell>
          <cell r="I540">
            <v>89</v>
          </cell>
          <cell r="J540">
            <v>12</v>
          </cell>
          <cell r="K540" t="str">
            <v>W</v>
          </cell>
        </row>
        <row r="541">
          <cell r="A541" t="str">
            <v>2016BR11</v>
          </cell>
          <cell r="D541" t="str">
            <v>BR</v>
          </cell>
          <cell r="E541" t="str">
            <v>Matt</v>
          </cell>
          <cell r="F541">
            <v>2016</v>
          </cell>
          <cell r="I541">
            <v>77</v>
          </cell>
          <cell r="J541">
            <v>-12</v>
          </cell>
          <cell r="K541" t="str">
            <v>L</v>
          </cell>
        </row>
        <row r="542">
          <cell r="A542" t="str">
            <v>2016Brent11</v>
          </cell>
          <cell r="D542" t="str">
            <v>Brent</v>
          </cell>
          <cell r="E542" t="str">
            <v>Brian</v>
          </cell>
          <cell r="F542">
            <v>2016</v>
          </cell>
          <cell r="I542">
            <v>125</v>
          </cell>
          <cell r="J542">
            <v>40</v>
          </cell>
          <cell r="K542" t="str">
            <v>W</v>
          </cell>
        </row>
        <row r="543">
          <cell r="A543" t="str">
            <v>2016Brian11</v>
          </cell>
          <cell r="D543" t="str">
            <v>Brian</v>
          </cell>
          <cell r="E543" t="str">
            <v>Brent</v>
          </cell>
          <cell r="F543">
            <v>2016</v>
          </cell>
          <cell r="I543">
            <v>85</v>
          </cell>
          <cell r="J543">
            <v>-40</v>
          </cell>
          <cell r="K543" t="str">
            <v>L</v>
          </cell>
        </row>
        <row r="544">
          <cell r="A544" t="str">
            <v>2016David11</v>
          </cell>
          <cell r="D544" t="str">
            <v>David</v>
          </cell>
          <cell r="E544" t="str">
            <v>Abby</v>
          </cell>
          <cell r="F544">
            <v>2016</v>
          </cell>
          <cell r="I544">
            <v>71</v>
          </cell>
          <cell r="J544">
            <v>-13</v>
          </cell>
          <cell r="K544" t="str">
            <v>L</v>
          </cell>
        </row>
        <row r="545">
          <cell r="A545" t="str">
            <v>2016Abby11</v>
          </cell>
          <cell r="D545" t="str">
            <v>Abby</v>
          </cell>
          <cell r="E545" t="str">
            <v>David</v>
          </cell>
          <cell r="F545">
            <v>2016</v>
          </cell>
          <cell r="I545">
            <v>84</v>
          </cell>
          <cell r="J545">
            <v>13</v>
          </cell>
          <cell r="K545" t="str">
            <v>W</v>
          </cell>
        </row>
        <row r="546">
          <cell r="A546" t="str">
            <v>2016Emily11</v>
          </cell>
          <cell r="D546" t="str">
            <v>Emily</v>
          </cell>
          <cell r="E546" t="str">
            <v>Charles</v>
          </cell>
          <cell r="F546">
            <v>2016</v>
          </cell>
          <cell r="I546">
            <v>74</v>
          </cell>
          <cell r="J546">
            <v>-2</v>
          </cell>
          <cell r="K546" t="str">
            <v>L</v>
          </cell>
        </row>
        <row r="547">
          <cell r="A547" t="str">
            <v>2016Charles11</v>
          </cell>
          <cell r="D547" t="str">
            <v>Charles</v>
          </cell>
          <cell r="E547" t="str">
            <v>Emily</v>
          </cell>
          <cell r="F547">
            <v>2016</v>
          </cell>
          <cell r="I547">
            <v>76</v>
          </cell>
          <cell r="J547">
            <v>2</v>
          </cell>
          <cell r="K547" t="str">
            <v>W</v>
          </cell>
        </row>
        <row r="548">
          <cell r="A548" t="str">
            <v>2016Russell11</v>
          </cell>
          <cell r="D548" t="str">
            <v>Russell</v>
          </cell>
          <cell r="E548" t="str">
            <v>Watty</v>
          </cell>
          <cell r="F548">
            <v>2016</v>
          </cell>
          <cell r="I548">
            <v>77</v>
          </cell>
          <cell r="J548">
            <v>4</v>
          </cell>
          <cell r="K548" t="str">
            <v>W</v>
          </cell>
        </row>
        <row r="549">
          <cell r="A549" t="str">
            <v>2016Watty11</v>
          </cell>
          <cell r="D549" t="str">
            <v>Watty</v>
          </cell>
          <cell r="E549" t="str">
            <v>Russell</v>
          </cell>
          <cell r="F549">
            <v>2016</v>
          </cell>
          <cell r="I549">
            <v>73</v>
          </cell>
          <cell r="J549">
            <v>-4</v>
          </cell>
          <cell r="K549" t="str">
            <v>L</v>
          </cell>
        </row>
        <row r="550">
          <cell r="A550" t="str">
            <v>2016Michael12</v>
          </cell>
          <cell r="D550" t="str">
            <v>Michael</v>
          </cell>
          <cell r="E550" t="str">
            <v>Abby</v>
          </cell>
          <cell r="F550">
            <v>2016</v>
          </cell>
          <cell r="I550">
            <v>99</v>
          </cell>
          <cell r="J550">
            <v>29</v>
          </cell>
          <cell r="K550" t="str">
            <v>W</v>
          </cell>
        </row>
        <row r="551">
          <cell r="A551" t="str">
            <v>2016Abby12</v>
          </cell>
          <cell r="D551" t="str">
            <v>Abby</v>
          </cell>
          <cell r="E551" t="str">
            <v>Michael</v>
          </cell>
          <cell r="F551">
            <v>2016</v>
          </cell>
          <cell r="I551">
            <v>70</v>
          </cell>
          <cell r="J551">
            <v>-29</v>
          </cell>
          <cell r="K551" t="str">
            <v>L</v>
          </cell>
        </row>
        <row r="552">
          <cell r="A552" t="str">
            <v>2016Emily12</v>
          </cell>
          <cell r="D552" t="str">
            <v>Emily</v>
          </cell>
          <cell r="E552" t="str">
            <v>BR</v>
          </cell>
          <cell r="F552">
            <v>2016</v>
          </cell>
          <cell r="I552">
            <v>114</v>
          </cell>
          <cell r="J552">
            <v>23</v>
          </cell>
          <cell r="K552" t="str">
            <v>W</v>
          </cell>
        </row>
        <row r="553">
          <cell r="A553" t="str">
            <v>2016BR12</v>
          </cell>
          <cell r="D553" t="str">
            <v>BR</v>
          </cell>
          <cell r="E553" t="str">
            <v>Emily</v>
          </cell>
          <cell r="F553">
            <v>2016</v>
          </cell>
          <cell r="I553">
            <v>91</v>
          </cell>
          <cell r="J553">
            <v>-23</v>
          </cell>
          <cell r="K553" t="str">
            <v>L</v>
          </cell>
        </row>
        <row r="554">
          <cell r="A554" t="str">
            <v>2016Russell12</v>
          </cell>
          <cell r="D554" t="str">
            <v>Russell</v>
          </cell>
          <cell r="E554" t="str">
            <v>Brian</v>
          </cell>
          <cell r="F554">
            <v>2016</v>
          </cell>
          <cell r="I554">
            <v>102</v>
          </cell>
          <cell r="J554">
            <v>29</v>
          </cell>
          <cell r="K554" t="str">
            <v>W</v>
          </cell>
        </row>
        <row r="555">
          <cell r="A555" t="str">
            <v>2016Brian12</v>
          </cell>
          <cell r="D555" t="str">
            <v>Brian</v>
          </cell>
          <cell r="E555" t="str">
            <v>Russell</v>
          </cell>
          <cell r="F555">
            <v>2016</v>
          </cell>
          <cell r="I555">
            <v>73</v>
          </cell>
          <cell r="J555">
            <v>-29</v>
          </cell>
          <cell r="K555" t="str">
            <v>L</v>
          </cell>
        </row>
        <row r="556">
          <cell r="A556" t="str">
            <v>2016Matt12</v>
          </cell>
          <cell r="D556" t="str">
            <v>Matt</v>
          </cell>
          <cell r="E556" t="str">
            <v>Mark</v>
          </cell>
          <cell r="F556">
            <v>2016</v>
          </cell>
          <cell r="I556">
            <v>105</v>
          </cell>
          <cell r="J556">
            <v>58</v>
          </cell>
          <cell r="K556" t="str">
            <v>W</v>
          </cell>
        </row>
        <row r="557">
          <cell r="A557" t="str">
            <v>2016Mark12</v>
          </cell>
          <cell r="D557" t="str">
            <v>Mark</v>
          </cell>
          <cell r="E557" t="str">
            <v>Matt</v>
          </cell>
          <cell r="F557">
            <v>2016</v>
          </cell>
          <cell r="I557">
            <v>47</v>
          </cell>
          <cell r="J557">
            <v>-58</v>
          </cell>
          <cell r="K557" t="str">
            <v>L</v>
          </cell>
        </row>
        <row r="558">
          <cell r="A558" t="str">
            <v>2016Brent12</v>
          </cell>
          <cell r="D558" t="str">
            <v>Brent</v>
          </cell>
          <cell r="E558" t="str">
            <v>Charles</v>
          </cell>
          <cell r="F558">
            <v>2016</v>
          </cell>
          <cell r="I558">
            <v>92</v>
          </cell>
          <cell r="J558">
            <v>-14</v>
          </cell>
          <cell r="K558" t="str">
            <v>L</v>
          </cell>
        </row>
        <row r="559">
          <cell r="A559" t="str">
            <v>2016Charles12</v>
          </cell>
          <cell r="D559" t="str">
            <v>Charles</v>
          </cell>
          <cell r="E559" t="str">
            <v>Brent</v>
          </cell>
          <cell r="F559">
            <v>2016</v>
          </cell>
          <cell r="I559">
            <v>106</v>
          </cell>
          <cell r="J559">
            <v>14</v>
          </cell>
          <cell r="K559" t="str">
            <v>W</v>
          </cell>
        </row>
        <row r="560">
          <cell r="A560" t="str">
            <v>2016David12</v>
          </cell>
          <cell r="D560" t="str">
            <v>David</v>
          </cell>
          <cell r="E560" t="str">
            <v>Watty</v>
          </cell>
          <cell r="F560">
            <v>2016</v>
          </cell>
          <cell r="I560">
            <v>96</v>
          </cell>
          <cell r="J560">
            <v>20</v>
          </cell>
          <cell r="K560" t="str">
            <v>W</v>
          </cell>
        </row>
        <row r="561">
          <cell r="A561" t="str">
            <v>2016Watty12</v>
          </cell>
          <cell r="D561" t="str">
            <v>Watty</v>
          </cell>
          <cell r="E561" t="str">
            <v>David</v>
          </cell>
          <cell r="F561">
            <v>2016</v>
          </cell>
          <cell r="I561">
            <v>76</v>
          </cell>
          <cell r="J561">
            <v>-20</v>
          </cell>
          <cell r="K561" t="str">
            <v>L</v>
          </cell>
        </row>
        <row r="562">
          <cell r="A562" t="str">
            <v>2016Watty13</v>
          </cell>
          <cell r="D562" t="str">
            <v>Watty</v>
          </cell>
          <cell r="E562" t="str">
            <v>Michael</v>
          </cell>
          <cell r="F562">
            <v>2016</v>
          </cell>
          <cell r="I562">
            <v>73</v>
          </cell>
          <cell r="J562">
            <v>-16</v>
          </cell>
          <cell r="K562" t="str">
            <v>L</v>
          </cell>
        </row>
        <row r="563">
          <cell r="A563" t="str">
            <v>2016Michael13</v>
          </cell>
          <cell r="D563" t="str">
            <v>Michael</v>
          </cell>
          <cell r="E563" t="str">
            <v>Watty</v>
          </cell>
          <cell r="F563">
            <v>2016</v>
          </cell>
          <cell r="I563">
            <v>89</v>
          </cell>
          <cell r="J563">
            <v>16</v>
          </cell>
          <cell r="K563" t="str">
            <v>W</v>
          </cell>
        </row>
        <row r="564">
          <cell r="A564" t="str">
            <v>2016Mark13</v>
          </cell>
          <cell r="D564" t="str">
            <v>Mark</v>
          </cell>
          <cell r="E564" t="str">
            <v>Emily</v>
          </cell>
          <cell r="F564">
            <v>2016</v>
          </cell>
          <cell r="I564">
            <v>77</v>
          </cell>
          <cell r="J564">
            <v>-17</v>
          </cell>
          <cell r="K564" t="str">
            <v>L</v>
          </cell>
        </row>
        <row r="565">
          <cell r="A565" t="str">
            <v>2016Emily13</v>
          </cell>
          <cell r="D565" t="str">
            <v>Emily</v>
          </cell>
          <cell r="E565" t="str">
            <v>Mark</v>
          </cell>
          <cell r="F565">
            <v>2016</v>
          </cell>
          <cell r="I565">
            <v>94</v>
          </cell>
          <cell r="J565">
            <v>17</v>
          </cell>
          <cell r="K565" t="str">
            <v>W</v>
          </cell>
        </row>
        <row r="566">
          <cell r="A566" t="str">
            <v>2016Charles13</v>
          </cell>
          <cell r="D566" t="str">
            <v>Charles</v>
          </cell>
          <cell r="E566" t="str">
            <v>Russell</v>
          </cell>
          <cell r="F566">
            <v>2016</v>
          </cell>
          <cell r="I566">
            <v>86</v>
          </cell>
          <cell r="J566">
            <v>21</v>
          </cell>
          <cell r="K566" t="str">
            <v>W</v>
          </cell>
        </row>
        <row r="567">
          <cell r="A567" t="str">
            <v>2016Russell13</v>
          </cell>
          <cell r="D567" t="str">
            <v>Russell</v>
          </cell>
          <cell r="E567" t="str">
            <v>Charles</v>
          </cell>
          <cell r="F567">
            <v>2016</v>
          </cell>
          <cell r="I567">
            <v>65</v>
          </cell>
          <cell r="J567">
            <v>-21</v>
          </cell>
          <cell r="K567" t="str">
            <v>L</v>
          </cell>
        </row>
        <row r="568">
          <cell r="A568" t="str">
            <v>2016Abby13</v>
          </cell>
          <cell r="D568" t="str">
            <v>Abby</v>
          </cell>
          <cell r="E568" t="str">
            <v>Matt</v>
          </cell>
          <cell r="F568">
            <v>2016</v>
          </cell>
          <cell r="I568">
            <v>89</v>
          </cell>
          <cell r="J568">
            <v>-18</v>
          </cell>
          <cell r="K568" t="str">
            <v>L</v>
          </cell>
        </row>
        <row r="569">
          <cell r="A569" t="str">
            <v>2016Matt13</v>
          </cell>
          <cell r="D569" t="str">
            <v>Matt</v>
          </cell>
          <cell r="E569" t="str">
            <v>Abby</v>
          </cell>
          <cell r="F569">
            <v>2016</v>
          </cell>
          <cell r="I569">
            <v>107</v>
          </cell>
          <cell r="J569">
            <v>18</v>
          </cell>
          <cell r="K569" t="str">
            <v>W</v>
          </cell>
        </row>
        <row r="570">
          <cell r="A570" t="str">
            <v>2016BR13</v>
          </cell>
          <cell r="D570" t="str">
            <v>BR</v>
          </cell>
          <cell r="E570" t="str">
            <v>Brent</v>
          </cell>
          <cell r="F570">
            <v>2016</v>
          </cell>
          <cell r="I570">
            <v>96</v>
          </cell>
          <cell r="J570">
            <v>-11</v>
          </cell>
          <cell r="K570" t="str">
            <v>L</v>
          </cell>
        </row>
        <row r="571">
          <cell r="A571" t="str">
            <v>2016Brent13</v>
          </cell>
          <cell r="D571" t="str">
            <v>Brent</v>
          </cell>
          <cell r="E571" t="str">
            <v>BR</v>
          </cell>
          <cell r="F571">
            <v>2016</v>
          </cell>
          <cell r="I571">
            <v>107</v>
          </cell>
          <cell r="J571">
            <v>11</v>
          </cell>
          <cell r="K571" t="str">
            <v>W</v>
          </cell>
        </row>
        <row r="572">
          <cell r="A572" t="str">
            <v>2016Brian13</v>
          </cell>
          <cell r="D572" t="str">
            <v>Brian</v>
          </cell>
          <cell r="E572" t="str">
            <v>David</v>
          </cell>
          <cell r="F572">
            <v>2016</v>
          </cell>
          <cell r="I572">
            <v>68</v>
          </cell>
          <cell r="J572">
            <v>-10</v>
          </cell>
          <cell r="K572" t="str">
            <v>L</v>
          </cell>
        </row>
        <row r="573">
          <cell r="A573" t="str">
            <v>2016David13</v>
          </cell>
          <cell r="D573" t="str">
            <v>David</v>
          </cell>
          <cell r="E573" t="str">
            <v>Brian</v>
          </cell>
          <cell r="F573">
            <v>2016</v>
          </cell>
          <cell r="I573">
            <v>78</v>
          </cell>
          <cell r="J573">
            <v>10</v>
          </cell>
          <cell r="K573" t="str">
            <v>W</v>
          </cell>
        </row>
        <row r="574">
          <cell r="A574" t="str">
            <v>2017Michael1</v>
          </cell>
          <cell r="D574" t="str">
            <v>Michael</v>
          </cell>
          <cell r="E574" t="str">
            <v>Matt</v>
          </cell>
          <cell r="F574">
            <v>2017</v>
          </cell>
          <cell r="I574">
            <v>74</v>
          </cell>
          <cell r="J574">
            <v>-2</v>
          </cell>
          <cell r="K574" t="str">
            <v>L</v>
          </cell>
        </row>
        <row r="575">
          <cell r="A575" t="str">
            <v>2017Matt1</v>
          </cell>
          <cell r="D575" t="str">
            <v>Matt</v>
          </cell>
          <cell r="E575" t="str">
            <v>Michael</v>
          </cell>
          <cell r="F575">
            <v>2017</v>
          </cell>
          <cell r="I575">
            <v>76</v>
          </cell>
          <cell r="J575">
            <v>2</v>
          </cell>
          <cell r="K575" t="str">
            <v>W</v>
          </cell>
        </row>
        <row r="576">
          <cell r="A576" t="str">
            <v>2017Brent1</v>
          </cell>
          <cell r="D576" t="str">
            <v>Brent</v>
          </cell>
          <cell r="E576" t="str">
            <v>Russell</v>
          </cell>
          <cell r="F576">
            <v>2017</v>
          </cell>
          <cell r="I576">
            <v>89</v>
          </cell>
          <cell r="J576">
            <v>-15</v>
          </cell>
          <cell r="K576" t="str">
            <v>L</v>
          </cell>
        </row>
        <row r="577">
          <cell r="A577" t="str">
            <v>2017Russell1</v>
          </cell>
          <cell r="D577" t="str">
            <v>Russell</v>
          </cell>
          <cell r="E577" t="str">
            <v>Brent</v>
          </cell>
          <cell r="F577">
            <v>2017</v>
          </cell>
          <cell r="I577">
            <v>104</v>
          </cell>
          <cell r="J577">
            <v>15</v>
          </cell>
          <cell r="K577" t="str">
            <v>W</v>
          </cell>
        </row>
        <row r="578">
          <cell r="A578" t="str">
            <v>2017BR1</v>
          </cell>
          <cell r="D578" t="str">
            <v>BR</v>
          </cell>
          <cell r="E578" t="str">
            <v>Watty</v>
          </cell>
          <cell r="F578">
            <v>2017</v>
          </cell>
          <cell r="I578">
            <v>64</v>
          </cell>
          <cell r="J578">
            <v>-43</v>
          </cell>
          <cell r="K578" t="str">
            <v>L</v>
          </cell>
        </row>
        <row r="579">
          <cell r="A579" t="str">
            <v>2017Watty1</v>
          </cell>
          <cell r="D579" t="str">
            <v>Watty</v>
          </cell>
          <cell r="E579" t="str">
            <v>BR</v>
          </cell>
          <cell r="F579">
            <v>2017</v>
          </cell>
          <cell r="I579">
            <v>107</v>
          </cell>
          <cell r="J579">
            <v>43</v>
          </cell>
          <cell r="K579" t="str">
            <v>W</v>
          </cell>
        </row>
        <row r="580">
          <cell r="A580" t="str">
            <v>2017Emily1</v>
          </cell>
          <cell r="D580" t="str">
            <v>Emily</v>
          </cell>
          <cell r="E580" t="str">
            <v>David</v>
          </cell>
          <cell r="F580">
            <v>2017</v>
          </cell>
          <cell r="I580">
            <v>63</v>
          </cell>
          <cell r="J580">
            <v>-25</v>
          </cell>
          <cell r="K580" t="str">
            <v>L</v>
          </cell>
        </row>
        <row r="581">
          <cell r="A581" t="str">
            <v>2017David1</v>
          </cell>
          <cell r="D581" t="str">
            <v>David</v>
          </cell>
          <cell r="E581" t="str">
            <v>Emily</v>
          </cell>
          <cell r="F581">
            <v>2017</v>
          </cell>
          <cell r="I581">
            <v>88</v>
          </cell>
          <cell r="J581">
            <v>25</v>
          </cell>
          <cell r="K581" t="str">
            <v>W</v>
          </cell>
        </row>
        <row r="582">
          <cell r="A582" t="str">
            <v>2017Abby1</v>
          </cell>
          <cell r="D582" t="str">
            <v>Abby</v>
          </cell>
          <cell r="E582" t="str">
            <v>Mark</v>
          </cell>
          <cell r="F582">
            <v>2017</v>
          </cell>
          <cell r="I582">
            <v>93</v>
          </cell>
          <cell r="J582">
            <v>53</v>
          </cell>
          <cell r="K582" t="str">
            <v>W</v>
          </cell>
        </row>
        <row r="583">
          <cell r="A583" t="str">
            <v>2017Mark1</v>
          </cell>
          <cell r="D583" t="str">
            <v>Mark</v>
          </cell>
          <cell r="E583" t="str">
            <v>Abby</v>
          </cell>
          <cell r="F583">
            <v>2017</v>
          </cell>
          <cell r="I583">
            <v>40</v>
          </cell>
          <cell r="J583">
            <v>-53</v>
          </cell>
          <cell r="K583" t="str">
            <v>L</v>
          </cell>
        </row>
        <row r="584">
          <cell r="A584" t="str">
            <v>2017Charles1</v>
          </cell>
          <cell r="D584" t="str">
            <v>Charles</v>
          </cell>
          <cell r="E584" t="str">
            <v>Brian</v>
          </cell>
          <cell r="F584">
            <v>2017</v>
          </cell>
          <cell r="I584">
            <v>79</v>
          </cell>
          <cell r="J584">
            <v>22</v>
          </cell>
          <cell r="K584" t="str">
            <v>W</v>
          </cell>
        </row>
        <row r="585">
          <cell r="A585" t="str">
            <v>2017Brian1</v>
          </cell>
          <cell r="D585" t="str">
            <v>Brian</v>
          </cell>
          <cell r="E585" t="str">
            <v>Charles</v>
          </cell>
          <cell r="F585">
            <v>2017</v>
          </cell>
          <cell r="I585">
            <v>57</v>
          </cell>
          <cell r="J585">
            <v>-22</v>
          </cell>
          <cell r="K585" t="str">
            <v>L</v>
          </cell>
        </row>
        <row r="586">
          <cell r="A586" t="str">
            <v>2017Emily2</v>
          </cell>
          <cell r="D586" t="str">
            <v>Emily</v>
          </cell>
          <cell r="E586" t="str">
            <v>Michael</v>
          </cell>
          <cell r="F586">
            <v>2017</v>
          </cell>
          <cell r="I586">
            <v>112</v>
          </cell>
          <cell r="J586">
            <v>43</v>
          </cell>
          <cell r="K586" t="str">
            <v>W</v>
          </cell>
        </row>
        <row r="587">
          <cell r="A587" t="str">
            <v>2017Michael2</v>
          </cell>
          <cell r="D587" t="str">
            <v>Michael</v>
          </cell>
          <cell r="E587" t="str">
            <v>Emily</v>
          </cell>
          <cell r="F587">
            <v>2017</v>
          </cell>
          <cell r="I587">
            <v>69</v>
          </cell>
          <cell r="J587">
            <v>-43</v>
          </cell>
          <cell r="K587" t="str">
            <v>L</v>
          </cell>
        </row>
        <row r="588">
          <cell r="A588" t="str">
            <v>2017David2</v>
          </cell>
          <cell r="D588" t="str">
            <v>David</v>
          </cell>
          <cell r="E588" t="str">
            <v>Russell</v>
          </cell>
          <cell r="F588">
            <v>2017</v>
          </cell>
          <cell r="I588">
            <v>73</v>
          </cell>
          <cell r="J588">
            <v>-11</v>
          </cell>
          <cell r="K588" t="str">
            <v>L</v>
          </cell>
        </row>
        <row r="589">
          <cell r="A589" t="str">
            <v>2017Russell2</v>
          </cell>
          <cell r="D589" t="str">
            <v>Russell</v>
          </cell>
          <cell r="E589" t="str">
            <v>David</v>
          </cell>
          <cell r="F589">
            <v>2017</v>
          </cell>
          <cell r="I589">
            <v>84</v>
          </cell>
          <cell r="J589">
            <v>11</v>
          </cell>
          <cell r="K589" t="str">
            <v>W</v>
          </cell>
        </row>
        <row r="590">
          <cell r="A590" t="str">
            <v>2017Mark2</v>
          </cell>
          <cell r="D590" t="str">
            <v>Mark</v>
          </cell>
          <cell r="E590" t="str">
            <v>Charles</v>
          </cell>
          <cell r="F590">
            <v>2017</v>
          </cell>
          <cell r="I590">
            <v>77</v>
          </cell>
          <cell r="J590">
            <v>-20</v>
          </cell>
          <cell r="K590" t="str">
            <v>L</v>
          </cell>
        </row>
        <row r="591">
          <cell r="A591" t="str">
            <v>2017Charles2</v>
          </cell>
          <cell r="D591" t="str">
            <v>Charles</v>
          </cell>
          <cell r="E591" t="str">
            <v>Mark</v>
          </cell>
          <cell r="F591">
            <v>2017</v>
          </cell>
          <cell r="I591">
            <v>97</v>
          </cell>
          <cell r="J591">
            <v>20</v>
          </cell>
          <cell r="K591" t="str">
            <v>W</v>
          </cell>
        </row>
        <row r="592">
          <cell r="A592" t="str">
            <v>2017Matt2</v>
          </cell>
          <cell r="D592" t="str">
            <v>Matt</v>
          </cell>
          <cell r="E592" t="str">
            <v>Brent</v>
          </cell>
          <cell r="F592">
            <v>2017</v>
          </cell>
          <cell r="I592">
            <v>101</v>
          </cell>
          <cell r="J592">
            <v>-8</v>
          </cell>
          <cell r="K592" t="str">
            <v>L</v>
          </cell>
        </row>
        <row r="593">
          <cell r="A593" t="str">
            <v>2017Brent2</v>
          </cell>
          <cell r="D593" t="str">
            <v>Brent</v>
          </cell>
          <cell r="E593" t="str">
            <v>Matt</v>
          </cell>
          <cell r="F593">
            <v>2017</v>
          </cell>
          <cell r="I593">
            <v>109</v>
          </cell>
          <cell r="J593">
            <v>8</v>
          </cell>
          <cell r="K593" t="str">
            <v>W</v>
          </cell>
        </row>
        <row r="594">
          <cell r="A594" t="str">
            <v>2017BR2</v>
          </cell>
          <cell r="D594" t="str">
            <v>BR</v>
          </cell>
          <cell r="E594" t="str">
            <v>Abby</v>
          </cell>
          <cell r="F594">
            <v>2017</v>
          </cell>
          <cell r="I594">
            <v>95</v>
          </cell>
          <cell r="J594">
            <v>40</v>
          </cell>
          <cell r="K594" t="str">
            <v>W</v>
          </cell>
        </row>
        <row r="595">
          <cell r="A595" t="str">
            <v>2017Abby2</v>
          </cell>
          <cell r="D595" t="str">
            <v>Abby</v>
          </cell>
          <cell r="E595" t="str">
            <v>BR</v>
          </cell>
          <cell r="F595">
            <v>2017</v>
          </cell>
          <cell r="I595">
            <v>55</v>
          </cell>
          <cell r="J595">
            <v>-40</v>
          </cell>
          <cell r="K595" t="str">
            <v>L</v>
          </cell>
        </row>
        <row r="596">
          <cell r="A596" t="str">
            <v>2017Watty2</v>
          </cell>
          <cell r="D596" t="str">
            <v>Watty</v>
          </cell>
          <cell r="E596" t="str">
            <v>Brian</v>
          </cell>
          <cell r="F596">
            <v>2017</v>
          </cell>
          <cell r="I596">
            <v>64</v>
          </cell>
          <cell r="J596">
            <v>-22</v>
          </cell>
          <cell r="K596" t="str">
            <v>L</v>
          </cell>
        </row>
        <row r="597">
          <cell r="A597" t="str">
            <v>2017Brian2</v>
          </cell>
          <cell r="D597" t="str">
            <v>Brian</v>
          </cell>
          <cell r="E597" t="str">
            <v>Watty</v>
          </cell>
          <cell r="F597">
            <v>2017</v>
          </cell>
          <cell r="I597">
            <v>86</v>
          </cell>
          <cell r="J597">
            <v>22</v>
          </cell>
          <cell r="K597" t="str">
            <v>W</v>
          </cell>
        </row>
        <row r="598">
          <cell r="A598" t="str">
            <v>2017Michael3</v>
          </cell>
          <cell r="D598" t="str">
            <v>Michael</v>
          </cell>
          <cell r="E598" t="str">
            <v>Brent</v>
          </cell>
          <cell r="F598">
            <v>2017</v>
          </cell>
          <cell r="I598">
            <v>82</v>
          </cell>
          <cell r="J598">
            <v>19</v>
          </cell>
          <cell r="K598" t="str">
            <v>W</v>
          </cell>
        </row>
        <row r="599">
          <cell r="A599" t="str">
            <v>2017Brent3</v>
          </cell>
          <cell r="D599" t="str">
            <v>Brent</v>
          </cell>
          <cell r="E599" t="str">
            <v>Michael</v>
          </cell>
          <cell r="F599">
            <v>2017</v>
          </cell>
          <cell r="I599">
            <v>63</v>
          </cell>
          <cell r="J599">
            <v>-19</v>
          </cell>
          <cell r="K599" t="str">
            <v>L</v>
          </cell>
        </row>
        <row r="600">
          <cell r="A600" t="str">
            <v>2017David3</v>
          </cell>
          <cell r="D600" t="str">
            <v>David</v>
          </cell>
          <cell r="E600" t="str">
            <v>Matt</v>
          </cell>
          <cell r="F600">
            <v>2017</v>
          </cell>
          <cell r="I600">
            <v>81</v>
          </cell>
          <cell r="J600">
            <v>2</v>
          </cell>
          <cell r="K600" t="str">
            <v>W</v>
          </cell>
        </row>
        <row r="601">
          <cell r="A601" t="str">
            <v>2017Matt3</v>
          </cell>
          <cell r="D601" t="str">
            <v>Matt</v>
          </cell>
          <cell r="E601" t="str">
            <v>David</v>
          </cell>
          <cell r="F601">
            <v>2017</v>
          </cell>
          <cell r="I601">
            <v>79</v>
          </cell>
          <cell r="J601">
            <v>-2</v>
          </cell>
          <cell r="K601" t="str">
            <v>L</v>
          </cell>
        </row>
        <row r="602">
          <cell r="A602" t="str">
            <v>2017Brian3</v>
          </cell>
          <cell r="D602" t="str">
            <v>Brian</v>
          </cell>
          <cell r="E602" t="str">
            <v>BR</v>
          </cell>
          <cell r="F602">
            <v>2017</v>
          </cell>
          <cell r="I602">
            <v>76</v>
          </cell>
          <cell r="J602">
            <v>-21</v>
          </cell>
          <cell r="K602" t="str">
            <v>L</v>
          </cell>
        </row>
        <row r="603">
          <cell r="A603" t="str">
            <v>2017BR3</v>
          </cell>
          <cell r="D603" t="str">
            <v>BR</v>
          </cell>
          <cell r="E603" t="str">
            <v>Brian</v>
          </cell>
          <cell r="F603">
            <v>2017</v>
          </cell>
          <cell r="I603">
            <v>97</v>
          </cell>
          <cell r="J603">
            <v>21</v>
          </cell>
          <cell r="K603" t="str">
            <v>W</v>
          </cell>
        </row>
        <row r="604">
          <cell r="A604" t="str">
            <v>2017Russell3</v>
          </cell>
          <cell r="D604" t="str">
            <v>Russell</v>
          </cell>
          <cell r="E604" t="str">
            <v>Emily</v>
          </cell>
          <cell r="F604">
            <v>2017</v>
          </cell>
          <cell r="I604">
            <v>80</v>
          </cell>
          <cell r="J604">
            <v>4</v>
          </cell>
          <cell r="K604" t="str">
            <v>W</v>
          </cell>
        </row>
        <row r="605">
          <cell r="A605" t="str">
            <v>2017Emily3</v>
          </cell>
          <cell r="D605" t="str">
            <v>Emily</v>
          </cell>
          <cell r="E605" t="str">
            <v>Russell</v>
          </cell>
          <cell r="F605">
            <v>2017</v>
          </cell>
          <cell r="I605">
            <v>76</v>
          </cell>
          <cell r="J605">
            <v>-4</v>
          </cell>
          <cell r="K605" t="str">
            <v>L</v>
          </cell>
        </row>
        <row r="606">
          <cell r="A606" t="str">
            <v>2017Abby3</v>
          </cell>
          <cell r="D606" t="str">
            <v>Abby</v>
          </cell>
          <cell r="E606" t="str">
            <v>Charles</v>
          </cell>
          <cell r="F606">
            <v>2017</v>
          </cell>
          <cell r="I606">
            <v>81</v>
          </cell>
          <cell r="J606">
            <v>-33</v>
          </cell>
          <cell r="K606" t="str">
            <v>L</v>
          </cell>
        </row>
        <row r="607">
          <cell r="A607" t="str">
            <v>2017Charles3</v>
          </cell>
          <cell r="D607" t="str">
            <v>Charles</v>
          </cell>
          <cell r="E607" t="str">
            <v>Abby</v>
          </cell>
          <cell r="F607">
            <v>2017</v>
          </cell>
          <cell r="I607">
            <v>114</v>
          </cell>
          <cell r="J607">
            <v>33</v>
          </cell>
          <cell r="K607" t="str">
            <v>W</v>
          </cell>
        </row>
        <row r="608">
          <cell r="A608" t="str">
            <v>2017Watty3</v>
          </cell>
          <cell r="D608" t="str">
            <v>Watty</v>
          </cell>
          <cell r="E608" t="str">
            <v>Mark</v>
          </cell>
          <cell r="F608">
            <v>2017</v>
          </cell>
          <cell r="I608">
            <v>111</v>
          </cell>
          <cell r="J608">
            <v>27</v>
          </cell>
          <cell r="K608" t="str">
            <v>W</v>
          </cell>
        </row>
        <row r="609">
          <cell r="A609" t="str">
            <v>2017Mark3</v>
          </cell>
          <cell r="D609" t="str">
            <v>Mark</v>
          </cell>
          <cell r="E609" t="str">
            <v>Watty</v>
          </cell>
          <cell r="F609">
            <v>2017</v>
          </cell>
          <cell r="I609">
            <v>84</v>
          </cell>
          <cell r="J609">
            <v>-27</v>
          </cell>
          <cell r="K609" t="str">
            <v>L</v>
          </cell>
        </row>
        <row r="610">
          <cell r="A610" t="str">
            <v>2017Michael4</v>
          </cell>
          <cell r="D610" t="str">
            <v>Michael</v>
          </cell>
          <cell r="E610" t="str">
            <v>Russell</v>
          </cell>
          <cell r="F610">
            <v>2017</v>
          </cell>
          <cell r="I610">
            <v>100</v>
          </cell>
          <cell r="J610">
            <v>18</v>
          </cell>
          <cell r="K610" t="str">
            <v>W</v>
          </cell>
        </row>
        <row r="611">
          <cell r="A611" t="str">
            <v>2017Russell4</v>
          </cell>
          <cell r="D611" t="str">
            <v>Russell</v>
          </cell>
          <cell r="E611" t="str">
            <v>Michael</v>
          </cell>
          <cell r="F611">
            <v>2017</v>
          </cell>
          <cell r="I611">
            <v>82</v>
          </cell>
          <cell r="J611">
            <v>-18</v>
          </cell>
          <cell r="K611" t="str">
            <v>L</v>
          </cell>
        </row>
        <row r="612">
          <cell r="A612" t="str">
            <v>2017Emily4</v>
          </cell>
          <cell r="D612" t="str">
            <v>Emily</v>
          </cell>
          <cell r="E612" t="str">
            <v>Matt</v>
          </cell>
          <cell r="F612">
            <v>2017</v>
          </cell>
          <cell r="I612">
            <v>103</v>
          </cell>
          <cell r="J612">
            <v>6</v>
          </cell>
          <cell r="K612" t="str">
            <v>W</v>
          </cell>
        </row>
        <row r="613">
          <cell r="A613" t="str">
            <v>2017Matt4</v>
          </cell>
          <cell r="D613" t="str">
            <v>Matt</v>
          </cell>
          <cell r="E613" t="str">
            <v>Emily</v>
          </cell>
          <cell r="F613">
            <v>2017</v>
          </cell>
          <cell r="I613">
            <v>97</v>
          </cell>
          <cell r="J613">
            <v>-6</v>
          </cell>
          <cell r="K613" t="str">
            <v>L</v>
          </cell>
        </row>
        <row r="614">
          <cell r="A614" t="str">
            <v>2017Charles4</v>
          </cell>
          <cell r="D614" t="str">
            <v>Charles</v>
          </cell>
          <cell r="E614" t="str">
            <v>Watty</v>
          </cell>
          <cell r="F614">
            <v>2017</v>
          </cell>
          <cell r="I614">
            <v>65</v>
          </cell>
          <cell r="J614">
            <v>-25</v>
          </cell>
          <cell r="K614" t="str">
            <v>L</v>
          </cell>
        </row>
        <row r="615">
          <cell r="A615" t="str">
            <v>2017Watty4</v>
          </cell>
          <cell r="D615" t="str">
            <v>Watty</v>
          </cell>
          <cell r="E615" t="str">
            <v>Charles</v>
          </cell>
          <cell r="F615">
            <v>2017</v>
          </cell>
          <cell r="I615">
            <v>90</v>
          </cell>
          <cell r="J615">
            <v>25</v>
          </cell>
          <cell r="K615" t="str">
            <v>W</v>
          </cell>
        </row>
        <row r="616">
          <cell r="A616" t="str">
            <v>2017Brent4</v>
          </cell>
          <cell r="D616" t="str">
            <v>Brent</v>
          </cell>
          <cell r="E616" t="str">
            <v>David</v>
          </cell>
          <cell r="F616">
            <v>2017</v>
          </cell>
          <cell r="I616">
            <v>73</v>
          </cell>
          <cell r="J616">
            <v>-7</v>
          </cell>
          <cell r="K616" t="str">
            <v>L</v>
          </cell>
        </row>
        <row r="617">
          <cell r="A617" t="str">
            <v>2017David4</v>
          </cell>
          <cell r="D617" t="str">
            <v>David</v>
          </cell>
          <cell r="E617" t="str">
            <v>Brent</v>
          </cell>
          <cell r="F617">
            <v>2017</v>
          </cell>
          <cell r="I617">
            <v>80</v>
          </cell>
          <cell r="J617">
            <v>7</v>
          </cell>
          <cell r="K617" t="str">
            <v>W</v>
          </cell>
        </row>
        <row r="618">
          <cell r="A618" t="str">
            <v>2017Brian4</v>
          </cell>
          <cell r="D618" t="str">
            <v>Brian</v>
          </cell>
          <cell r="E618" t="str">
            <v>Abby</v>
          </cell>
          <cell r="F618">
            <v>2017</v>
          </cell>
          <cell r="I618">
            <v>90</v>
          </cell>
          <cell r="J618">
            <v>-3</v>
          </cell>
          <cell r="K618" t="str">
            <v>L</v>
          </cell>
        </row>
        <row r="619">
          <cell r="A619" t="str">
            <v>2017Abby4</v>
          </cell>
          <cell r="D619" t="str">
            <v>Abby</v>
          </cell>
          <cell r="E619" t="str">
            <v>Brian</v>
          </cell>
          <cell r="F619">
            <v>2017</v>
          </cell>
          <cell r="I619">
            <v>93</v>
          </cell>
          <cell r="J619">
            <v>3</v>
          </cell>
          <cell r="K619" t="str">
            <v>W</v>
          </cell>
        </row>
        <row r="620">
          <cell r="A620" t="str">
            <v>2017BR4</v>
          </cell>
          <cell r="D620" t="str">
            <v>BR</v>
          </cell>
          <cell r="E620" t="str">
            <v>Mark</v>
          </cell>
          <cell r="F620">
            <v>2017</v>
          </cell>
          <cell r="I620">
            <v>84</v>
          </cell>
          <cell r="J620">
            <v>33</v>
          </cell>
          <cell r="K620" t="str">
            <v>W</v>
          </cell>
        </row>
        <row r="621">
          <cell r="A621" t="str">
            <v>2017Mark4</v>
          </cell>
          <cell r="D621" t="str">
            <v>Mark</v>
          </cell>
          <cell r="E621" t="str">
            <v>BR</v>
          </cell>
          <cell r="F621">
            <v>2017</v>
          </cell>
          <cell r="I621">
            <v>51</v>
          </cell>
          <cell r="J621">
            <v>-33</v>
          </cell>
          <cell r="K621" t="str">
            <v>L</v>
          </cell>
        </row>
        <row r="622">
          <cell r="A622" t="str">
            <v>2017Michael5</v>
          </cell>
          <cell r="D622" t="str">
            <v>Michael</v>
          </cell>
          <cell r="E622" t="str">
            <v>David</v>
          </cell>
          <cell r="F622">
            <v>2017</v>
          </cell>
          <cell r="I622">
            <v>76</v>
          </cell>
          <cell r="J622">
            <v>18</v>
          </cell>
          <cell r="K622" t="str">
            <v>W</v>
          </cell>
        </row>
        <row r="623">
          <cell r="A623" t="str">
            <v>2017David5</v>
          </cell>
          <cell r="D623" t="str">
            <v>David</v>
          </cell>
          <cell r="E623" t="str">
            <v>Michael</v>
          </cell>
          <cell r="F623">
            <v>2017</v>
          </cell>
          <cell r="I623">
            <v>58</v>
          </cell>
          <cell r="J623">
            <v>-18</v>
          </cell>
          <cell r="K623" t="str">
            <v>L</v>
          </cell>
        </row>
        <row r="624">
          <cell r="A624" t="str">
            <v>2017Emily5</v>
          </cell>
          <cell r="D624" t="str">
            <v>Emily</v>
          </cell>
          <cell r="E624" t="str">
            <v>Brent</v>
          </cell>
          <cell r="F624">
            <v>2017</v>
          </cell>
          <cell r="I624">
            <v>79</v>
          </cell>
          <cell r="J624">
            <v>-4</v>
          </cell>
          <cell r="K624" t="str">
            <v>L</v>
          </cell>
        </row>
        <row r="625">
          <cell r="A625" t="str">
            <v>2017Brent5</v>
          </cell>
          <cell r="D625" t="str">
            <v>Brent</v>
          </cell>
          <cell r="E625" t="str">
            <v>Emily</v>
          </cell>
          <cell r="F625">
            <v>2017</v>
          </cell>
          <cell r="I625">
            <v>83</v>
          </cell>
          <cell r="J625">
            <v>4</v>
          </cell>
          <cell r="K625" t="str">
            <v>W</v>
          </cell>
        </row>
        <row r="626">
          <cell r="A626" t="str">
            <v>2017Mark5</v>
          </cell>
          <cell r="D626" t="str">
            <v>Mark</v>
          </cell>
          <cell r="E626" t="str">
            <v>Brian</v>
          </cell>
          <cell r="F626">
            <v>2017</v>
          </cell>
          <cell r="I626">
            <v>91</v>
          </cell>
          <cell r="J626">
            <v>12</v>
          </cell>
          <cell r="K626" t="str">
            <v>W</v>
          </cell>
        </row>
        <row r="627">
          <cell r="A627" t="str">
            <v>2017Brian5</v>
          </cell>
          <cell r="D627" t="str">
            <v>Brian</v>
          </cell>
          <cell r="E627" t="str">
            <v>Mark</v>
          </cell>
          <cell r="F627">
            <v>2017</v>
          </cell>
          <cell r="I627">
            <v>79</v>
          </cell>
          <cell r="J627">
            <v>-12</v>
          </cell>
          <cell r="K627" t="str">
            <v>L</v>
          </cell>
        </row>
        <row r="628">
          <cell r="A628" t="str">
            <v>2017Matt5</v>
          </cell>
          <cell r="D628" t="str">
            <v>Matt</v>
          </cell>
          <cell r="E628" t="str">
            <v>Russell</v>
          </cell>
          <cell r="F628">
            <v>2017</v>
          </cell>
          <cell r="I628">
            <v>86</v>
          </cell>
          <cell r="J628">
            <v>18</v>
          </cell>
          <cell r="K628" t="str">
            <v>W</v>
          </cell>
        </row>
        <row r="629">
          <cell r="A629" t="str">
            <v>2017Russell5</v>
          </cell>
          <cell r="D629" t="str">
            <v>Russell</v>
          </cell>
          <cell r="E629" t="str">
            <v>Matt</v>
          </cell>
          <cell r="F629">
            <v>2017</v>
          </cell>
          <cell r="I629">
            <v>68</v>
          </cell>
          <cell r="J629">
            <v>-18</v>
          </cell>
          <cell r="K629" t="str">
            <v>L</v>
          </cell>
        </row>
        <row r="630">
          <cell r="A630" t="str">
            <v>2017Abby5</v>
          </cell>
          <cell r="D630" t="str">
            <v>Abby</v>
          </cell>
          <cell r="E630" t="str">
            <v>Watty</v>
          </cell>
          <cell r="F630">
            <v>2017</v>
          </cell>
          <cell r="I630">
            <v>108</v>
          </cell>
          <cell r="J630">
            <v>18</v>
          </cell>
          <cell r="K630" t="str">
            <v>W</v>
          </cell>
        </row>
        <row r="631">
          <cell r="A631" t="str">
            <v>2017Watty5</v>
          </cell>
          <cell r="D631" t="str">
            <v>Watty</v>
          </cell>
          <cell r="E631" t="str">
            <v>Abby</v>
          </cell>
          <cell r="F631">
            <v>2017</v>
          </cell>
          <cell r="I631">
            <v>90</v>
          </cell>
          <cell r="J631">
            <v>-18</v>
          </cell>
          <cell r="K631" t="str">
            <v>L</v>
          </cell>
        </row>
        <row r="632">
          <cell r="A632" t="str">
            <v>2017BR5</v>
          </cell>
          <cell r="D632" t="str">
            <v>BR</v>
          </cell>
          <cell r="E632" t="str">
            <v>Charles</v>
          </cell>
          <cell r="F632">
            <v>2017</v>
          </cell>
          <cell r="I632">
            <v>80</v>
          </cell>
          <cell r="J632">
            <v>-19</v>
          </cell>
          <cell r="K632" t="str">
            <v>L</v>
          </cell>
        </row>
        <row r="633">
          <cell r="A633" t="str">
            <v>2017Charles5</v>
          </cell>
          <cell r="D633" t="str">
            <v>Charles</v>
          </cell>
          <cell r="E633" t="str">
            <v>BR</v>
          </cell>
          <cell r="F633">
            <v>2017</v>
          </cell>
          <cell r="I633">
            <v>99</v>
          </cell>
          <cell r="J633">
            <v>19</v>
          </cell>
          <cell r="K633" t="str">
            <v>W</v>
          </cell>
        </row>
        <row r="634">
          <cell r="A634" t="str">
            <v>2017Abby6</v>
          </cell>
          <cell r="D634" t="str">
            <v>Abby</v>
          </cell>
          <cell r="E634" t="str">
            <v>Michael</v>
          </cell>
          <cell r="F634">
            <v>2017</v>
          </cell>
          <cell r="I634">
            <v>115</v>
          </cell>
          <cell r="J634">
            <v>28</v>
          </cell>
          <cell r="K634" t="str">
            <v>W</v>
          </cell>
        </row>
        <row r="635">
          <cell r="A635" t="str">
            <v>2017Michael6</v>
          </cell>
          <cell r="D635" t="str">
            <v>Michael</v>
          </cell>
          <cell r="E635" t="str">
            <v>Abby</v>
          </cell>
          <cell r="F635">
            <v>2017</v>
          </cell>
          <cell r="I635">
            <v>87</v>
          </cell>
          <cell r="J635">
            <v>-28</v>
          </cell>
          <cell r="K635" t="str">
            <v>L</v>
          </cell>
        </row>
        <row r="636">
          <cell r="A636" t="str">
            <v>2017BR6</v>
          </cell>
          <cell r="D636" t="str">
            <v>BR</v>
          </cell>
          <cell r="E636" t="str">
            <v>Emily</v>
          </cell>
          <cell r="F636">
            <v>2017</v>
          </cell>
          <cell r="I636">
            <v>89</v>
          </cell>
          <cell r="J636">
            <v>12</v>
          </cell>
          <cell r="K636" t="str">
            <v>W</v>
          </cell>
        </row>
        <row r="637">
          <cell r="A637" t="str">
            <v>2017Emily6</v>
          </cell>
          <cell r="D637" t="str">
            <v>Emily</v>
          </cell>
          <cell r="E637" t="str">
            <v>BR</v>
          </cell>
          <cell r="F637">
            <v>2017</v>
          </cell>
          <cell r="I637">
            <v>77</v>
          </cell>
          <cell r="J637">
            <v>-12</v>
          </cell>
          <cell r="K637" t="str">
            <v>L</v>
          </cell>
        </row>
        <row r="638">
          <cell r="A638" t="str">
            <v>2017Brian6</v>
          </cell>
          <cell r="D638" t="str">
            <v>Brian</v>
          </cell>
          <cell r="E638" t="str">
            <v>Russell</v>
          </cell>
          <cell r="F638">
            <v>2017</v>
          </cell>
          <cell r="I638">
            <v>87</v>
          </cell>
          <cell r="J638">
            <v>-5</v>
          </cell>
          <cell r="K638" t="str">
            <v>L</v>
          </cell>
        </row>
        <row r="639">
          <cell r="A639" t="str">
            <v>2017Russell6</v>
          </cell>
          <cell r="D639" t="str">
            <v>Russell</v>
          </cell>
          <cell r="E639" t="str">
            <v>Brian</v>
          </cell>
          <cell r="F639">
            <v>2017</v>
          </cell>
          <cell r="I639">
            <v>92</v>
          </cell>
          <cell r="J639">
            <v>5</v>
          </cell>
          <cell r="K639" t="str">
            <v>W</v>
          </cell>
        </row>
        <row r="640">
          <cell r="A640" t="str">
            <v>2017Mark6</v>
          </cell>
          <cell r="D640" t="str">
            <v>Mark</v>
          </cell>
          <cell r="E640" t="str">
            <v>Matt</v>
          </cell>
          <cell r="F640">
            <v>2017</v>
          </cell>
          <cell r="I640">
            <v>69</v>
          </cell>
          <cell r="J640">
            <v>-33</v>
          </cell>
          <cell r="K640" t="str">
            <v>L</v>
          </cell>
        </row>
        <row r="641">
          <cell r="A641" t="str">
            <v>2017Matt6</v>
          </cell>
          <cell r="D641" t="str">
            <v>Matt</v>
          </cell>
          <cell r="E641" t="str">
            <v>Mark</v>
          </cell>
          <cell r="F641">
            <v>2017</v>
          </cell>
          <cell r="I641">
            <v>102</v>
          </cell>
          <cell r="J641">
            <v>33</v>
          </cell>
          <cell r="K641" t="str">
            <v>W</v>
          </cell>
        </row>
        <row r="642">
          <cell r="A642" t="str">
            <v>2017Charles6</v>
          </cell>
          <cell r="D642" t="str">
            <v>Charles</v>
          </cell>
          <cell r="E642" t="str">
            <v>Brent</v>
          </cell>
          <cell r="F642">
            <v>2017</v>
          </cell>
          <cell r="I642">
            <v>122</v>
          </cell>
          <cell r="J642">
            <v>24</v>
          </cell>
          <cell r="K642" t="str">
            <v>W</v>
          </cell>
        </row>
        <row r="643">
          <cell r="A643" t="str">
            <v>2017Brent6</v>
          </cell>
          <cell r="D643" t="str">
            <v>Brent</v>
          </cell>
          <cell r="E643" t="str">
            <v>Charles</v>
          </cell>
          <cell r="F643">
            <v>2017</v>
          </cell>
          <cell r="I643">
            <v>98</v>
          </cell>
          <cell r="J643">
            <v>-24</v>
          </cell>
          <cell r="K643" t="str">
            <v>L</v>
          </cell>
        </row>
        <row r="644">
          <cell r="A644" t="str">
            <v>2017Watty6</v>
          </cell>
          <cell r="D644" t="str">
            <v>Watty</v>
          </cell>
          <cell r="E644" t="str">
            <v>David</v>
          </cell>
          <cell r="F644">
            <v>2017</v>
          </cell>
          <cell r="I644">
            <v>89</v>
          </cell>
          <cell r="J644">
            <v>37</v>
          </cell>
          <cell r="K644" t="str">
            <v>W</v>
          </cell>
        </row>
        <row r="645">
          <cell r="A645" t="str">
            <v>2017David6</v>
          </cell>
          <cell r="D645" t="str">
            <v>David</v>
          </cell>
          <cell r="E645" t="str">
            <v>Watty</v>
          </cell>
          <cell r="F645">
            <v>2017</v>
          </cell>
          <cell r="I645">
            <v>52</v>
          </cell>
          <cell r="J645">
            <v>-37</v>
          </cell>
          <cell r="K645" t="str">
            <v>L</v>
          </cell>
        </row>
        <row r="646">
          <cell r="A646" t="str">
            <v>2017Michael7</v>
          </cell>
          <cell r="D646" t="str">
            <v>Michael</v>
          </cell>
          <cell r="E646" t="str">
            <v>Watty</v>
          </cell>
          <cell r="F646">
            <v>2017</v>
          </cell>
          <cell r="I646">
            <v>54</v>
          </cell>
          <cell r="J646">
            <v>-52</v>
          </cell>
          <cell r="K646" t="str">
            <v>L</v>
          </cell>
        </row>
        <row r="647">
          <cell r="A647" t="str">
            <v>2017Watty7</v>
          </cell>
          <cell r="D647" t="str">
            <v>Watty</v>
          </cell>
          <cell r="E647" t="str">
            <v>Michael</v>
          </cell>
          <cell r="F647">
            <v>2017</v>
          </cell>
          <cell r="I647">
            <v>106</v>
          </cell>
          <cell r="J647">
            <v>52</v>
          </cell>
          <cell r="K647" t="str">
            <v>W</v>
          </cell>
        </row>
        <row r="648">
          <cell r="A648" t="str">
            <v>2017Emily7</v>
          </cell>
          <cell r="D648" t="str">
            <v>Emily</v>
          </cell>
          <cell r="E648" t="str">
            <v>Mark</v>
          </cell>
          <cell r="F648">
            <v>2017</v>
          </cell>
          <cell r="I648">
            <v>82</v>
          </cell>
          <cell r="J648">
            <v>34</v>
          </cell>
          <cell r="K648" t="str">
            <v>W</v>
          </cell>
        </row>
        <row r="649">
          <cell r="A649" t="str">
            <v>2017Mark7</v>
          </cell>
          <cell r="D649" t="str">
            <v>Mark</v>
          </cell>
          <cell r="E649" t="str">
            <v>Emily</v>
          </cell>
          <cell r="F649">
            <v>2017</v>
          </cell>
          <cell r="I649">
            <v>48</v>
          </cell>
          <cell r="J649">
            <v>-34</v>
          </cell>
          <cell r="K649" t="str">
            <v>L</v>
          </cell>
        </row>
        <row r="650">
          <cell r="A650" t="str">
            <v>2017Russell7</v>
          </cell>
          <cell r="D650" t="str">
            <v>Russell</v>
          </cell>
          <cell r="E650" t="str">
            <v>Charles</v>
          </cell>
          <cell r="F650">
            <v>2017</v>
          </cell>
          <cell r="I650">
            <v>121</v>
          </cell>
          <cell r="J650">
            <v>55</v>
          </cell>
          <cell r="K650" t="str">
            <v>W</v>
          </cell>
        </row>
        <row r="651">
          <cell r="A651" t="str">
            <v>2017Charles7</v>
          </cell>
          <cell r="D651" t="str">
            <v>Charles</v>
          </cell>
          <cell r="E651" t="str">
            <v>Russell</v>
          </cell>
          <cell r="F651">
            <v>2017</v>
          </cell>
          <cell r="I651">
            <v>66</v>
          </cell>
          <cell r="J651">
            <v>-55</v>
          </cell>
          <cell r="K651" t="str">
            <v>L</v>
          </cell>
        </row>
        <row r="652">
          <cell r="A652" t="str">
            <v>2017Matt7</v>
          </cell>
          <cell r="D652" t="str">
            <v>Matt</v>
          </cell>
          <cell r="E652" t="str">
            <v>Abby</v>
          </cell>
          <cell r="F652">
            <v>2017</v>
          </cell>
          <cell r="I652">
            <v>72</v>
          </cell>
          <cell r="J652">
            <v>2</v>
          </cell>
          <cell r="K652" t="str">
            <v>W</v>
          </cell>
        </row>
        <row r="653">
          <cell r="A653" t="str">
            <v>2017Abby7</v>
          </cell>
          <cell r="D653" t="str">
            <v>Abby</v>
          </cell>
          <cell r="E653" t="str">
            <v>Matt</v>
          </cell>
          <cell r="F653">
            <v>2017</v>
          </cell>
          <cell r="I653">
            <v>70</v>
          </cell>
          <cell r="J653">
            <v>-2</v>
          </cell>
          <cell r="K653" t="str">
            <v>L</v>
          </cell>
        </row>
        <row r="654">
          <cell r="A654" t="str">
            <v>2017Brent7</v>
          </cell>
          <cell r="D654" t="str">
            <v>Brent</v>
          </cell>
          <cell r="E654" t="str">
            <v>BR</v>
          </cell>
          <cell r="F654">
            <v>2017</v>
          </cell>
          <cell r="I654">
            <v>82</v>
          </cell>
          <cell r="J654">
            <v>-2</v>
          </cell>
          <cell r="K654" t="str">
            <v>L</v>
          </cell>
        </row>
        <row r="655">
          <cell r="A655" t="str">
            <v>2017BR7</v>
          </cell>
          <cell r="D655" t="str">
            <v>BR</v>
          </cell>
          <cell r="E655" t="str">
            <v>Brent</v>
          </cell>
          <cell r="F655">
            <v>2017</v>
          </cell>
          <cell r="I655">
            <v>84</v>
          </cell>
          <cell r="J655">
            <v>2</v>
          </cell>
          <cell r="K655" t="str">
            <v>W</v>
          </cell>
        </row>
        <row r="656">
          <cell r="A656" t="str">
            <v>2017David7</v>
          </cell>
          <cell r="D656" t="str">
            <v>David</v>
          </cell>
          <cell r="E656" t="str">
            <v>Brian</v>
          </cell>
          <cell r="F656">
            <v>2017</v>
          </cell>
          <cell r="I656">
            <v>63</v>
          </cell>
          <cell r="J656">
            <v>-50</v>
          </cell>
          <cell r="K656" t="str">
            <v>L</v>
          </cell>
        </row>
        <row r="657">
          <cell r="A657" t="str">
            <v>2017Brian7</v>
          </cell>
          <cell r="D657" t="str">
            <v>Brian</v>
          </cell>
          <cell r="E657" t="str">
            <v>David</v>
          </cell>
          <cell r="F657">
            <v>2017</v>
          </cell>
          <cell r="I657">
            <v>113</v>
          </cell>
          <cell r="J657">
            <v>50</v>
          </cell>
          <cell r="K657" t="str">
            <v>W</v>
          </cell>
        </row>
        <row r="658">
          <cell r="A658" t="str">
            <v>2017Brian8</v>
          </cell>
          <cell r="D658" t="str">
            <v>Brian</v>
          </cell>
          <cell r="E658" t="str">
            <v>Michael</v>
          </cell>
          <cell r="F658">
            <v>2017</v>
          </cell>
          <cell r="I658">
            <v>53</v>
          </cell>
          <cell r="J658">
            <v>-32</v>
          </cell>
          <cell r="K658" t="str">
            <v>L</v>
          </cell>
        </row>
        <row r="659">
          <cell r="A659" t="str">
            <v>2017Michael8</v>
          </cell>
          <cell r="D659" t="str">
            <v>Michael</v>
          </cell>
          <cell r="E659" t="str">
            <v>Brian</v>
          </cell>
          <cell r="F659">
            <v>2017</v>
          </cell>
          <cell r="I659">
            <v>85</v>
          </cell>
          <cell r="J659">
            <v>32</v>
          </cell>
          <cell r="K659" t="str">
            <v>W</v>
          </cell>
        </row>
        <row r="660">
          <cell r="A660" t="str">
            <v>2017Mark8</v>
          </cell>
          <cell r="D660" t="str">
            <v>Mark</v>
          </cell>
          <cell r="E660" t="str">
            <v>Brent</v>
          </cell>
          <cell r="F660">
            <v>2017</v>
          </cell>
          <cell r="I660">
            <v>83</v>
          </cell>
          <cell r="J660">
            <v>-30</v>
          </cell>
          <cell r="K660" t="str">
            <v>L</v>
          </cell>
        </row>
        <row r="661">
          <cell r="A661" t="str">
            <v>2017Brent8</v>
          </cell>
          <cell r="D661" t="str">
            <v>Brent</v>
          </cell>
          <cell r="E661" t="str">
            <v>Mark</v>
          </cell>
          <cell r="F661">
            <v>2017</v>
          </cell>
          <cell r="I661">
            <v>113</v>
          </cell>
          <cell r="J661">
            <v>30</v>
          </cell>
          <cell r="K661" t="str">
            <v>W</v>
          </cell>
        </row>
        <row r="662">
          <cell r="A662" t="str">
            <v>2017Charles8</v>
          </cell>
          <cell r="D662" t="str">
            <v>Charles</v>
          </cell>
          <cell r="E662" t="str">
            <v>David</v>
          </cell>
          <cell r="F662">
            <v>2017</v>
          </cell>
          <cell r="I662">
            <v>88</v>
          </cell>
          <cell r="J662">
            <v>-1</v>
          </cell>
          <cell r="K662" t="str">
            <v>L</v>
          </cell>
        </row>
        <row r="663">
          <cell r="A663" t="str">
            <v>2017David8</v>
          </cell>
          <cell r="D663" t="str">
            <v>David</v>
          </cell>
          <cell r="E663" t="str">
            <v>Charles</v>
          </cell>
          <cell r="F663">
            <v>2017</v>
          </cell>
          <cell r="I663">
            <v>89</v>
          </cell>
          <cell r="J663">
            <v>1</v>
          </cell>
          <cell r="K663" t="str">
            <v>W</v>
          </cell>
        </row>
        <row r="664">
          <cell r="A664" t="str">
            <v>2017Abby8</v>
          </cell>
          <cell r="D664" t="str">
            <v>Abby</v>
          </cell>
          <cell r="E664" t="str">
            <v>Emily</v>
          </cell>
          <cell r="F664">
            <v>2017</v>
          </cell>
          <cell r="I664">
            <v>89</v>
          </cell>
          <cell r="J664">
            <v>16</v>
          </cell>
          <cell r="K664" t="str">
            <v>W</v>
          </cell>
        </row>
        <row r="665">
          <cell r="A665" t="str">
            <v>2017Emily8</v>
          </cell>
          <cell r="D665" t="str">
            <v>Emily</v>
          </cell>
          <cell r="E665" t="str">
            <v>Abby</v>
          </cell>
          <cell r="F665">
            <v>2017</v>
          </cell>
          <cell r="I665">
            <v>73</v>
          </cell>
          <cell r="J665">
            <v>-16</v>
          </cell>
          <cell r="K665" t="str">
            <v>L</v>
          </cell>
        </row>
        <row r="666">
          <cell r="A666" t="str">
            <v>2017BR8</v>
          </cell>
          <cell r="D666" t="str">
            <v>BR</v>
          </cell>
          <cell r="E666" t="str">
            <v>Russell</v>
          </cell>
          <cell r="F666">
            <v>2017</v>
          </cell>
          <cell r="I666">
            <v>82</v>
          </cell>
          <cell r="J666">
            <v>-20</v>
          </cell>
          <cell r="K666" t="str">
            <v>L</v>
          </cell>
        </row>
        <row r="667">
          <cell r="A667" t="str">
            <v>2017Russell8</v>
          </cell>
          <cell r="D667" t="str">
            <v>Russell</v>
          </cell>
          <cell r="E667" t="str">
            <v>BR</v>
          </cell>
          <cell r="F667">
            <v>2017</v>
          </cell>
          <cell r="I667">
            <v>102</v>
          </cell>
          <cell r="J667">
            <v>20</v>
          </cell>
          <cell r="K667" t="str">
            <v>W</v>
          </cell>
        </row>
        <row r="668">
          <cell r="A668" t="str">
            <v>2017Watty8</v>
          </cell>
          <cell r="D668" t="str">
            <v>Watty</v>
          </cell>
          <cell r="E668" t="str">
            <v>Matt</v>
          </cell>
          <cell r="F668">
            <v>2017</v>
          </cell>
          <cell r="I668">
            <v>65</v>
          </cell>
          <cell r="J668">
            <v>-38</v>
          </cell>
          <cell r="K668" t="str">
            <v>L</v>
          </cell>
        </row>
        <row r="669">
          <cell r="A669" t="str">
            <v>2017Matt8</v>
          </cell>
          <cell r="D669" t="str">
            <v>Matt</v>
          </cell>
          <cell r="E669" t="str">
            <v>Watty</v>
          </cell>
          <cell r="F669">
            <v>2017</v>
          </cell>
          <cell r="I669">
            <v>103</v>
          </cell>
          <cell r="J669">
            <v>38</v>
          </cell>
          <cell r="K669" t="str">
            <v>W</v>
          </cell>
        </row>
        <row r="670">
          <cell r="A670" t="str">
            <v>2017Michael9</v>
          </cell>
          <cell r="D670" t="str">
            <v>Michael</v>
          </cell>
          <cell r="E670" t="str">
            <v>Charles</v>
          </cell>
          <cell r="F670">
            <v>2017</v>
          </cell>
          <cell r="I670">
            <v>59</v>
          </cell>
          <cell r="J670">
            <v>-20</v>
          </cell>
          <cell r="K670" t="str">
            <v>L</v>
          </cell>
        </row>
        <row r="671">
          <cell r="A671" t="str">
            <v>2017Charles9</v>
          </cell>
          <cell r="D671" t="str">
            <v>Charles</v>
          </cell>
          <cell r="E671" t="str">
            <v>Michael</v>
          </cell>
          <cell r="F671">
            <v>2017</v>
          </cell>
          <cell r="I671">
            <v>79</v>
          </cell>
          <cell r="J671">
            <v>20</v>
          </cell>
          <cell r="K671" t="str">
            <v>W</v>
          </cell>
        </row>
        <row r="672">
          <cell r="A672" t="str">
            <v>2017Russell9</v>
          </cell>
          <cell r="D672" t="str">
            <v>Russell</v>
          </cell>
          <cell r="E672" t="str">
            <v>Mark</v>
          </cell>
          <cell r="F672">
            <v>2017</v>
          </cell>
          <cell r="I672">
            <v>73</v>
          </cell>
          <cell r="J672">
            <v>-7</v>
          </cell>
          <cell r="K672" t="str">
            <v>L</v>
          </cell>
        </row>
        <row r="673">
          <cell r="A673" t="str">
            <v>2017Mark9</v>
          </cell>
          <cell r="D673" t="str">
            <v>Mark</v>
          </cell>
          <cell r="E673" t="str">
            <v>Russell</v>
          </cell>
          <cell r="F673">
            <v>2017</v>
          </cell>
          <cell r="I673">
            <v>80</v>
          </cell>
          <cell r="J673">
            <v>7</v>
          </cell>
          <cell r="K673" t="str">
            <v>W</v>
          </cell>
        </row>
        <row r="674">
          <cell r="A674" t="str">
            <v>2017Matt9</v>
          </cell>
          <cell r="D674" t="str">
            <v>Matt</v>
          </cell>
          <cell r="E674" t="str">
            <v>Brian</v>
          </cell>
          <cell r="F674">
            <v>2017</v>
          </cell>
          <cell r="I674">
            <v>75</v>
          </cell>
          <cell r="J674">
            <v>-12</v>
          </cell>
          <cell r="K674" t="str">
            <v>L</v>
          </cell>
        </row>
        <row r="675">
          <cell r="A675" t="str">
            <v>2017Brian9</v>
          </cell>
          <cell r="D675" t="str">
            <v>Brian</v>
          </cell>
          <cell r="E675" t="str">
            <v>Matt</v>
          </cell>
          <cell r="F675">
            <v>2017</v>
          </cell>
          <cell r="I675">
            <v>87</v>
          </cell>
          <cell r="J675">
            <v>12</v>
          </cell>
          <cell r="K675" t="str">
            <v>W</v>
          </cell>
        </row>
        <row r="676">
          <cell r="A676" t="str">
            <v>2017Brent9</v>
          </cell>
          <cell r="D676" t="str">
            <v>Brent</v>
          </cell>
          <cell r="E676" t="str">
            <v>Abby</v>
          </cell>
          <cell r="F676">
            <v>2017</v>
          </cell>
          <cell r="I676">
            <v>87</v>
          </cell>
          <cell r="J676">
            <v>5</v>
          </cell>
          <cell r="K676" t="str">
            <v>W</v>
          </cell>
        </row>
        <row r="677">
          <cell r="A677" t="str">
            <v>2017Abby9</v>
          </cell>
          <cell r="D677" t="str">
            <v>Abby</v>
          </cell>
          <cell r="E677" t="str">
            <v>Brent</v>
          </cell>
          <cell r="F677">
            <v>2017</v>
          </cell>
          <cell r="I677">
            <v>82</v>
          </cell>
          <cell r="J677">
            <v>-5</v>
          </cell>
          <cell r="K677" t="str">
            <v>L</v>
          </cell>
        </row>
        <row r="678">
          <cell r="A678" t="str">
            <v>2017David9</v>
          </cell>
          <cell r="D678" t="str">
            <v>David</v>
          </cell>
          <cell r="E678" t="str">
            <v>BR</v>
          </cell>
          <cell r="F678">
            <v>2017</v>
          </cell>
          <cell r="I678">
            <v>60</v>
          </cell>
          <cell r="J678">
            <v>-46</v>
          </cell>
          <cell r="K678" t="str">
            <v>L</v>
          </cell>
        </row>
        <row r="679">
          <cell r="A679" t="str">
            <v>2017BR9</v>
          </cell>
          <cell r="D679" t="str">
            <v>BR</v>
          </cell>
          <cell r="E679" t="str">
            <v>David</v>
          </cell>
          <cell r="F679">
            <v>2017</v>
          </cell>
          <cell r="I679">
            <v>106</v>
          </cell>
          <cell r="J679">
            <v>46</v>
          </cell>
          <cell r="K679" t="str">
            <v>W</v>
          </cell>
        </row>
        <row r="680">
          <cell r="A680" t="str">
            <v>2017Emily9</v>
          </cell>
          <cell r="D680" t="str">
            <v>Emily</v>
          </cell>
          <cell r="E680" t="str">
            <v>Watty</v>
          </cell>
          <cell r="F680">
            <v>2017</v>
          </cell>
          <cell r="I680">
            <v>82</v>
          </cell>
          <cell r="J680">
            <v>20</v>
          </cell>
          <cell r="K680" t="str">
            <v>W</v>
          </cell>
        </row>
        <row r="681">
          <cell r="A681" t="str">
            <v>2017Watty9</v>
          </cell>
          <cell r="D681" t="str">
            <v>Watty</v>
          </cell>
          <cell r="E681" t="str">
            <v>Emily</v>
          </cell>
          <cell r="F681">
            <v>2017</v>
          </cell>
          <cell r="I681">
            <v>62</v>
          </cell>
          <cell r="J681">
            <v>-20</v>
          </cell>
          <cell r="K681" t="str">
            <v>L</v>
          </cell>
        </row>
        <row r="682">
          <cell r="A682" t="str">
            <v>2017BR10</v>
          </cell>
          <cell r="D682" t="str">
            <v>BR</v>
          </cell>
          <cell r="E682" t="str">
            <v>Michael</v>
          </cell>
          <cell r="F682">
            <v>2017</v>
          </cell>
          <cell r="I682">
            <v>62</v>
          </cell>
          <cell r="J682">
            <v>-21</v>
          </cell>
          <cell r="K682" t="str">
            <v>L</v>
          </cell>
        </row>
        <row r="683">
          <cell r="A683" t="str">
            <v>2017Michael10</v>
          </cell>
          <cell r="D683" t="str">
            <v>Michael</v>
          </cell>
          <cell r="E683" t="str">
            <v>BR</v>
          </cell>
          <cell r="F683">
            <v>2017</v>
          </cell>
          <cell r="I683">
            <v>83</v>
          </cell>
          <cell r="J683">
            <v>21</v>
          </cell>
          <cell r="K683" t="str">
            <v>W</v>
          </cell>
        </row>
        <row r="684">
          <cell r="A684" t="str">
            <v>2017Mark10</v>
          </cell>
          <cell r="D684" t="str">
            <v>Mark</v>
          </cell>
          <cell r="E684" t="str">
            <v>David</v>
          </cell>
          <cell r="F684">
            <v>2017</v>
          </cell>
          <cell r="I684">
            <v>90</v>
          </cell>
          <cell r="J684">
            <v>0</v>
          </cell>
          <cell r="K684" t="str">
            <v>T</v>
          </cell>
        </row>
        <row r="685">
          <cell r="A685" t="str">
            <v>2017David10</v>
          </cell>
          <cell r="D685" t="str">
            <v>David</v>
          </cell>
          <cell r="E685" t="str">
            <v>Mark</v>
          </cell>
          <cell r="F685">
            <v>2017</v>
          </cell>
          <cell r="I685">
            <v>90</v>
          </cell>
          <cell r="J685">
            <v>0</v>
          </cell>
          <cell r="K685" t="str">
            <v>T</v>
          </cell>
        </row>
        <row r="686">
          <cell r="A686" t="str">
            <v>2017Brian10</v>
          </cell>
          <cell r="D686" t="str">
            <v>Brian</v>
          </cell>
          <cell r="E686" t="str">
            <v>Emily</v>
          </cell>
          <cell r="F686">
            <v>2017</v>
          </cell>
          <cell r="I686">
            <v>70</v>
          </cell>
          <cell r="J686">
            <v>7</v>
          </cell>
          <cell r="K686" t="str">
            <v>W</v>
          </cell>
        </row>
        <row r="687">
          <cell r="A687" t="str">
            <v>2017Emily10</v>
          </cell>
          <cell r="D687" t="str">
            <v>Emily</v>
          </cell>
          <cell r="E687" t="str">
            <v>Brian</v>
          </cell>
          <cell r="F687">
            <v>2017</v>
          </cell>
          <cell r="I687">
            <v>63</v>
          </cell>
          <cell r="J687">
            <v>-7</v>
          </cell>
          <cell r="K687" t="str">
            <v>L</v>
          </cell>
        </row>
        <row r="688">
          <cell r="A688" t="str">
            <v>2017Abby10</v>
          </cell>
          <cell r="D688" t="str">
            <v>Abby</v>
          </cell>
          <cell r="E688" t="str">
            <v>Russell</v>
          </cell>
          <cell r="F688">
            <v>2017</v>
          </cell>
          <cell r="I688">
            <v>114</v>
          </cell>
          <cell r="J688">
            <v>55</v>
          </cell>
          <cell r="K688" t="str">
            <v>W</v>
          </cell>
        </row>
        <row r="689">
          <cell r="A689" t="str">
            <v>2017Russell10</v>
          </cell>
          <cell r="D689" t="str">
            <v>Russell</v>
          </cell>
          <cell r="E689" t="str">
            <v>Abby</v>
          </cell>
          <cell r="F689">
            <v>2017</v>
          </cell>
          <cell r="I689">
            <v>59</v>
          </cell>
          <cell r="J689">
            <v>-55</v>
          </cell>
          <cell r="K689" t="str">
            <v>L</v>
          </cell>
        </row>
        <row r="690">
          <cell r="A690" t="str">
            <v>2017Charles10</v>
          </cell>
          <cell r="D690" t="str">
            <v>Charles</v>
          </cell>
          <cell r="E690" t="str">
            <v>Matt</v>
          </cell>
          <cell r="F690">
            <v>2017</v>
          </cell>
          <cell r="I690">
            <v>90</v>
          </cell>
          <cell r="J690">
            <v>19</v>
          </cell>
          <cell r="K690" t="str">
            <v>W</v>
          </cell>
        </row>
        <row r="691">
          <cell r="A691" t="str">
            <v>2017Matt10</v>
          </cell>
          <cell r="D691" t="str">
            <v>Matt</v>
          </cell>
          <cell r="E691" t="str">
            <v>Charles</v>
          </cell>
          <cell r="F691">
            <v>2017</v>
          </cell>
          <cell r="I691">
            <v>71</v>
          </cell>
          <cell r="J691">
            <v>-19</v>
          </cell>
          <cell r="K691" t="str">
            <v>L</v>
          </cell>
        </row>
        <row r="692">
          <cell r="A692" t="str">
            <v>2017Watty10</v>
          </cell>
          <cell r="D692" t="str">
            <v>Watty</v>
          </cell>
          <cell r="E692" t="str">
            <v>Brent</v>
          </cell>
          <cell r="F692">
            <v>2017</v>
          </cell>
          <cell r="I692">
            <v>73</v>
          </cell>
          <cell r="J692">
            <v>-1</v>
          </cell>
          <cell r="K692" t="str">
            <v>L</v>
          </cell>
        </row>
        <row r="693">
          <cell r="A693" t="str">
            <v>2017Brent10</v>
          </cell>
          <cell r="D693" t="str">
            <v>Brent</v>
          </cell>
          <cell r="E693" t="str">
            <v>Watty</v>
          </cell>
          <cell r="F693">
            <v>2017</v>
          </cell>
          <cell r="I693">
            <v>74</v>
          </cell>
          <cell r="J693">
            <v>1</v>
          </cell>
          <cell r="K693" t="str">
            <v>W</v>
          </cell>
        </row>
        <row r="694">
          <cell r="A694" t="str">
            <v>2017Michael11</v>
          </cell>
          <cell r="D694" t="str">
            <v>Michael</v>
          </cell>
          <cell r="E694" t="str">
            <v>Mark</v>
          </cell>
          <cell r="F694">
            <v>2017</v>
          </cell>
          <cell r="I694">
            <v>94</v>
          </cell>
          <cell r="J694">
            <v>42</v>
          </cell>
          <cell r="K694" t="str">
            <v>W</v>
          </cell>
        </row>
        <row r="695">
          <cell r="A695" t="str">
            <v>2017Mark11</v>
          </cell>
          <cell r="D695" t="str">
            <v>Mark</v>
          </cell>
          <cell r="E695" t="str">
            <v>Michael</v>
          </cell>
          <cell r="F695">
            <v>2017</v>
          </cell>
          <cell r="I695">
            <v>52</v>
          </cell>
          <cell r="J695">
            <v>-42</v>
          </cell>
          <cell r="K695" t="str">
            <v>L</v>
          </cell>
        </row>
        <row r="696">
          <cell r="A696" t="str">
            <v>2017Matt11</v>
          </cell>
          <cell r="D696" t="str">
            <v>Matt</v>
          </cell>
          <cell r="E696" t="str">
            <v>BR</v>
          </cell>
          <cell r="F696">
            <v>2017</v>
          </cell>
          <cell r="I696">
            <v>78</v>
          </cell>
          <cell r="J696">
            <v>24</v>
          </cell>
          <cell r="K696" t="str">
            <v>W</v>
          </cell>
        </row>
        <row r="697">
          <cell r="A697" t="str">
            <v>2017BR11</v>
          </cell>
          <cell r="D697" t="str">
            <v>BR</v>
          </cell>
          <cell r="E697" t="str">
            <v>Matt</v>
          </cell>
          <cell r="F697">
            <v>2017</v>
          </cell>
          <cell r="I697">
            <v>54</v>
          </cell>
          <cell r="J697">
            <v>-24</v>
          </cell>
          <cell r="K697" t="str">
            <v>L</v>
          </cell>
        </row>
        <row r="698">
          <cell r="A698" t="str">
            <v>2017Brent11</v>
          </cell>
          <cell r="D698" t="str">
            <v>Brent</v>
          </cell>
          <cell r="E698" t="str">
            <v>Brian</v>
          </cell>
          <cell r="F698">
            <v>2017</v>
          </cell>
          <cell r="I698">
            <v>94</v>
          </cell>
          <cell r="J698">
            <v>-3</v>
          </cell>
          <cell r="K698" t="str">
            <v>L</v>
          </cell>
        </row>
        <row r="699">
          <cell r="A699" t="str">
            <v>2017Brian11</v>
          </cell>
          <cell r="D699" t="str">
            <v>Brian</v>
          </cell>
          <cell r="E699" t="str">
            <v>Brent</v>
          </cell>
          <cell r="F699">
            <v>2017</v>
          </cell>
          <cell r="I699">
            <v>97</v>
          </cell>
          <cell r="J699">
            <v>3</v>
          </cell>
          <cell r="K699" t="str">
            <v>W</v>
          </cell>
        </row>
        <row r="700">
          <cell r="A700" t="str">
            <v>2017David11</v>
          </cell>
          <cell r="D700" t="str">
            <v>David</v>
          </cell>
          <cell r="E700" t="str">
            <v>Abby</v>
          </cell>
          <cell r="F700">
            <v>2017</v>
          </cell>
          <cell r="I700">
            <v>82</v>
          </cell>
          <cell r="J700">
            <v>-46</v>
          </cell>
          <cell r="K700" t="str">
            <v>L</v>
          </cell>
        </row>
        <row r="701">
          <cell r="A701" t="str">
            <v>2017Abby11</v>
          </cell>
          <cell r="D701" t="str">
            <v>Abby</v>
          </cell>
          <cell r="E701" t="str">
            <v>David</v>
          </cell>
          <cell r="F701">
            <v>2017</v>
          </cell>
          <cell r="I701">
            <v>128</v>
          </cell>
          <cell r="J701">
            <v>46</v>
          </cell>
          <cell r="K701" t="str">
            <v>W</v>
          </cell>
        </row>
        <row r="702">
          <cell r="A702" t="str">
            <v>2017Emily11</v>
          </cell>
          <cell r="D702" t="str">
            <v>Emily</v>
          </cell>
          <cell r="E702" t="str">
            <v>Charles</v>
          </cell>
          <cell r="F702">
            <v>2017</v>
          </cell>
          <cell r="I702">
            <v>71</v>
          </cell>
          <cell r="J702">
            <v>-55</v>
          </cell>
          <cell r="K702" t="str">
            <v>L</v>
          </cell>
        </row>
        <row r="703">
          <cell r="A703" t="str">
            <v>2017Charles11</v>
          </cell>
          <cell r="D703" t="str">
            <v>Charles</v>
          </cell>
          <cell r="E703" t="str">
            <v>Emily</v>
          </cell>
          <cell r="F703">
            <v>2017</v>
          </cell>
          <cell r="I703">
            <v>126</v>
          </cell>
          <cell r="J703">
            <v>55</v>
          </cell>
          <cell r="K703" t="str">
            <v>W</v>
          </cell>
        </row>
        <row r="704">
          <cell r="A704" t="str">
            <v>2017Russell11</v>
          </cell>
          <cell r="D704" t="str">
            <v>Russell</v>
          </cell>
          <cell r="E704" t="str">
            <v>Watty</v>
          </cell>
          <cell r="F704">
            <v>2017</v>
          </cell>
          <cell r="I704">
            <v>65</v>
          </cell>
          <cell r="J704">
            <v>-12</v>
          </cell>
          <cell r="K704" t="str">
            <v>L</v>
          </cell>
        </row>
        <row r="705">
          <cell r="A705" t="str">
            <v>2017Watty11</v>
          </cell>
          <cell r="D705" t="str">
            <v>Watty</v>
          </cell>
          <cell r="E705" t="str">
            <v>Russell</v>
          </cell>
          <cell r="F705">
            <v>2017</v>
          </cell>
          <cell r="I705">
            <v>77</v>
          </cell>
          <cell r="J705">
            <v>12</v>
          </cell>
          <cell r="K705" t="str">
            <v>W</v>
          </cell>
        </row>
        <row r="706">
          <cell r="A706" t="str">
            <v>2017Michael12</v>
          </cell>
          <cell r="D706" t="str">
            <v>Michael</v>
          </cell>
          <cell r="E706" t="str">
            <v>Abby</v>
          </cell>
          <cell r="F706">
            <v>2017</v>
          </cell>
          <cell r="I706">
            <v>96</v>
          </cell>
          <cell r="J706">
            <v>18</v>
          </cell>
          <cell r="K706" t="str">
            <v>W</v>
          </cell>
        </row>
        <row r="707">
          <cell r="A707" t="str">
            <v>2017Abby12</v>
          </cell>
          <cell r="D707" t="str">
            <v>Abby</v>
          </cell>
          <cell r="E707" t="str">
            <v>Michael</v>
          </cell>
          <cell r="F707">
            <v>2017</v>
          </cell>
          <cell r="I707">
            <v>78</v>
          </cell>
          <cell r="J707">
            <v>-18</v>
          </cell>
          <cell r="K707" t="str">
            <v>L</v>
          </cell>
        </row>
        <row r="708">
          <cell r="A708" t="str">
            <v>2017Emily12</v>
          </cell>
          <cell r="D708" t="str">
            <v>Emily</v>
          </cell>
          <cell r="E708" t="str">
            <v>BR</v>
          </cell>
          <cell r="F708">
            <v>2017</v>
          </cell>
          <cell r="I708">
            <v>111</v>
          </cell>
          <cell r="J708">
            <v>8</v>
          </cell>
          <cell r="K708" t="str">
            <v>W</v>
          </cell>
        </row>
        <row r="709">
          <cell r="A709" t="str">
            <v>2017BR12</v>
          </cell>
          <cell r="D709" t="str">
            <v>BR</v>
          </cell>
          <cell r="E709" t="str">
            <v>Emily</v>
          </cell>
          <cell r="F709">
            <v>2017</v>
          </cell>
          <cell r="I709">
            <v>103</v>
          </cell>
          <cell r="J709">
            <v>-8</v>
          </cell>
          <cell r="K709" t="str">
            <v>L</v>
          </cell>
        </row>
        <row r="710">
          <cell r="A710" t="str">
            <v>2017Russell12</v>
          </cell>
          <cell r="D710" t="str">
            <v>Russell</v>
          </cell>
          <cell r="E710" t="str">
            <v>Brian</v>
          </cell>
          <cell r="F710">
            <v>2017</v>
          </cell>
          <cell r="I710">
            <v>109</v>
          </cell>
          <cell r="J710">
            <v>21</v>
          </cell>
          <cell r="K710" t="str">
            <v>W</v>
          </cell>
        </row>
        <row r="711">
          <cell r="A711" t="str">
            <v>2017Brian12</v>
          </cell>
          <cell r="D711" t="str">
            <v>Brian</v>
          </cell>
          <cell r="E711" t="str">
            <v>Russell</v>
          </cell>
          <cell r="F711">
            <v>2017</v>
          </cell>
          <cell r="I711">
            <v>88</v>
          </cell>
          <cell r="J711">
            <v>-21</v>
          </cell>
          <cell r="K711" t="str">
            <v>L</v>
          </cell>
        </row>
        <row r="712">
          <cell r="A712" t="str">
            <v>2017Matt12</v>
          </cell>
          <cell r="D712" t="str">
            <v>Matt</v>
          </cell>
          <cell r="E712" t="str">
            <v>Mark</v>
          </cell>
          <cell r="F712">
            <v>2017</v>
          </cell>
          <cell r="I712">
            <v>86</v>
          </cell>
          <cell r="J712">
            <v>8</v>
          </cell>
          <cell r="K712" t="str">
            <v>W</v>
          </cell>
        </row>
        <row r="713">
          <cell r="A713" t="str">
            <v>2017Mark12</v>
          </cell>
          <cell r="D713" t="str">
            <v>Mark</v>
          </cell>
          <cell r="E713" t="str">
            <v>Matt</v>
          </cell>
          <cell r="F713">
            <v>2017</v>
          </cell>
          <cell r="I713">
            <v>78</v>
          </cell>
          <cell r="J713">
            <v>-8</v>
          </cell>
          <cell r="K713" t="str">
            <v>L</v>
          </cell>
        </row>
        <row r="714">
          <cell r="A714" t="str">
            <v>2017Brent12</v>
          </cell>
          <cell r="D714" t="str">
            <v>Brent</v>
          </cell>
          <cell r="E714" t="str">
            <v>Charles</v>
          </cell>
          <cell r="F714">
            <v>2017</v>
          </cell>
          <cell r="I714">
            <v>81</v>
          </cell>
          <cell r="J714">
            <v>-21</v>
          </cell>
          <cell r="K714" t="str">
            <v>L</v>
          </cell>
        </row>
        <row r="715">
          <cell r="A715" t="str">
            <v>2017Charles12</v>
          </cell>
          <cell r="D715" t="str">
            <v>Charles</v>
          </cell>
          <cell r="E715" t="str">
            <v>Brent</v>
          </cell>
          <cell r="F715">
            <v>2017</v>
          </cell>
          <cell r="I715">
            <v>102</v>
          </cell>
          <cell r="J715">
            <v>21</v>
          </cell>
          <cell r="K715" t="str">
            <v>W</v>
          </cell>
        </row>
        <row r="716">
          <cell r="A716" t="str">
            <v>2017David12</v>
          </cell>
          <cell r="D716" t="str">
            <v>David</v>
          </cell>
          <cell r="E716" t="str">
            <v>Watty</v>
          </cell>
          <cell r="F716">
            <v>2017</v>
          </cell>
          <cell r="I716">
            <v>78</v>
          </cell>
          <cell r="J716">
            <v>27</v>
          </cell>
          <cell r="K716" t="str">
            <v>W</v>
          </cell>
        </row>
        <row r="717">
          <cell r="A717" t="str">
            <v>2017Watty12</v>
          </cell>
          <cell r="D717" t="str">
            <v>Watty</v>
          </cell>
          <cell r="E717" t="str">
            <v>David</v>
          </cell>
          <cell r="F717">
            <v>2017</v>
          </cell>
          <cell r="I717">
            <v>51</v>
          </cell>
          <cell r="J717">
            <v>-27</v>
          </cell>
          <cell r="K717" t="str">
            <v>L</v>
          </cell>
        </row>
        <row r="718">
          <cell r="A718" t="str">
            <v>2017Watty13</v>
          </cell>
          <cell r="D718" t="str">
            <v>Watty</v>
          </cell>
          <cell r="E718" t="str">
            <v>Michael</v>
          </cell>
          <cell r="F718">
            <v>2017</v>
          </cell>
          <cell r="I718">
            <v>85</v>
          </cell>
          <cell r="J718">
            <v>1</v>
          </cell>
          <cell r="K718" t="str">
            <v>W</v>
          </cell>
        </row>
        <row r="719">
          <cell r="A719" t="str">
            <v>2017Michael13</v>
          </cell>
          <cell r="D719" t="str">
            <v>Michael</v>
          </cell>
          <cell r="E719" t="str">
            <v>Watty</v>
          </cell>
          <cell r="F719">
            <v>2017</v>
          </cell>
          <cell r="I719">
            <v>84</v>
          </cell>
          <cell r="J719">
            <v>-1</v>
          </cell>
          <cell r="K719" t="str">
            <v>L</v>
          </cell>
        </row>
        <row r="720">
          <cell r="A720" t="str">
            <v>2017Mark13</v>
          </cell>
          <cell r="D720" t="str">
            <v>Mark</v>
          </cell>
          <cell r="E720" t="str">
            <v>Emily</v>
          </cell>
          <cell r="F720">
            <v>2017</v>
          </cell>
          <cell r="I720">
            <v>79</v>
          </cell>
          <cell r="J720">
            <v>-21</v>
          </cell>
          <cell r="K720" t="str">
            <v>L</v>
          </cell>
        </row>
        <row r="721">
          <cell r="A721" t="str">
            <v>2017Emily13</v>
          </cell>
          <cell r="D721" t="str">
            <v>Emily</v>
          </cell>
          <cell r="E721" t="str">
            <v>Mark</v>
          </cell>
          <cell r="F721">
            <v>2017</v>
          </cell>
          <cell r="I721">
            <v>100</v>
          </cell>
          <cell r="J721">
            <v>21</v>
          </cell>
          <cell r="K721" t="str">
            <v>W</v>
          </cell>
        </row>
        <row r="722">
          <cell r="A722" t="str">
            <v>2017Charles13</v>
          </cell>
          <cell r="D722" t="str">
            <v>Charles</v>
          </cell>
          <cell r="E722" t="str">
            <v>Russell</v>
          </cell>
          <cell r="F722">
            <v>2017</v>
          </cell>
          <cell r="I722">
            <v>69</v>
          </cell>
          <cell r="J722">
            <v>9</v>
          </cell>
          <cell r="K722" t="str">
            <v>W</v>
          </cell>
        </row>
        <row r="723">
          <cell r="A723" t="str">
            <v>2017Russell13</v>
          </cell>
          <cell r="D723" t="str">
            <v>Russell</v>
          </cell>
          <cell r="E723" t="str">
            <v>Charles</v>
          </cell>
          <cell r="F723">
            <v>2017</v>
          </cell>
          <cell r="I723">
            <v>60</v>
          </cell>
          <cell r="J723">
            <v>-9</v>
          </cell>
          <cell r="K723" t="str">
            <v>L</v>
          </cell>
        </row>
        <row r="724">
          <cell r="A724" t="str">
            <v>2017Abby13</v>
          </cell>
          <cell r="D724" t="str">
            <v>Abby</v>
          </cell>
          <cell r="E724" t="str">
            <v>Matt</v>
          </cell>
          <cell r="F724">
            <v>2017</v>
          </cell>
          <cell r="I724">
            <v>109</v>
          </cell>
          <cell r="J724">
            <v>3</v>
          </cell>
          <cell r="K724" t="str">
            <v>W</v>
          </cell>
        </row>
        <row r="725">
          <cell r="A725" t="str">
            <v>2017Matt13</v>
          </cell>
          <cell r="D725" t="str">
            <v>Matt</v>
          </cell>
          <cell r="E725" t="str">
            <v>Abby</v>
          </cell>
          <cell r="F725">
            <v>2017</v>
          </cell>
          <cell r="I725">
            <v>106</v>
          </cell>
          <cell r="J725">
            <v>-3</v>
          </cell>
          <cell r="K725" t="str">
            <v>L</v>
          </cell>
        </row>
        <row r="726">
          <cell r="A726" t="str">
            <v>2017BR13</v>
          </cell>
          <cell r="D726" t="str">
            <v>BR</v>
          </cell>
          <cell r="E726" t="str">
            <v>Brent</v>
          </cell>
          <cell r="F726">
            <v>2017</v>
          </cell>
          <cell r="I726">
            <v>93</v>
          </cell>
          <cell r="J726">
            <v>-13</v>
          </cell>
          <cell r="K726" t="str">
            <v>L</v>
          </cell>
        </row>
        <row r="727">
          <cell r="A727" t="str">
            <v>2017Brent13</v>
          </cell>
          <cell r="D727" t="str">
            <v>Brent</v>
          </cell>
          <cell r="E727" t="str">
            <v>BR</v>
          </cell>
          <cell r="F727">
            <v>2017</v>
          </cell>
          <cell r="I727">
            <v>106</v>
          </cell>
          <cell r="J727">
            <v>13</v>
          </cell>
          <cell r="K727" t="str">
            <v>W</v>
          </cell>
        </row>
        <row r="728">
          <cell r="A728" t="str">
            <v>2017Brian13</v>
          </cell>
          <cell r="D728" t="str">
            <v>Brian</v>
          </cell>
          <cell r="E728" t="str">
            <v>David</v>
          </cell>
          <cell r="F728">
            <v>2017</v>
          </cell>
          <cell r="I728">
            <v>95</v>
          </cell>
          <cell r="J728">
            <v>14</v>
          </cell>
          <cell r="K728" t="str">
            <v>W</v>
          </cell>
        </row>
        <row r="729">
          <cell r="A729" t="str">
            <v>2017David13</v>
          </cell>
          <cell r="D729" t="str">
            <v>David</v>
          </cell>
          <cell r="E729" t="str">
            <v>Brian</v>
          </cell>
          <cell r="F729">
            <v>2017</v>
          </cell>
          <cell r="I729">
            <v>81</v>
          </cell>
          <cell r="J729">
            <v>-14</v>
          </cell>
          <cell r="K729" t="str">
            <v>L</v>
          </cell>
        </row>
        <row r="730">
          <cell r="A730" t="str">
            <v>2018Michael1</v>
          </cell>
          <cell r="D730" t="str">
            <v>Michael</v>
          </cell>
          <cell r="E730" t="str">
            <v>Matt</v>
          </cell>
          <cell r="F730">
            <v>2018</v>
          </cell>
          <cell r="I730">
            <v>120</v>
          </cell>
          <cell r="J730">
            <v>1</v>
          </cell>
          <cell r="K730" t="str">
            <v>W</v>
          </cell>
        </row>
        <row r="731">
          <cell r="A731" t="str">
            <v>2018Matt1</v>
          </cell>
          <cell r="D731" t="str">
            <v>Matt</v>
          </cell>
          <cell r="E731" t="str">
            <v>Michael</v>
          </cell>
          <cell r="F731">
            <v>2018</v>
          </cell>
          <cell r="I731">
            <v>119</v>
          </cell>
          <cell r="J731">
            <v>-1</v>
          </cell>
          <cell r="K731" t="str">
            <v>L</v>
          </cell>
        </row>
        <row r="732">
          <cell r="A732" t="str">
            <v>2018Brent1</v>
          </cell>
          <cell r="D732" t="str">
            <v>Brent</v>
          </cell>
          <cell r="E732" t="str">
            <v>Russell</v>
          </cell>
          <cell r="F732">
            <v>2018</v>
          </cell>
          <cell r="I732">
            <v>103</v>
          </cell>
          <cell r="J732">
            <v>44</v>
          </cell>
          <cell r="K732" t="str">
            <v>W</v>
          </cell>
        </row>
        <row r="733">
          <cell r="A733" t="str">
            <v>2018Russell1</v>
          </cell>
          <cell r="D733" t="str">
            <v>Russell</v>
          </cell>
          <cell r="E733" t="str">
            <v>Brent</v>
          </cell>
          <cell r="F733">
            <v>2018</v>
          </cell>
          <cell r="I733">
            <v>59</v>
          </cell>
          <cell r="J733">
            <v>-44</v>
          </cell>
          <cell r="K733" t="str">
            <v>L</v>
          </cell>
        </row>
        <row r="734">
          <cell r="A734" t="str">
            <v>2018BR1</v>
          </cell>
          <cell r="D734" t="str">
            <v>BR</v>
          </cell>
          <cell r="E734" t="str">
            <v>Watty</v>
          </cell>
          <cell r="F734">
            <v>2018</v>
          </cell>
          <cell r="I734">
            <v>95</v>
          </cell>
          <cell r="J734">
            <v>5</v>
          </cell>
          <cell r="K734" t="str">
            <v>W</v>
          </cell>
        </row>
        <row r="735">
          <cell r="A735" t="str">
            <v>2018Watty1</v>
          </cell>
          <cell r="D735" t="str">
            <v>Watty</v>
          </cell>
          <cell r="E735" t="str">
            <v>BR</v>
          </cell>
          <cell r="F735">
            <v>2018</v>
          </cell>
          <cell r="I735">
            <v>90</v>
          </cell>
          <cell r="J735">
            <v>-5</v>
          </cell>
          <cell r="K735" t="str">
            <v>L</v>
          </cell>
        </row>
        <row r="736">
          <cell r="A736" t="str">
            <v>2018Emily1</v>
          </cell>
          <cell r="D736" t="str">
            <v>Emily</v>
          </cell>
          <cell r="E736" t="str">
            <v>David</v>
          </cell>
          <cell r="F736">
            <v>2018</v>
          </cell>
          <cell r="I736">
            <v>98</v>
          </cell>
          <cell r="J736">
            <v>41</v>
          </cell>
          <cell r="K736" t="str">
            <v>W</v>
          </cell>
        </row>
        <row r="737">
          <cell r="A737" t="str">
            <v>2018David1</v>
          </cell>
          <cell r="D737" t="str">
            <v>David</v>
          </cell>
          <cell r="E737" t="str">
            <v>Emily</v>
          </cell>
          <cell r="F737">
            <v>2018</v>
          </cell>
          <cell r="I737">
            <v>57</v>
          </cell>
          <cell r="J737">
            <v>-41</v>
          </cell>
          <cell r="K737" t="str">
            <v>L</v>
          </cell>
        </row>
        <row r="738">
          <cell r="A738" t="str">
            <v>2018Abby1</v>
          </cell>
          <cell r="D738" t="str">
            <v>Abby</v>
          </cell>
          <cell r="E738" t="str">
            <v>Mark</v>
          </cell>
          <cell r="F738">
            <v>2018</v>
          </cell>
          <cell r="I738">
            <v>83</v>
          </cell>
          <cell r="J738">
            <v>-27</v>
          </cell>
          <cell r="K738" t="str">
            <v>L</v>
          </cell>
        </row>
        <row r="739">
          <cell r="A739" t="str">
            <v>2018Mark1</v>
          </cell>
          <cell r="D739" t="str">
            <v>Mark</v>
          </cell>
          <cell r="E739" t="str">
            <v>Abby</v>
          </cell>
          <cell r="F739">
            <v>2018</v>
          </cell>
          <cell r="I739">
            <v>110</v>
          </cell>
          <cell r="J739">
            <v>27</v>
          </cell>
          <cell r="K739" t="str">
            <v>W</v>
          </cell>
        </row>
        <row r="740">
          <cell r="A740" t="str">
            <v>2018Charles1</v>
          </cell>
          <cell r="D740" t="str">
            <v>Charles</v>
          </cell>
          <cell r="E740" t="str">
            <v>Brian</v>
          </cell>
          <cell r="F740">
            <v>2018</v>
          </cell>
          <cell r="I740">
            <v>74</v>
          </cell>
          <cell r="J740">
            <v>-34</v>
          </cell>
          <cell r="K740" t="str">
            <v>L</v>
          </cell>
        </row>
        <row r="741">
          <cell r="A741" t="str">
            <v>2018Brian1</v>
          </cell>
          <cell r="D741" t="str">
            <v>Brian</v>
          </cell>
          <cell r="E741" t="str">
            <v>Charles</v>
          </cell>
          <cell r="F741">
            <v>2018</v>
          </cell>
          <cell r="I741">
            <v>108</v>
          </cell>
          <cell r="J741">
            <v>34</v>
          </cell>
          <cell r="K741" t="str">
            <v>W</v>
          </cell>
        </row>
        <row r="742">
          <cell r="A742" t="str">
            <v>2018Emily2</v>
          </cell>
          <cell r="D742" t="str">
            <v>Emily</v>
          </cell>
          <cell r="E742" t="str">
            <v>Michael</v>
          </cell>
          <cell r="F742">
            <v>2018</v>
          </cell>
          <cell r="I742">
            <v>124</v>
          </cell>
          <cell r="J742">
            <v>33</v>
          </cell>
          <cell r="K742" t="str">
            <v>W</v>
          </cell>
        </row>
        <row r="743">
          <cell r="A743" t="str">
            <v>2018Michael2</v>
          </cell>
          <cell r="D743" t="str">
            <v>Michael</v>
          </cell>
          <cell r="E743" t="str">
            <v>Emily</v>
          </cell>
          <cell r="F743">
            <v>2018</v>
          </cell>
          <cell r="I743">
            <v>91</v>
          </cell>
          <cell r="J743">
            <v>-33</v>
          </cell>
          <cell r="K743" t="str">
            <v>L</v>
          </cell>
        </row>
        <row r="744">
          <cell r="A744" t="str">
            <v>2018David2</v>
          </cell>
          <cell r="D744" t="str">
            <v>David</v>
          </cell>
          <cell r="E744" t="str">
            <v>Russell</v>
          </cell>
          <cell r="F744">
            <v>2018</v>
          </cell>
          <cell r="I744">
            <v>78</v>
          </cell>
          <cell r="J744">
            <v>-14</v>
          </cell>
          <cell r="K744" t="str">
            <v>L</v>
          </cell>
        </row>
        <row r="745">
          <cell r="A745" t="str">
            <v>2018Russell2</v>
          </cell>
          <cell r="D745" t="str">
            <v>Russell</v>
          </cell>
          <cell r="E745" t="str">
            <v>David</v>
          </cell>
          <cell r="F745">
            <v>2018</v>
          </cell>
          <cell r="I745">
            <v>92</v>
          </cell>
          <cell r="J745">
            <v>14</v>
          </cell>
          <cell r="K745" t="str">
            <v>W</v>
          </cell>
        </row>
        <row r="746">
          <cell r="A746" t="str">
            <v>2018Mark2</v>
          </cell>
          <cell r="D746" t="str">
            <v>Mark</v>
          </cell>
          <cell r="E746" t="str">
            <v>Charles</v>
          </cell>
          <cell r="F746">
            <v>2018</v>
          </cell>
          <cell r="I746">
            <v>69</v>
          </cell>
          <cell r="J746">
            <v>-58</v>
          </cell>
          <cell r="K746" t="str">
            <v>L</v>
          </cell>
        </row>
        <row r="747">
          <cell r="A747" t="str">
            <v>2018Charles2</v>
          </cell>
          <cell r="D747" t="str">
            <v>Charles</v>
          </cell>
          <cell r="E747" t="str">
            <v>Mark</v>
          </cell>
          <cell r="F747">
            <v>2018</v>
          </cell>
          <cell r="I747">
            <v>127</v>
          </cell>
          <cell r="J747">
            <v>58</v>
          </cell>
          <cell r="K747" t="str">
            <v>W</v>
          </cell>
        </row>
        <row r="748">
          <cell r="A748" t="str">
            <v>2018Matt2</v>
          </cell>
          <cell r="D748" t="str">
            <v>Matt</v>
          </cell>
          <cell r="E748" t="str">
            <v>Brent</v>
          </cell>
          <cell r="F748">
            <v>2018</v>
          </cell>
          <cell r="I748">
            <v>91</v>
          </cell>
          <cell r="J748">
            <v>6</v>
          </cell>
          <cell r="K748" t="str">
            <v>W</v>
          </cell>
        </row>
        <row r="749">
          <cell r="A749" t="str">
            <v>2018Brent2</v>
          </cell>
          <cell r="D749" t="str">
            <v>Brent</v>
          </cell>
          <cell r="E749" t="str">
            <v>Matt</v>
          </cell>
          <cell r="F749">
            <v>2018</v>
          </cell>
          <cell r="I749">
            <v>85</v>
          </cell>
          <cell r="J749">
            <v>-6</v>
          </cell>
          <cell r="K749" t="str">
            <v>L</v>
          </cell>
        </row>
        <row r="750">
          <cell r="A750" t="str">
            <v>2018BR2</v>
          </cell>
          <cell r="D750" t="str">
            <v>BR</v>
          </cell>
          <cell r="E750" t="str">
            <v>Abby</v>
          </cell>
          <cell r="F750">
            <v>2018</v>
          </cell>
          <cell r="I750">
            <v>97</v>
          </cell>
          <cell r="J750">
            <v>25</v>
          </cell>
          <cell r="K750" t="str">
            <v>W</v>
          </cell>
        </row>
        <row r="751">
          <cell r="A751" t="str">
            <v>2018Abby2</v>
          </cell>
          <cell r="D751" t="str">
            <v>Abby</v>
          </cell>
          <cell r="E751" t="str">
            <v>BR</v>
          </cell>
          <cell r="F751">
            <v>2018</v>
          </cell>
          <cell r="I751">
            <v>72</v>
          </cell>
          <cell r="J751">
            <v>-25</v>
          </cell>
          <cell r="K751" t="str">
            <v>L</v>
          </cell>
        </row>
        <row r="752">
          <cell r="A752" t="str">
            <v>2018Watty2</v>
          </cell>
          <cell r="D752" t="str">
            <v>Watty</v>
          </cell>
          <cell r="E752" t="str">
            <v>Brian</v>
          </cell>
          <cell r="F752">
            <v>2018</v>
          </cell>
          <cell r="I752">
            <v>95</v>
          </cell>
          <cell r="J752">
            <v>6</v>
          </cell>
          <cell r="K752" t="str">
            <v>W</v>
          </cell>
        </row>
        <row r="753">
          <cell r="A753" t="str">
            <v>2018Brian2</v>
          </cell>
          <cell r="D753" t="str">
            <v>Brian</v>
          </cell>
          <cell r="E753" t="str">
            <v>Watty</v>
          </cell>
          <cell r="F753">
            <v>2018</v>
          </cell>
          <cell r="I753">
            <v>89</v>
          </cell>
          <cell r="J753">
            <v>-6</v>
          </cell>
          <cell r="K753" t="str">
            <v>L</v>
          </cell>
        </row>
        <row r="754">
          <cell r="A754" t="str">
            <v>2018Michael3</v>
          </cell>
          <cell r="D754" t="str">
            <v>Michael</v>
          </cell>
          <cell r="E754" t="str">
            <v>Brent</v>
          </cell>
          <cell r="F754">
            <v>2018</v>
          </cell>
          <cell r="I754">
            <v>127</v>
          </cell>
          <cell r="J754">
            <v>52</v>
          </cell>
          <cell r="K754" t="str">
            <v>W</v>
          </cell>
        </row>
        <row r="755">
          <cell r="A755" t="str">
            <v>2018Brent3</v>
          </cell>
          <cell r="D755" t="str">
            <v>Brent</v>
          </cell>
          <cell r="E755" t="str">
            <v>Michael</v>
          </cell>
          <cell r="F755">
            <v>2018</v>
          </cell>
          <cell r="I755">
            <v>75</v>
          </cell>
          <cell r="J755">
            <v>-52</v>
          </cell>
          <cell r="K755" t="str">
            <v>L</v>
          </cell>
        </row>
        <row r="756">
          <cell r="A756" t="str">
            <v>2018David3</v>
          </cell>
          <cell r="D756" t="str">
            <v>David</v>
          </cell>
          <cell r="E756" t="str">
            <v>Matt</v>
          </cell>
          <cell r="F756">
            <v>2018</v>
          </cell>
          <cell r="I756">
            <v>102</v>
          </cell>
          <cell r="J756">
            <v>3</v>
          </cell>
          <cell r="K756" t="str">
            <v>W</v>
          </cell>
        </row>
        <row r="757">
          <cell r="A757" t="str">
            <v>2018Matt3</v>
          </cell>
          <cell r="D757" t="str">
            <v>Matt</v>
          </cell>
          <cell r="E757" t="str">
            <v>David</v>
          </cell>
          <cell r="F757">
            <v>2018</v>
          </cell>
          <cell r="I757">
            <v>99</v>
          </cell>
          <cell r="J757">
            <v>-3</v>
          </cell>
          <cell r="K757" t="str">
            <v>L</v>
          </cell>
        </row>
        <row r="758">
          <cell r="A758" t="str">
            <v>2018Brian3</v>
          </cell>
          <cell r="D758" t="str">
            <v>Brian</v>
          </cell>
          <cell r="E758" t="str">
            <v>BR</v>
          </cell>
          <cell r="F758">
            <v>2018</v>
          </cell>
          <cell r="I758">
            <v>94</v>
          </cell>
          <cell r="J758">
            <v>0</v>
          </cell>
          <cell r="K758" t="str">
            <v>T</v>
          </cell>
        </row>
        <row r="759">
          <cell r="A759" t="str">
            <v>2018BR3</v>
          </cell>
          <cell r="D759" t="str">
            <v>BR</v>
          </cell>
          <cell r="E759" t="str">
            <v>Brian</v>
          </cell>
          <cell r="F759">
            <v>2018</v>
          </cell>
          <cell r="I759">
            <v>94</v>
          </cell>
          <cell r="J759">
            <v>0</v>
          </cell>
          <cell r="K759" t="str">
            <v>T</v>
          </cell>
        </row>
        <row r="760">
          <cell r="A760" t="str">
            <v>2018Russell3</v>
          </cell>
          <cell r="D760" t="str">
            <v>Russell</v>
          </cell>
          <cell r="E760" t="str">
            <v>Emily</v>
          </cell>
          <cell r="F760">
            <v>2018</v>
          </cell>
          <cell r="I760">
            <v>70</v>
          </cell>
          <cell r="J760">
            <v>-30</v>
          </cell>
          <cell r="K760" t="str">
            <v>L</v>
          </cell>
        </row>
        <row r="761">
          <cell r="A761" t="str">
            <v>2018Emily3</v>
          </cell>
          <cell r="D761" t="str">
            <v>Emily</v>
          </cell>
          <cell r="E761" t="str">
            <v>Russell</v>
          </cell>
          <cell r="F761">
            <v>2018</v>
          </cell>
          <cell r="I761">
            <v>100</v>
          </cell>
          <cell r="J761">
            <v>30</v>
          </cell>
          <cell r="K761" t="str">
            <v>W</v>
          </cell>
        </row>
        <row r="762">
          <cell r="A762" t="str">
            <v>2018Abby3</v>
          </cell>
          <cell r="D762" t="str">
            <v>Abby</v>
          </cell>
          <cell r="E762" t="str">
            <v>Charles</v>
          </cell>
          <cell r="F762">
            <v>2018</v>
          </cell>
          <cell r="I762">
            <v>93</v>
          </cell>
          <cell r="J762">
            <v>12</v>
          </cell>
          <cell r="K762" t="str">
            <v>W</v>
          </cell>
        </row>
        <row r="763">
          <cell r="A763" t="str">
            <v>2018Charles3</v>
          </cell>
          <cell r="D763" t="str">
            <v>Charles</v>
          </cell>
          <cell r="E763" t="str">
            <v>Abby</v>
          </cell>
          <cell r="F763">
            <v>2018</v>
          </cell>
          <cell r="I763">
            <v>81</v>
          </cell>
          <cell r="J763">
            <v>-12</v>
          </cell>
          <cell r="K763" t="str">
            <v>L</v>
          </cell>
        </row>
        <row r="764">
          <cell r="A764" t="str">
            <v>2018Watty3</v>
          </cell>
          <cell r="D764" t="str">
            <v>Watty</v>
          </cell>
          <cell r="E764" t="str">
            <v>Mark</v>
          </cell>
          <cell r="F764">
            <v>2018</v>
          </cell>
          <cell r="I764">
            <v>53</v>
          </cell>
          <cell r="J764">
            <v>-25</v>
          </cell>
          <cell r="K764" t="str">
            <v>L</v>
          </cell>
        </row>
        <row r="765">
          <cell r="A765" t="str">
            <v>2018Mark3</v>
          </cell>
          <cell r="D765" t="str">
            <v>Mark</v>
          </cell>
          <cell r="E765" t="str">
            <v>Watty</v>
          </cell>
          <cell r="F765">
            <v>2018</v>
          </cell>
          <cell r="I765">
            <v>78</v>
          </cell>
          <cell r="J765">
            <v>25</v>
          </cell>
          <cell r="K765" t="str">
            <v>W</v>
          </cell>
        </row>
        <row r="766">
          <cell r="A766" t="str">
            <v>2018Russell4</v>
          </cell>
          <cell r="D766" t="str">
            <v>Russell</v>
          </cell>
          <cell r="E766" t="str">
            <v>Michael</v>
          </cell>
          <cell r="F766">
            <v>2018</v>
          </cell>
          <cell r="I766">
            <v>102</v>
          </cell>
          <cell r="J766">
            <v>37</v>
          </cell>
          <cell r="K766" t="str">
            <v>W</v>
          </cell>
        </row>
        <row r="767">
          <cell r="A767" t="str">
            <v>2018Michael4</v>
          </cell>
          <cell r="D767" t="str">
            <v>Michael</v>
          </cell>
          <cell r="E767" t="str">
            <v>Russell</v>
          </cell>
          <cell r="F767">
            <v>2018</v>
          </cell>
          <cell r="I767">
            <v>65</v>
          </cell>
          <cell r="J767">
            <v>-37</v>
          </cell>
          <cell r="K767" t="str">
            <v>L</v>
          </cell>
        </row>
        <row r="768">
          <cell r="A768" t="str">
            <v>2018Emily4</v>
          </cell>
          <cell r="D768" t="str">
            <v>Emily</v>
          </cell>
          <cell r="E768" t="str">
            <v>Matt</v>
          </cell>
          <cell r="F768">
            <v>2018</v>
          </cell>
          <cell r="I768">
            <v>155</v>
          </cell>
          <cell r="J768">
            <v>51</v>
          </cell>
          <cell r="K768" t="str">
            <v>W</v>
          </cell>
        </row>
        <row r="769">
          <cell r="A769" t="str">
            <v>2018Matt4</v>
          </cell>
          <cell r="D769" t="str">
            <v>Matt</v>
          </cell>
          <cell r="E769" t="str">
            <v>Emily</v>
          </cell>
          <cell r="F769">
            <v>2018</v>
          </cell>
          <cell r="I769">
            <v>104</v>
          </cell>
          <cell r="J769">
            <v>-51</v>
          </cell>
          <cell r="K769" t="str">
            <v>L</v>
          </cell>
        </row>
        <row r="770">
          <cell r="A770" t="str">
            <v>2018Charles4</v>
          </cell>
          <cell r="D770" t="str">
            <v>Charles</v>
          </cell>
          <cell r="E770" t="str">
            <v>Watty</v>
          </cell>
          <cell r="F770">
            <v>2018</v>
          </cell>
          <cell r="I770">
            <v>113</v>
          </cell>
          <cell r="J770">
            <v>17</v>
          </cell>
          <cell r="K770" t="str">
            <v>W</v>
          </cell>
        </row>
        <row r="771">
          <cell r="A771" t="str">
            <v>2018Watty4</v>
          </cell>
          <cell r="D771" t="str">
            <v>Watty</v>
          </cell>
          <cell r="E771" t="str">
            <v>Charles</v>
          </cell>
          <cell r="F771">
            <v>2018</v>
          </cell>
          <cell r="I771">
            <v>96</v>
          </cell>
          <cell r="J771">
            <v>-17</v>
          </cell>
          <cell r="K771" t="str">
            <v>L</v>
          </cell>
        </row>
        <row r="772">
          <cell r="A772" t="str">
            <v>2018Brent4</v>
          </cell>
          <cell r="D772" t="str">
            <v>Brent</v>
          </cell>
          <cell r="E772" t="str">
            <v>David</v>
          </cell>
          <cell r="F772">
            <v>2018</v>
          </cell>
          <cell r="I772">
            <v>116</v>
          </cell>
          <cell r="J772">
            <v>24</v>
          </cell>
          <cell r="K772" t="str">
            <v>W</v>
          </cell>
        </row>
        <row r="773">
          <cell r="A773" t="str">
            <v>2018David4</v>
          </cell>
          <cell r="D773" t="str">
            <v>David</v>
          </cell>
          <cell r="E773" t="str">
            <v>Brent</v>
          </cell>
          <cell r="F773">
            <v>2018</v>
          </cell>
          <cell r="I773">
            <v>92</v>
          </cell>
          <cell r="J773">
            <v>-24</v>
          </cell>
          <cell r="K773" t="str">
            <v>L</v>
          </cell>
        </row>
        <row r="774">
          <cell r="A774" t="str">
            <v>2018Brian4</v>
          </cell>
          <cell r="D774" t="str">
            <v>Brian</v>
          </cell>
          <cell r="E774" t="str">
            <v>Abby</v>
          </cell>
          <cell r="F774">
            <v>2018</v>
          </cell>
          <cell r="I774">
            <v>62</v>
          </cell>
          <cell r="J774">
            <v>-2</v>
          </cell>
          <cell r="K774" t="str">
            <v>L</v>
          </cell>
        </row>
        <row r="775">
          <cell r="A775" t="str">
            <v>2018Abby4</v>
          </cell>
          <cell r="D775" t="str">
            <v>Abby</v>
          </cell>
          <cell r="E775" t="str">
            <v>Brian</v>
          </cell>
          <cell r="F775">
            <v>2018</v>
          </cell>
          <cell r="I775">
            <v>64</v>
          </cell>
          <cell r="J775">
            <v>2</v>
          </cell>
          <cell r="K775" t="str">
            <v>W</v>
          </cell>
        </row>
        <row r="776">
          <cell r="A776" t="str">
            <v>2018BR4</v>
          </cell>
          <cell r="D776" t="str">
            <v>BR</v>
          </cell>
          <cell r="E776" t="str">
            <v>Mark</v>
          </cell>
          <cell r="F776">
            <v>2018</v>
          </cell>
          <cell r="I776">
            <v>87</v>
          </cell>
          <cell r="J776">
            <v>13</v>
          </cell>
          <cell r="K776" t="str">
            <v>W</v>
          </cell>
        </row>
        <row r="777">
          <cell r="A777" t="str">
            <v>2018Mark4</v>
          </cell>
          <cell r="D777" t="str">
            <v>Mark</v>
          </cell>
          <cell r="E777" t="str">
            <v>BR</v>
          </cell>
          <cell r="F777">
            <v>2018</v>
          </cell>
          <cell r="I777">
            <v>74</v>
          </cell>
          <cell r="J777">
            <v>-13</v>
          </cell>
          <cell r="K777" t="str">
            <v>L</v>
          </cell>
        </row>
        <row r="778">
          <cell r="A778" t="str">
            <v>2018Michael5</v>
          </cell>
          <cell r="D778" t="str">
            <v>Michael</v>
          </cell>
          <cell r="E778" t="str">
            <v>David</v>
          </cell>
          <cell r="F778">
            <v>2018</v>
          </cell>
          <cell r="I778">
            <v>110</v>
          </cell>
          <cell r="J778">
            <v>32</v>
          </cell>
          <cell r="K778" t="str">
            <v>W</v>
          </cell>
        </row>
        <row r="779">
          <cell r="A779" t="str">
            <v>2018David5</v>
          </cell>
          <cell r="D779" t="str">
            <v>David</v>
          </cell>
          <cell r="E779" t="str">
            <v>Michael</v>
          </cell>
          <cell r="F779">
            <v>2018</v>
          </cell>
          <cell r="I779">
            <v>78</v>
          </cell>
          <cell r="J779">
            <v>-32</v>
          </cell>
          <cell r="K779" t="str">
            <v>L</v>
          </cell>
        </row>
        <row r="780">
          <cell r="A780" t="str">
            <v>2018Emily5</v>
          </cell>
          <cell r="D780" t="str">
            <v>Emily</v>
          </cell>
          <cell r="E780" t="str">
            <v>Brent</v>
          </cell>
          <cell r="F780">
            <v>2018</v>
          </cell>
          <cell r="I780">
            <v>58</v>
          </cell>
          <cell r="J780">
            <v>-66</v>
          </cell>
          <cell r="K780" t="str">
            <v>L</v>
          </cell>
        </row>
        <row r="781">
          <cell r="A781" t="str">
            <v>2018Brent5</v>
          </cell>
          <cell r="D781" t="str">
            <v>Brent</v>
          </cell>
          <cell r="E781" t="str">
            <v>Emily</v>
          </cell>
          <cell r="F781">
            <v>2018</v>
          </cell>
          <cell r="I781">
            <v>124</v>
          </cell>
          <cell r="J781">
            <v>66</v>
          </cell>
          <cell r="K781" t="str">
            <v>W</v>
          </cell>
        </row>
        <row r="782">
          <cell r="A782" t="str">
            <v>2018Mark5</v>
          </cell>
          <cell r="D782" t="str">
            <v>Mark</v>
          </cell>
          <cell r="E782" t="str">
            <v>Brian</v>
          </cell>
          <cell r="F782">
            <v>2018</v>
          </cell>
          <cell r="I782">
            <v>93</v>
          </cell>
          <cell r="J782">
            <v>-14</v>
          </cell>
          <cell r="K782" t="str">
            <v>L</v>
          </cell>
        </row>
        <row r="783">
          <cell r="A783" t="str">
            <v>2018Brian5</v>
          </cell>
          <cell r="D783" t="str">
            <v>Brian</v>
          </cell>
          <cell r="E783" t="str">
            <v>Mark</v>
          </cell>
          <cell r="F783">
            <v>2018</v>
          </cell>
          <cell r="I783">
            <v>107</v>
          </cell>
          <cell r="J783">
            <v>14</v>
          </cell>
          <cell r="K783" t="str">
            <v>W</v>
          </cell>
        </row>
        <row r="784">
          <cell r="A784" t="str">
            <v>2018Matt5</v>
          </cell>
          <cell r="D784" t="str">
            <v>Matt</v>
          </cell>
          <cell r="E784" t="str">
            <v>Russell</v>
          </cell>
          <cell r="F784">
            <v>2018</v>
          </cell>
          <cell r="I784">
            <v>44</v>
          </cell>
          <cell r="J784">
            <v>-45</v>
          </cell>
          <cell r="K784" t="str">
            <v>L</v>
          </cell>
        </row>
        <row r="785">
          <cell r="A785" t="str">
            <v>2018Russell5</v>
          </cell>
          <cell r="D785" t="str">
            <v>Russell</v>
          </cell>
          <cell r="E785" t="str">
            <v>Matt</v>
          </cell>
          <cell r="F785">
            <v>2018</v>
          </cell>
          <cell r="I785">
            <v>89</v>
          </cell>
          <cell r="J785">
            <v>45</v>
          </cell>
          <cell r="K785" t="str">
            <v>W</v>
          </cell>
        </row>
        <row r="786">
          <cell r="A786" t="str">
            <v>2018Abby5</v>
          </cell>
          <cell r="D786" t="str">
            <v>Abby</v>
          </cell>
          <cell r="E786" t="str">
            <v>Watty</v>
          </cell>
          <cell r="F786">
            <v>2018</v>
          </cell>
          <cell r="I786">
            <v>61</v>
          </cell>
          <cell r="J786">
            <v>-20</v>
          </cell>
          <cell r="K786" t="str">
            <v>L</v>
          </cell>
        </row>
        <row r="787">
          <cell r="A787" t="str">
            <v>2018Watty5</v>
          </cell>
          <cell r="D787" t="str">
            <v>Watty</v>
          </cell>
          <cell r="E787" t="str">
            <v>Abby</v>
          </cell>
          <cell r="F787">
            <v>2018</v>
          </cell>
          <cell r="I787">
            <v>81</v>
          </cell>
          <cell r="J787">
            <v>20</v>
          </cell>
          <cell r="K787" t="str">
            <v>W</v>
          </cell>
        </row>
        <row r="788">
          <cell r="A788" t="str">
            <v>2018BR5</v>
          </cell>
          <cell r="D788" t="str">
            <v>BR</v>
          </cell>
          <cell r="E788" t="str">
            <v>Charles</v>
          </cell>
          <cell r="F788">
            <v>2018</v>
          </cell>
          <cell r="I788">
            <v>112</v>
          </cell>
          <cell r="J788">
            <v>10</v>
          </cell>
          <cell r="K788" t="str">
            <v>W</v>
          </cell>
        </row>
        <row r="789">
          <cell r="A789" t="str">
            <v>2018Charles5</v>
          </cell>
          <cell r="D789" t="str">
            <v>Charles</v>
          </cell>
          <cell r="E789" t="str">
            <v>BR</v>
          </cell>
          <cell r="F789">
            <v>2018</v>
          </cell>
          <cell r="I789">
            <v>102</v>
          </cell>
          <cell r="J789">
            <v>-10</v>
          </cell>
          <cell r="K789" t="str">
            <v>L</v>
          </cell>
        </row>
        <row r="790">
          <cell r="A790" t="str">
            <v>2018Abby6</v>
          </cell>
          <cell r="D790" t="str">
            <v>Abby</v>
          </cell>
          <cell r="E790" t="str">
            <v>Michael</v>
          </cell>
          <cell r="F790">
            <v>2018</v>
          </cell>
          <cell r="I790">
            <v>45</v>
          </cell>
          <cell r="J790">
            <v>-33</v>
          </cell>
          <cell r="K790" t="str">
            <v>L</v>
          </cell>
        </row>
        <row r="791">
          <cell r="A791" t="str">
            <v>2018Michael6</v>
          </cell>
          <cell r="D791" t="str">
            <v>Michael</v>
          </cell>
          <cell r="E791" t="str">
            <v>Abby</v>
          </cell>
          <cell r="F791">
            <v>2018</v>
          </cell>
          <cell r="I791">
            <v>78</v>
          </cell>
          <cell r="J791">
            <v>33</v>
          </cell>
          <cell r="K791" t="str">
            <v>W</v>
          </cell>
        </row>
        <row r="792">
          <cell r="A792" t="str">
            <v>2018BR6</v>
          </cell>
          <cell r="D792" t="str">
            <v>BR</v>
          </cell>
          <cell r="E792" t="str">
            <v>Emily</v>
          </cell>
          <cell r="F792">
            <v>2018</v>
          </cell>
          <cell r="I792">
            <v>97</v>
          </cell>
          <cell r="J792">
            <v>20</v>
          </cell>
          <cell r="K792" t="str">
            <v>W</v>
          </cell>
        </row>
        <row r="793">
          <cell r="A793" t="str">
            <v>2018Emily6</v>
          </cell>
          <cell r="D793" t="str">
            <v>Emily</v>
          </cell>
          <cell r="E793" t="str">
            <v>BR</v>
          </cell>
          <cell r="F793">
            <v>2018</v>
          </cell>
          <cell r="I793">
            <v>77</v>
          </cell>
          <cell r="J793">
            <v>-20</v>
          </cell>
          <cell r="K793" t="str">
            <v>L</v>
          </cell>
        </row>
        <row r="794">
          <cell r="A794" t="str">
            <v>2018Brian6</v>
          </cell>
          <cell r="D794" t="str">
            <v>Brian</v>
          </cell>
          <cell r="E794" t="str">
            <v>Russell</v>
          </cell>
          <cell r="F794">
            <v>2018</v>
          </cell>
          <cell r="I794">
            <v>88</v>
          </cell>
          <cell r="J794">
            <v>-66</v>
          </cell>
          <cell r="K794" t="str">
            <v>L</v>
          </cell>
        </row>
        <row r="795">
          <cell r="A795" t="str">
            <v>2018Russell6</v>
          </cell>
          <cell r="D795" t="str">
            <v>Russell</v>
          </cell>
          <cell r="E795" t="str">
            <v>Brian</v>
          </cell>
          <cell r="F795">
            <v>2018</v>
          </cell>
          <cell r="I795">
            <v>154</v>
          </cell>
          <cell r="J795">
            <v>66</v>
          </cell>
          <cell r="K795" t="str">
            <v>W</v>
          </cell>
        </row>
        <row r="796">
          <cell r="A796" t="str">
            <v>2018Mark6</v>
          </cell>
          <cell r="D796" t="str">
            <v>Mark</v>
          </cell>
          <cell r="E796" t="str">
            <v>Matt</v>
          </cell>
          <cell r="F796">
            <v>2018</v>
          </cell>
          <cell r="I796">
            <v>85</v>
          </cell>
          <cell r="J796">
            <v>-43</v>
          </cell>
          <cell r="K796" t="str">
            <v>L</v>
          </cell>
        </row>
        <row r="797">
          <cell r="A797" t="str">
            <v>2018Matt6</v>
          </cell>
          <cell r="D797" t="str">
            <v>Matt</v>
          </cell>
          <cell r="E797" t="str">
            <v>Mark</v>
          </cell>
          <cell r="F797">
            <v>2018</v>
          </cell>
          <cell r="I797">
            <v>128</v>
          </cell>
          <cell r="J797">
            <v>43</v>
          </cell>
          <cell r="K797" t="str">
            <v>W</v>
          </cell>
        </row>
        <row r="798">
          <cell r="A798" t="str">
            <v>2018Charles6</v>
          </cell>
          <cell r="D798" t="str">
            <v>Charles</v>
          </cell>
          <cell r="E798" t="str">
            <v>Brent</v>
          </cell>
          <cell r="F798">
            <v>2018</v>
          </cell>
          <cell r="I798">
            <v>104</v>
          </cell>
          <cell r="J798">
            <v>-6</v>
          </cell>
          <cell r="K798" t="str">
            <v>L</v>
          </cell>
        </row>
        <row r="799">
          <cell r="A799" t="str">
            <v>2018Brent6</v>
          </cell>
          <cell r="D799" t="str">
            <v>Brent</v>
          </cell>
          <cell r="E799" t="str">
            <v>Charles</v>
          </cell>
          <cell r="F799">
            <v>2018</v>
          </cell>
          <cell r="I799">
            <v>110</v>
          </cell>
          <cell r="J799">
            <v>6</v>
          </cell>
          <cell r="K799" t="str">
            <v>W</v>
          </cell>
        </row>
        <row r="800">
          <cell r="A800" t="str">
            <v>2018Watty6</v>
          </cell>
          <cell r="D800" t="str">
            <v>Watty</v>
          </cell>
          <cell r="E800" t="str">
            <v>David</v>
          </cell>
          <cell r="F800">
            <v>2018</v>
          </cell>
          <cell r="I800">
            <v>100</v>
          </cell>
          <cell r="J800">
            <v>59</v>
          </cell>
          <cell r="K800" t="str">
            <v>W</v>
          </cell>
        </row>
        <row r="801">
          <cell r="A801" t="str">
            <v>2018David6</v>
          </cell>
          <cell r="D801" t="str">
            <v>David</v>
          </cell>
          <cell r="E801" t="str">
            <v>Watty</v>
          </cell>
          <cell r="F801">
            <v>2018</v>
          </cell>
          <cell r="I801">
            <v>41</v>
          </cell>
          <cell r="J801">
            <v>-59</v>
          </cell>
          <cell r="K801" t="str">
            <v>L</v>
          </cell>
        </row>
        <row r="802">
          <cell r="A802" t="str">
            <v>2018Michael7</v>
          </cell>
          <cell r="D802" t="str">
            <v>Michael</v>
          </cell>
          <cell r="E802" t="str">
            <v>Watty</v>
          </cell>
          <cell r="F802">
            <v>2018</v>
          </cell>
          <cell r="I802">
            <v>100</v>
          </cell>
          <cell r="J802">
            <v>-6</v>
          </cell>
          <cell r="K802" t="str">
            <v>L</v>
          </cell>
        </row>
        <row r="803">
          <cell r="A803" t="str">
            <v>2018Watty7</v>
          </cell>
          <cell r="D803" t="str">
            <v>Watty</v>
          </cell>
          <cell r="E803" t="str">
            <v>Michael</v>
          </cell>
          <cell r="F803">
            <v>2018</v>
          </cell>
          <cell r="I803">
            <v>106</v>
          </cell>
          <cell r="J803">
            <v>6</v>
          </cell>
          <cell r="K803" t="str">
            <v>W</v>
          </cell>
        </row>
        <row r="804">
          <cell r="A804" t="str">
            <v>2018Emily7</v>
          </cell>
          <cell r="D804" t="str">
            <v>Emily</v>
          </cell>
          <cell r="E804" t="str">
            <v>Mark</v>
          </cell>
          <cell r="F804">
            <v>2018</v>
          </cell>
          <cell r="I804">
            <v>82</v>
          </cell>
          <cell r="J804">
            <v>-58</v>
          </cell>
          <cell r="K804" t="str">
            <v>L</v>
          </cell>
        </row>
        <row r="805">
          <cell r="A805" t="str">
            <v>2018Mark7</v>
          </cell>
          <cell r="D805" t="str">
            <v>Mark</v>
          </cell>
          <cell r="E805" t="str">
            <v>Emily</v>
          </cell>
          <cell r="F805">
            <v>2018</v>
          </cell>
          <cell r="I805">
            <v>140</v>
          </cell>
          <cell r="J805">
            <v>58</v>
          </cell>
          <cell r="K805" t="str">
            <v>W</v>
          </cell>
        </row>
        <row r="806">
          <cell r="A806" t="str">
            <v>2018Russell7</v>
          </cell>
          <cell r="D806" t="str">
            <v>Russell</v>
          </cell>
          <cell r="E806" t="str">
            <v>Charles</v>
          </cell>
          <cell r="F806">
            <v>2018</v>
          </cell>
          <cell r="I806">
            <v>69</v>
          </cell>
          <cell r="J806">
            <v>-8</v>
          </cell>
          <cell r="K806" t="str">
            <v>L</v>
          </cell>
        </row>
        <row r="807">
          <cell r="A807" t="str">
            <v>2018Charles7</v>
          </cell>
          <cell r="D807" t="str">
            <v>Charles</v>
          </cell>
          <cell r="E807" t="str">
            <v>Russell</v>
          </cell>
          <cell r="F807">
            <v>2018</v>
          </cell>
          <cell r="I807">
            <v>77</v>
          </cell>
          <cell r="J807">
            <v>8</v>
          </cell>
          <cell r="K807" t="str">
            <v>W</v>
          </cell>
        </row>
        <row r="808">
          <cell r="A808" t="str">
            <v>2018Matt7</v>
          </cell>
          <cell r="D808" t="str">
            <v>Matt</v>
          </cell>
          <cell r="E808" t="str">
            <v>Abby</v>
          </cell>
          <cell r="F808">
            <v>2018</v>
          </cell>
          <cell r="I808">
            <v>124</v>
          </cell>
          <cell r="J808">
            <v>42</v>
          </cell>
          <cell r="K808" t="str">
            <v>W</v>
          </cell>
        </row>
        <row r="809">
          <cell r="A809" t="str">
            <v>2018Abby7</v>
          </cell>
          <cell r="D809" t="str">
            <v>Abby</v>
          </cell>
          <cell r="E809" t="str">
            <v>Matt</v>
          </cell>
          <cell r="F809">
            <v>2018</v>
          </cell>
          <cell r="I809">
            <v>82</v>
          </cell>
          <cell r="J809">
            <v>-42</v>
          </cell>
          <cell r="K809" t="str">
            <v>L</v>
          </cell>
        </row>
        <row r="810">
          <cell r="A810" t="str">
            <v>2018Brent7</v>
          </cell>
          <cell r="D810" t="str">
            <v>Brent</v>
          </cell>
          <cell r="E810" t="str">
            <v>BR</v>
          </cell>
          <cell r="F810">
            <v>2018</v>
          </cell>
          <cell r="I810">
            <v>72</v>
          </cell>
          <cell r="J810">
            <v>1</v>
          </cell>
          <cell r="K810" t="str">
            <v>W</v>
          </cell>
        </row>
        <row r="811">
          <cell r="A811" t="str">
            <v>2018BR7</v>
          </cell>
          <cell r="D811" t="str">
            <v>BR</v>
          </cell>
          <cell r="E811" t="str">
            <v>Brent</v>
          </cell>
          <cell r="F811">
            <v>2018</v>
          </cell>
          <cell r="I811">
            <v>71</v>
          </cell>
          <cell r="J811">
            <v>-1</v>
          </cell>
          <cell r="K811" t="str">
            <v>L</v>
          </cell>
        </row>
        <row r="812">
          <cell r="A812" t="str">
            <v>2018David7</v>
          </cell>
          <cell r="D812" t="str">
            <v>David</v>
          </cell>
          <cell r="E812" t="str">
            <v>Brian</v>
          </cell>
          <cell r="F812">
            <v>2018</v>
          </cell>
          <cell r="I812">
            <v>64</v>
          </cell>
          <cell r="J812">
            <v>-15</v>
          </cell>
          <cell r="K812" t="str">
            <v>L</v>
          </cell>
        </row>
        <row r="813">
          <cell r="A813" t="str">
            <v>2018Brian7</v>
          </cell>
          <cell r="D813" t="str">
            <v>Brian</v>
          </cell>
          <cell r="E813" t="str">
            <v>David</v>
          </cell>
          <cell r="F813">
            <v>2018</v>
          </cell>
          <cell r="I813">
            <v>79</v>
          </cell>
          <cell r="J813">
            <v>15</v>
          </cell>
          <cell r="K813" t="str">
            <v>W</v>
          </cell>
        </row>
        <row r="814">
          <cell r="A814" t="str">
            <v>2018Brian8</v>
          </cell>
          <cell r="D814" t="str">
            <v>Brian</v>
          </cell>
          <cell r="E814" t="str">
            <v>Michael</v>
          </cell>
          <cell r="F814">
            <v>2018</v>
          </cell>
          <cell r="I814">
            <v>103</v>
          </cell>
          <cell r="J814">
            <v>-34</v>
          </cell>
          <cell r="K814" t="str">
            <v>L</v>
          </cell>
        </row>
        <row r="815">
          <cell r="A815" t="str">
            <v>2018Michael8</v>
          </cell>
          <cell r="D815" t="str">
            <v>Michael</v>
          </cell>
          <cell r="E815" t="str">
            <v>Brian</v>
          </cell>
          <cell r="F815">
            <v>2018</v>
          </cell>
          <cell r="I815">
            <v>137</v>
          </cell>
          <cell r="J815">
            <v>34</v>
          </cell>
          <cell r="K815" t="str">
            <v>W</v>
          </cell>
        </row>
        <row r="816">
          <cell r="A816" t="str">
            <v>2018Mark8</v>
          </cell>
          <cell r="D816" t="str">
            <v>Mark</v>
          </cell>
          <cell r="E816" t="str">
            <v>Brent</v>
          </cell>
          <cell r="F816">
            <v>2018</v>
          </cell>
          <cell r="I816">
            <v>95</v>
          </cell>
          <cell r="J816">
            <v>-30</v>
          </cell>
          <cell r="K816" t="str">
            <v>L</v>
          </cell>
        </row>
        <row r="817">
          <cell r="A817" t="str">
            <v>2018Brent8</v>
          </cell>
          <cell r="D817" t="str">
            <v>Brent</v>
          </cell>
          <cell r="E817" t="str">
            <v>Mark</v>
          </cell>
          <cell r="F817">
            <v>2018</v>
          </cell>
          <cell r="I817">
            <v>125</v>
          </cell>
          <cell r="J817">
            <v>30</v>
          </cell>
          <cell r="K817" t="str">
            <v>W</v>
          </cell>
        </row>
        <row r="818">
          <cell r="A818" t="str">
            <v>2018Charles8</v>
          </cell>
          <cell r="D818" t="str">
            <v>Charles</v>
          </cell>
          <cell r="E818" t="str">
            <v>David</v>
          </cell>
          <cell r="F818">
            <v>2018</v>
          </cell>
          <cell r="I818">
            <v>82</v>
          </cell>
          <cell r="J818">
            <v>-25</v>
          </cell>
          <cell r="K818" t="str">
            <v>L</v>
          </cell>
        </row>
        <row r="819">
          <cell r="A819" t="str">
            <v>2018David8</v>
          </cell>
          <cell r="D819" t="str">
            <v>David</v>
          </cell>
          <cell r="E819" t="str">
            <v>Charles</v>
          </cell>
          <cell r="F819">
            <v>2018</v>
          </cell>
          <cell r="I819">
            <v>107</v>
          </cell>
          <cell r="J819">
            <v>25</v>
          </cell>
          <cell r="K819" t="str">
            <v>W</v>
          </cell>
        </row>
        <row r="820">
          <cell r="A820" t="str">
            <v>2018Abby8</v>
          </cell>
          <cell r="D820" t="str">
            <v>Abby</v>
          </cell>
          <cell r="E820" t="str">
            <v>Emily</v>
          </cell>
          <cell r="F820">
            <v>2018</v>
          </cell>
          <cell r="I820">
            <v>64</v>
          </cell>
          <cell r="J820">
            <v>-39</v>
          </cell>
          <cell r="K820" t="str">
            <v>L</v>
          </cell>
        </row>
        <row r="821">
          <cell r="A821" t="str">
            <v>2018Emily8</v>
          </cell>
          <cell r="D821" t="str">
            <v>Emily</v>
          </cell>
          <cell r="E821" t="str">
            <v>Abby</v>
          </cell>
          <cell r="F821">
            <v>2018</v>
          </cell>
          <cell r="I821">
            <v>103</v>
          </cell>
          <cell r="J821">
            <v>39</v>
          </cell>
          <cell r="K821" t="str">
            <v>W</v>
          </cell>
        </row>
        <row r="822">
          <cell r="A822" t="str">
            <v>2018BR8</v>
          </cell>
          <cell r="D822" t="str">
            <v>BR</v>
          </cell>
          <cell r="E822" t="str">
            <v>Russell</v>
          </cell>
          <cell r="F822">
            <v>2018</v>
          </cell>
          <cell r="I822">
            <v>91</v>
          </cell>
          <cell r="J822">
            <v>25</v>
          </cell>
          <cell r="K822" t="str">
            <v>W</v>
          </cell>
        </row>
        <row r="823">
          <cell r="A823" t="str">
            <v>2018Russell8</v>
          </cell>
          <cell r="D823" t="str">
            <v>Russell</v>
          </cell>
          <cell r="E823" t="str">
            <v>BR</v>
          </cell>
          <cell r="F823">
            <v>2018</v>
          </cell>
          <cell r="I823">
            <v>66</v>
          </cell>
          <cell r="J823">
            <v>-25</v>
          </cell>
          <cell r="K823" t="str">
            <v>L</v>
          </cell>
        </row>
        <row r="824">
          <cell r="A824" t="str">
            <v>2018Watty8</v>
          </cell>
          <cell r="D824" t="str">
            <v>Watty</v>
          </cell>
          <cell r="E824" t="str">
            <v>Matt</v>
          </cell>
          <cell r="F824">
            <v>2018</v>
          </cell>
          <cell r="I824">
            <v>62</v>
          </cell>
          <cell r="J824">
            <v>-11</v>
          </cell>
          <cell r="K824" t="str">
            <v>L</v>
          </cell>
        </row>
        <row r="825">
          <cell r="A825" t="str">
            <v>2018Matt8</v>
          </cell>
          <cell r="D825" t="str">
            <v>Matt</v>
          </cell>
          <cell r="E825" t="str">
            <v>Watty</v>
          </cell>
          <cell r="F825">
            <v>2018</v>
          </cell>
          <cell r="I825">
            <v>73</v>
          </cell>
          <cell r="J825">
            <v>11</v>
          </cell>
          <cell r="K825" t="str">
            <v>W</v>
          </cell>
        </row>
        <row r="826">
          <cell r="A826" t="str">
            <v>2018Michael9</v>
          </cell>
          <cell r="D826" t="str">
            <v>Michael</v>
          </cell>
          <cell r="E826" t="str">
            <v>Charles</v>
          </cell>
          <cell r="F826">
            <v>2018</v>
          </cell>
          <cell r="I826">
            <v>136</v>
          </cell>
          <cell r="J826">
            <v>39</v>
          </cell>
          <cell r="K826" t="str">
            <v>W</v>
          </cell>
        </row>
        <row r="827">
          <cell r="A827" t="str">
            <v>2018Charles9</v>
          </cell>
          <cell r="D827" t="str">
            <v>Charles</v>
          </cell>
          <cell r="E827" t="str">
            <v>Michael</v>
          </cell>
          <cell r="F827">
            <v>2018</v>
          </cell>
          <cell r="I827">
            <v>97</v>
          </cell>
          <cell r="J827">
            <v>-39</v>
          </cell>
          <cell r="K827" t="str">
            <v>L</v>
          </cell>
        </row>
        <row r="828">
          <cell r="A828" t="str">
            <v>2018Russell9</v>
          </cell>
          <cell r="D828" t="str">
            <v>Russell</v>
          </cell>
          <cell r="E828" t="str">
            <v>Mark</v>
          </cell>
          <cell r="F828">
            <v>2018</v>
          </cell>
          <cell r="I828">
            <v>64</v>
          </cell>
          <cell r="J828">
            <v>-12</v>
          </cell>
          <cell r="K828" t="str">
            <v>L</v>
          </cell>
        </row>
        <row r="829">
          <cell r="A829" t="str">
            <v>2018Mark9</v>
          </cell>
          <cell r="D829" t="str">
            <v>Mark</v>
          </cell>
          <cell r="E829" t="str">
            <v>Russell</v>
          </cell>
          <cell r="F829">
            <v>2018</v>
          </cell>
          <cell r="I829">
            <v>76</v>
          </cell>
          <cell r="J829">
            <v>12</v>
          </cell>
          <cell r="K829" t="str">
            <v>W</v>
          </cell>
        </row>
        <row r="830">
          <cell r="A830" t="str">
            <v>2018Matt9</v>
          </cell>
          <cell r="D830" t="str">
            <v>Matt</v>
          </cell>
          <cell r="E830" t="str">
            <v>Brian</v>
          </cell>
          <cell r="F830">
            <v>2018</v>
          </cell>
          <cell r="I830">
            <v>112</v>
          </cell>
          <cell r="J830">
            <v>30</v>
          </cell>
          <cell r="K830" t="str">
            <v>W</v>
          </cell>
        </row>
        <row r="831">
          <cell r="A831" t="str">
            <v>2018Brian9</v>
          </cell>
          <cell r="D831" t="str">
            <v>Brian</v>
          </cell>
          <cell r="E831" t="str">
            <v>Matt</v>
          </cell>
          <cell r="F831">
            <v>2018</v>
          </cell>
          <cell r="I831">
            <v>82</v>
          </cell>
          <cell r="J831">
            <v>-30</v>
          </cell>
          <cell r="K831" t="str">
            <v>L</v>
          </cell>
        </row>
        <row r="832">
          <cell r="A832" t="str">
            <v>2018Brent9</v>
          </cell>
          <cell r="D832" t="str">
            <v>Brent</v>
          </cell>
          <cell r="E832" t="str">
            <v>Abby</v>
          </cell>
          <cell r="F832">
            <v>2018</v>
          </cell>
          <cell r="I832">
            <v>88</v>
          </cell>
          <cell r="J832">
            <v>41</v>
          </cell>
          <cell r="K832" t="str">
            <v>W</v>
          </cell>
        </row>
        <row r="833">
          <cell r="A833" t="str">
            <v>2018Abby9</v>
          </cell>
          <cell r="D833" t="str">
            <v>Abby</v>
          </cell>
          <cell r="E833" t="str">
            <v>Brent</v>
          </cell>
          <cell r="F833">
            <v>2018</v>
          </cell>
          <cell r="I833">
            <v>47</v>
          </cell>
          <cell r="J833">
            <v>-41</v>
          </cell>
          <cell r="K833" t="str">
            <v>L</v>
          </cell>
        </row>
        <row r="834">
          <cell r="A834" t="str">
            <v>2018David9</v>
          </cell>
          <cell r="D834" t="str">
            <v>David</v>
          </cell>
          <cell r="E834" t="str">
            <v>BR</v>
          </cell>
          <cell r="F834">
            <v>2018</v>
          </cell>
          <cell r="I834">
            <v>87</v>
          </cell>
          <cell r="J834">
            <v>-8</v>
          </cell>
          <cell r="K834" t="str">
            <v>L</v>
          </cell>
        </row>
        <row r="835">
          <cell r="A835" t="str">
            <v>2018BR9</v>
          </cell>
          <cell r="D835" t="str">
            <v>BR</v>
          </cell>
          <cell r="E835" t="str">
            <v>David</v>
          </cell>
          <cell r="F835">
            <v>2018</v>
          </cell>
          <cell r="I835">
            <v>95</v>
          </cell>
          <cell r="J835">
            <v>8</v>
          </cell>
          <cell r="K835" t="str">
            <v>W</v>
          </cell>
        </row>
        <row r="836">
          <cell r="A836" t="str">
            <v>2018Emily9</v>
          </cell>
          <cell r="D836" t="str">
            <v>Emily</v>
          </cell>
          <cell r="E836" t="str">
            <v>Watty</v>
          </cell>
          <cell r="F836">
            <v>2018</v>
          </cell>
          <cell r="I836">
            <v>117</v>
          </cell>
          <cell r="J836">
            <v>20</v>
          </cell>
          <cell r="K836" t="str">
            <v>W</v>
          </cell>
        </row>
        <row r="837">
          <cell r="A837" t="str">
            <v>2018Watty9</v>
          </cell>
          <cell r="D837" t="str">
            <v>Watty</v>
          </cell>
          <cell r="E837" t="str">
            <v>Emily</v>
          </cell>
          <cell r="F837">
            <v>2018</v>
          </cell>
          <cell r="I837">
            <v>97</v>
          </cell>
          <cell r="J837">
            <v>-20</v>
          </cell>
          <cell r="K837" t="str">
            <v>L</v>
          </cell>
        </row>
        <row r="838">
          <cell r="A838" t="str">
            <v>2018BR10</v>
          </cell>
          <cell r="D838" t="str">
            <v>BR</v>
          </cell>
          <cell r="E838" t="str">
            <v>Michael</v>
          </cell>
          <cell r="F838">
            <v>2018</v>
          </cell>
          <cell r="I838">
            <v>102</v>
          </cell>
          <cell r="J838">
            <v>28</v>
          </cell>
          <cell r="K838" t="str">
            <v>W</v>
          </cell>
        </row>
        <row r="839">
          <cell r="A839" t="str">
            <v>2018Michael10</v>
          </cell>
          <cell r="D839" t="str">
            <v>Michael</v>
          </cell>
          <cell r="E839" t="str">
            <v>BR</v>
          </cell>
          <cell r="F839">
            <v>2018</v>
          </cell>
          <cell r="I839">
            <v>74</v>
          </cell>
          <cell r="J839">
            <v>-28</v>
          </cell>
          <cell r="K839" t="str">
            <v>L</v>
          </cell>
        </row>
        <row r="840">
          <cell r="A840" t="str">
            <v>2018Mark10</v>
          </cell>
          <cell r="D840" t="str">
            <v>Mark</v>
          </cell>
          <cell r="E840" t="str">
            <v>David</v>
          </cell>
          <cell r="F840">
            <v>2018</v>
          </cell>
          <cell r="I840">
            <v>124</v>
          </cell>
          <cell r="J840">
            <v>13</v>
          </cell>
          <cell r="K840" t="str">
            <v>W</v>
          </cell>
        </row>
        <row r="841">
          <cell r="A841" t="str">
            <v>2018David10</v>
          </cell>
          <cell r="D841" t="str">
            <v>David</v>
          </cell>
          <cell r="E841" t="str">
            <v>Mark</v>
          </cell>
          <cell r="F841">
            <v>2018</v>
          </cell>
          <cell r="I841">
            <v>111</v>
          </cell>
          <cell r="J841">
            <v>-13</v>
          </cell>
          <cell r="K841" t="str">
            <v>L</v>
          </cell>
        </row>
        <row r="842">
          <cell r="A842" t="str">
            <v>2018Brian10</v>
          </cell>
          <cell r="D842" t="str">
            <v>Brian</v>
          </cell>
          <cell r="E842" t="str">
            <v>Emily</v>
          </cell>
          <cell r="F842">
            <v>2018</v>
          </cell>
          <cell r="I842">
            <v>70</v>
          </cell>
          <cell r="J842">
            <v>-17</v>
          </cell>
          <cell r="K842" t="str">
            <v>L</v>
          </cell>
        </row>
        <row r="843">
          <cell r="A843" t="str">
            <v>2018Emily10</v>
          </cell>
          <cell r="D843" t="str">
            <v>Emily</v>
          </cell>
          <cell r="E843" t="str">
            <v>Brian</v>
          </cell>
          <cell r="F843">
            <v>2018</v>
          </cell>
          <cell r="I843">
            <v>87</v>
          </cell>
          <cell r="J843">
            <v>17</v>
          </cell>
          <cell r="K843" t="str">
            <v>W</v>
          </cell>
        </row>
        <row r="844">
          <cell r="A844" t="str">
            <v>2018Abby10</v>
          </cell>
          <cell r="D844" t="str">
            <v>Abby</v>
          </cell>
          <cell r="E844" t="str">
            <v>Russell</v>
          </cell>
          <cell r="F844">
            <v>2018</v>
          </cell>
          <cell r="I844">
            <v>63</v>
          </cell>
          <cell r="J844">
            <v>-58</v>
          </cell>
          <cell r="K844" t="str">
            <v>L</v>
          </cell>
        </row>
        <row r="845">
          <cell r="A845" t="str">
            <v>2018Russell10</v>
          </cell>
          <cell r="D845" t="str">
            <v>Russell</v>
          </cell>
          <cell r="E845" t="str">
            <v>Abby</v>
          </cell>
          <cell r="F845">
            <v>2018</v>
          </cell>
          <cell r="I845">
            <v>121</v>
          </cell>
          <cell r="J845">
            <v>58</v>
          </cell>
          <cell r="K845" t="str">
            <v>W</v>
          </cell>
        </row>
        <row r="846">
          <cell r="A846" t="str">
            <v>2018Charles10</v>
          </cell>
          <cell r="D846" t="str">
            <v>Charles</v>
          </cell>
          <cell r="E846" t="str">
            <v>Matt</v>
          </cell>
          <cell r="F846">
            <v>2018</v>
          </cell>
          <cell r="I846">
            <v>113</v>
          </cell>
          <cell r="J846">
            <v>25</v>
          </cell>
          <cell r="K846" t="str">
            <v>W</v>
          </cell>
        </row>
        <row r="847">
          <cell r="A847" t="str">
            <v>2018Matt10</v>
          </cell>
          <cell r="D847" t="str">
            <v>Matt</v>
          </cell>
          <cell r="E847" t="str">
            <v>Charles</v>
          </cell>
          <cell r="F847">
            <v>2018</v>
          </cell>
          <cell r="I847">
            <v>88</v>
          </cell>
          <cell r="J847">
            <v>-25</v>
          </cell>
          <cell r="K847" t="str">
            <v>L</v>
          </cell>
        </row>
        <row r="848">
          <cell r="A848" t="str">
            <v>2018Watty10</v>
          </cell>
          <cell r="D848" t="str">
            <v>Watty</v>
          </cell>
          <cell r="E848" t="str">
            <v>Brent</v>
          </cell>
          <cell r="F848">
            <v>2018</v>
          </cell>
          <cell r="I848">
            <v>96</v>
          </cell>
          <cell r="J848">
            <v>-17</v>
          </cell>
          <cell r="K848" t="str">
            <v>L</v>
          </cell>
        </row>
        <row r="849">
          <cell r="A849" t="str">
            <v>2018Brent10</v>
          </cell>
          <cell r="D849" t="str">
            <v>Brent</v>
          </cell>
          <cell r="E849" t="str">
            <v>Watty</v>
          </cell>
          <cell r="F849">
            <v>2018</v>
          </cell>
          <cell r="I849">
            <v>113</v>
          </cell>
          <cell r="J849">
            <v>17</v>
          </cell>
          <cell r="K849" t="str">
            <v>W</v>
          </cell>
        </row>
        <row r="850">
          <cell r="A850" t="str">
            <v>2018Michael11</v>
          </cell>
          <cell r="D850" t="str">
            <v>Michael</v>
          </cell>
          <cell r="E850" t="str">
            <v>Mark</v>
          </cell>
          <cell r="F850">
            <v>2018</v>
          </cell>
          <cell r="I850">
            <v>97</v>
          </cell>
          <cell r="J850">
            <v>23</v>
          </cell>
          <cell r="K850" t="str">
            <v>W</v>
          </cell>
        </row>
        <row r="851">
          <cell r="A851" t="str">
            <v>2018Mark11</v>
          </cell>
          <cell r="D851" t="str">
            <v>Mark</v>
          </cell>
          <cell r="E851" t="str">
            <v>Michael</v>
          </cell>
          <cell r="F851">
            <v>2018</v>
          </cell>
          <cell r="I851">
            <v>74</v>
          </cell>
          <cell r="J851">
            <v>-23</v>
          </cell>
          <cell r="K851" t="str">
            <v>L</v>
          </cell>
        </row>
        <row r="852">
          <cell r="A852" t="str">
            <v>2018Matt11</v>
          </cell>
          <cell r="D852" t="str">
            <v>Matt</v>
          </cell>
          <cell r="E852" t="str">
            <v>BR</v>
          </cell>
          <cell r="F852">
            <v>2018</v>
          </cell>
          <cell r="I852">
            <v>105</v>
          </cell>
          <cell r="J852">
            <v>26</v>
          </cell>
          <cell r="K852" t="str">
            <v>W</v>
          </cell>
        </row>
        <row r="853">
          <cell r="A853" t="str">
            <v>2018BR11</v>
          </cell>
          <cell r="D853" t="str">
            <v>BR</v>
          </cell>
          <cell r="E853" t="str">
            <v>Matt</v>
          </cell>
          <cell r="F853">
            <v>2018</v>
          </cell>
          <cell r="I853">
            <v>79</v>
          </cell>
          <cell r="J853">
            <v>-26</v>
          </cell>
          <cell r="K853" t="str">
            <v>L</v>
          </cell>
        </row>
        <row r="854">
          <cell r="A854" t="str">
            <v>2018Brent11</v>
          </cell>
          <cell r="D854" t="str">
            <v>Brent</v>
          </cell>
          <cell r="E854" t="str">
            <v>Brian</v>
          </cell>
          <cell r="F854">
            <v>2018</v>
          </cell>
          <cell r="I854">
            <v>122</v>
          </cell>
          <cell r="J854">
            <v>-10</v>
          </cell>
          <cell r="K854" t="str">
            <v>L</v>
          </cell>
        </row>
        <row r="855">
          <cell r="A855" t="str">
            <v>2018Brian11</v>
          </cell>
          <cell r="D855" t="str">
            <v>Brian</v>
          </cell>
          <cell r="E855" t="str">
            <v>Brent</v>
          </cell>
          <cell r="F855">
            <v>2018</v>
          </cell>
          <cell r="I855">
            <v>132</v>
          </cell>
          <cell r="J855">
            <v>10</v>
          </cell>
          <cell r="K855" t="str">
            <v>W</v>
          </cell>
        </row>
        <row r="856">
          <cell r="A856" t="str">
            <v>2018David11</v>
          </cell>
          <cell r="D856" t="str">
            <v>David</v>
          </cell>
          <cell r="E856" t="str">
            <v>Abby</v>
          </cell>
          <cell r="F856">
            <v>2018</v>
          </cell>
          <cell r="I856">
            <v>86</v>
          </cell>
          <cell r="J856">
            <v>-2</v>
          </cell>
          <cell r="K856" t="str">
            <v>L</v>
          </cell>
        </row>
        <row r="857">
          <cell r="A857" t="str">
            <v>2018Abby11</v>
          </cell>
          <cell r="D857" t="str">
            <v>Abby</v>
          </cell>
          <cell r="E857" t="str">
            <v>David</v>
          </cell>
          <cell r="F857">
            <v>2018</v>
          </cell>
          <cell r="I857">
            <v>88</v>
          </cell>
          <cell r="J857">
            <v>2</v>
          </cell>
          <cell r="K857" t="str">
            <v>W</v>
          </cell>
        </row>
        <row r="858">
          <cell r="A858" t="str">
            <v>2018Emily11</v>
          </cell>
          <cell r="D858" t="str">
            <v>Emily</v>
          </cell>
          <cell r="E858" t="str">
            <v>Charles</v>
          </cell>
          <cell r="F858">
            <v>2018</v>
          </cell>
          <cell r="I858">
            <v>95</v>
          </cell>
          <cell r="J858">
            <v>7</v>
          </cell>
          <cell r="K858" t="str">
            <v>W</v>
          </cell>
        </row>
        <row r="859">
          <cell r="A859" t="str">
            <v>2018Charles11</v>
          </cell>
          <cell r="D859" t="str">
            <v>Charles</v>
          </cell>
          <cell r="E859" t="str">
            <v>Emily</v>
          </cell>
          <cell r="F859">
            <v>2018</v>
          </cell>
          <cell r="I859">
            <v>88</v>
          </cell>
          <cell r="J859">
            <v>-7</v>
          </cell>
          <cell r="K859" t="str">
            <v>L</v>
          </cell>
        </row>
        <row r="860">
          <cell r="A860" t="str">
            <v>2018Russell11</v>
          </cell>
          <cell r="D860" t="str">
            <v>Russell</v>
          </cell>
          <cell r="E860" t="str">
            <v>Watty</v>
          </cell>
          <cell r="F860">
            <v>2018</v>
          </cell>
          <cell r="I860">
            <v>99</v>
          </cell>
          <cell r="J860">
            <v>16</v>
          </cell>
          <cell r="K860" t="str">
            <v>W</v>
          </cell>
        </row>
        <row r="861">
          <cell r="A861" t="str">
            <v>2018Watty11</v>
          </cell>
          <cell r="D861" t="str">
            <v>Watty</v>
          </cell>
          <cell r="E861" t="str">
            <v>Russell</v>
          </cell>
          <cell r="F861">
            <v>2018</v>
          </cell>
          <cell r="I861">
            <v>83</v>
          </cell>
          <cell r="J861">
            <v>-16</v>
          </cell>
          <cell r="K861" t="str">
            <v>L</v>
          </cell>
        </row>
        <row r="862">
          <cell r="A862" t="str">
            <v>2018Charles12</v>
          </cell>
          <cell r="D862" t="str">
            <v>Charles</v>
          </cell>
          <cell r="E862" t="str">
            <v>Michael</v>
          </cell>
          <cell r="F862">
            <v>2018</v>
          </cell>
          <cell r="I862">
            <v>85</v>
          </cell>
          <cell r="J862">
            <v>28</v>
          </cell>
          <cell r="K862" t="str">
            <v>W</v>
          </cell>
        </row>
        <row r="863">
          <cell r="A863" t="str">
            <v>2018Michael12</v>
          </cell>
          <cell r="D863" t="str">
            <v>Michael</v>
          </cell>
          <cell r="E863" t="str">
            <v>Charles</v>
          </cell>
          <cell r="F863">
            <v>2018</v>
          </cell>
          <cell r="I863">
            <v>57</v>
          </cell>
          <cell r="J863">
            <v>-28</v>
          </cell>
          <cell r="K863" t="str">
            <v>L</v>
          </cell>
        </row>
        <row r="864">
          <cell r="A864" t="str">
            <v>2018Russell12</v>
          </cell>
          <cell r="D864" t="str">
            <v>Russell</v>
          </cell>
          <cell r="E864" t="str">
            <v>David</v>
          </cell>
          <cell r="F864">
            <v>2018</v>
          </cell>
          <cell r="I864">
            <v>129</v>
          </cell>
          <cell r="J864">
            <v>9</v>
          </cell>
          <cell r="K864" t="str">
            <v>W</v>
          </cell>
        </row>
        <row r="865">
          <cell r="A865" t="str">
            <v>2018David12</v>
          </cell>
          <cell r="D865" t="str">
            <v>David</v>
          </cell>
          <cell r="E865" t="str">
            <v>Russell</v>
          </cell>
          <cell r="F865">
            <v>2018</v>
          </cell>
          <cell r="I865">
            <v>120</v>
          </cell>
          <cell r="J865">
            <v>-9</v>
          </cell>
          <cell r="K865" t="str">
            <v>L</v>
          </cell>
        </row>
        <row r="866">
          <cell r="A866" t="str">
            <v>2018Mark12</v>
          </cell>
          <cell r="D866" t="str">
            <v>Mark</v>
          </cell>
          <cell r="E866" t="str">
            <v>Brian</v>
          </cell>
          <cell r="F866">
            <v>2018</v>
          </cell>
          <cell r="I866">
            <v>82</v>
          </cell>
          <cell r="J866">
            <v>-30</v>
          </cell>
          <cell r="K866" t="str">
            <v>L</v>
          </cell>
        </row>
        <row r="867">
          <cell r="A867" t="str">
            <v>2018Brian12</v>
          </cell>
          <cell r="D867" t="str">
            <v>Brian</v>
          </cell>
          <cell r="E867" t="str">
            <v>Mark</v>
          </cell>
          <cell r="F867">
            <v>2018</v>
          </cell>
          <cell r="I867">
            <v>112</v>
          </cell>
          <cell r="J867">
            <v>30</v>
          </cell>
          <cell r="K867" t="str">
            <v>W</v>
          </cell>
        </row>
        <row r="868">
          <cell r="A868" t="str">
            <v>2018BR12</v>
          </cell>
          <cell r="D868" t="str">
            <v>BR</v>
          </cell>
          <cell r="E868" t="str">
            <v>Watty</v>
          </cell>
          <cell r="F868">
            <v>2018</v>
          </cell>
          <cell r="I868">
            <v>98</v>
          </cell>
          <cell r="J868">
            <v>-40</v>
          </cell>
          <cell r="K868" t="str">
            <v>L</v>
          </cell>
        </row>
        <row r="869">
          <cell r="A869" t="str">
            <v>2018Watty12</v>
          </cell>
          <cell r="D869" t="str">
            <v>Watty</v>
          </cell>
          <cell r="E869" t="str">
            <v>BR</v>
          </cell>
          <cell r="F869">
            <v>2018</v>
          </cell>
          <cell r="I869">
            <v>138</v>
          </cell>
          <cell r="J869">
            <v>40</v>
          </cell>
          <cell r="K869" t="str">
            <v>W</v>
          </cell>
        </row>
        <row r="870">
          <cell r="A870" t="str">
            <v>2018Brent12</v>
          </cell>
          <cell r="D870" t="str">
            <v>Brent</v>
          </cell>
          <cell r="E870" t="str">
            <v>Matt</v>
          </cell>
          <cell r="F870">
            <v>2018</v>
          </cell>
          <cell r="I870">
            <v>110</v>
          </cell>
          <cell r="J870">
            <v>32</v>
          </cell>
          <cell r="K870" t="str">
            <v>W</v>
          </cell>
        </row>
        <row r="871">
          <cell r="A871" t="str">
            <v>2018Matt12</v>
          </cell>
          <cell r="D871" t="str">
            <v>Matt</v>
          </cell>
          <cell r="E871" t="str">
            <v>Brent</v>
          </cell>
          <cell r="F871">
            <v>2018</v>
          </cell>
          <cell r="I871">
            <v>78</v>
          </cell>
          <cell r="J871">
            <v>-32</v>
          </cell>
          <cell r="K871" t="str">
            <v>L</v>
          </cell>
        </row>
        <row r="872">
          <cell r="A872" t="str">
            <v>2018Emily12</v>
          </cell>
          <cell r="D872" t="str">
            <v>Emily</v>
          </cell>
          <cell r="E872" t="str">
            <v>Abby</v>
          </cell>
          <cell r="F872">
            <v>2018</v>
          </cell>
          <cell r="I872">
            <v>73</v>
          </cell>
          <cell r="J872">
            <v>10</v>
          </cell>
          <cell r="K872" t="str">
            <v>W</v>
          </cell>
        </row>
        <row r="873">
          <cell r="A873" t="str">
            <v>2018Abby12</v>
          </cell>
          <cell r="D873" t="str">
            <v>Abby</v>
          </cell>
          <cell r="E873" t="str">
            <v>Emily</v>
          </cell>
          <cell r="F873">
            <v>2018</v>
          </cell>
          <cell r="I873">
            <v>63</v>
          </cell>
          <cell r="J873">
            <v>-10</v>
          </cell>
          <cell r="K873" t="str">
            <v>L</v>
          </cell>
        </row>
        <row r="874">
          <cell r="A874" t="str">
            <v>2018Watty13</v>
          </cell>
          <cell r="D874" t="str">
            <v>Watty</v>
          </cell>
          <cell r="E874" t="str">
            <v>Michael</v>
          </cell>
          <cell r="F874">
            <v>2018</v>
          </cell>
          <cell r="I874">
            <v>68</v>
          </cell>
          <cell r="J874">
            <v>-14</v>
          </cell>
          <cell r="K874" t="str">
            <v>L</v>
          </cell>
        </row>
        <row r="875">
          <cell r="A875" t="str">
            <v>2018Michael13</v>
          </cell>
          <cell r="D875" t="str">
            <v>Michael</v>
          </cell>
          <cell r="E875" t="str">
            <v>Watty</v>
          </cell>
          <cell r="F875">
            <v>2018</v>
          </cell>
          <cell r="I875">
            <v>82</v>
          </cell>
          <cell r="J875">
            <v>14</v>
          </cell>
          <cell r="K875" t="str">
            <v>W</v>
          </cell>
        </row>
        <row r="876">
          <cell r="A876" t="str">
            <v>2018Matt13</v>
          </cell>
          <cell r="D876" t="str">
            <v>Matt</v>
          </cell>
          <cell r="E876" t="str">
            <v>Abby</v>
          </cell>
          <cell r="F876">
            <v>2018</v>
          </cell>
          <cell r="I876">
            <v>71</v>
          </cell>
          <cell r="J876">
            <v>12</v>
          </cell>
          <cell r="K876" t="str">
            <v>W</v>
          </cell>
        </row>
        <row r="877">
          <cell r="A877" t="str">
            <v>2018Abby13</v>
          </cell>
          <cell r="D877" t="str">
            <v>Abby</v>
          </cell>
          <cell r="E877" t="str">
            <v>Matt</v>
          </cell>
          <cell r="F877">
            <v>2018</v>
          </cell>
          <cell r="I877">
            <v>59</v>
          </cell>
          <cell r="J877">
            <v>-12</v>
          </cell>
          <cell r="K877" t="str">
            <v>L</v>
          </cell>
        </row>
        <row r="878">
          <cell r="A878" t="str">
            <v>2018Emily13</v>
          </cell>
          <cell r="D878" t="str">
            <v>Emily</v>
          </cell>
          <cell r="E878" t="str">
            <v>Russell</v>
          </cell>
          <cell r="F878">
            <v>2018</v>
          </cell>
          <cell r="I878">
            <v>80</v>
          </cell>
          <cell r="J878">
            <v>-30</v>
          </cell>
          <cell r="K878" t="str">
            <v>L</v>
          </cell>
        </row>
        <row r="879">
          <cell r="A879" t="str">
            <v>2018Russell13</v>
          </cell>
          <cell r="D879" t="str">
            <v>Russell</v>
          </cell>
          <cell r="E879" t="str">
            <v>Emily</v>
          </cell>
          <cell r="F879">
            <v>2018</v>
          </cell>
          <cell r="I879">
            <v>110</v>
          </cell>
          <cell r="J879">
            <v>30</v>
          </cell>
          <cell r="K879" t="str">
            <v>W</v>
          </cell>
        </row>
        <row r="880">
          <cell r="A880" t="str">
            <v>2018Charles13</v>
          </cell>
          <cell r="D880" t="str">
            <v>Charles</v>
          </cell>
          <cell r="E880" t="str">
            <v>BR</v>
          </cell>
          <cell r="F880">
            <v>2018</v>
          </cell>
          <cell r="I880">
            <v>76</v>
          </cell>
          <cell r="J880">
            <v>-31</v>
          </cell>
          <cell r="K880" t="str">
            <v>L</v>
          </cell>
        </row>
        <row r="881">
          <cell r="A881" t="str">
            <v>2018BR13</v>
          </cell>
          <cell r="D881" t="str">
            <v>BR</v>
          </cell>
          <cell r="E881" t="str">
            <v>Charles</v>
          </cell>
          <cell r="F881">
            <v>2018</v>
          </cell>
          <cell r="I881">
            <v>107</v>
          </cell>
          <cell r="J881">
            <v>31</v>
          </cell>
          <cell r="K881" t="str">
            <v>W</v>
          </cell>
        </row>
        <row r="882">
          <cell r="A882" t="str">
            <v>2018Mark13</v>
          </cell>
          <cell r="D882" t="str">
            <v>Mark</v>
          </cell>
          <cell r="E882" t="str">
            <v>Brent</v>
          </cell>
          <cell r="F882">
            <v>2018</v>
          </cell>
          <cell r="I882">
            <v>82</v>
          </cell>
          <cell r="J882">
            <v>9</v>
          </cell>
          <cell r="K882" t="str">
            <v>W</v>
          </cell>
        </row>
        <row r="883">
          <cell r="A883" t="str">
            <v>2018Brent13</v>
          </cell>
          <cell r="D883" t="str">
            <v>Brent</v>
          </cell>
          <cell r="E883" t="str">
            <v>Mark</v>
          </cell>
          <cell r="F883">
            <v>2018</v>
          </cell>
          <cell r="I883">
            <v>73</v>
          </cell>
          <cell r="J883">
            <v>-9</v>
          </cell>
          <cell r="K883" t="str">
            <v>L</v>
          </cell>
        </row>
        <row r="884">
          <cell r="A884" t="str">
            <v>2018Brian13</v>
          </cell>
          <cell r="D884" t="str">
            <v>Brian</v>
          </cell>
          <cell r="E884" t="str">
            <v>David</v>
          </cell>
          <cell r="F884">
            <v>2018</v>
          </cell>
          <cell r="I884">
            <v>75</v>
          </cell>
          <cell r="J884">
            <v>-10</v>
          </cell>
          <cell r="K884" t="str">
            <v>L</v>
          </cell>
        </row>
        <row r="885">
          <cell r="A885" t="str">
            <v>2018David13</v>
          </cell>
          <cell r="D885" t="str">
            <v>David</v>
          </cell>
          <cell r="E885" t="str">
            <v>Brian</v>
          </cell>
          <cell r="F885">
            <v>2018</v>
          </cell>
          <cell r="I885">
            <v>85</v>
          </cell>
          <cell r="J885">
            <v>10</v>
          </cell>
          <cell r="K885" t="str">
            <v>W</v>
          </cell>
        </row>
        <row r="886">
          <cell r="A886" t="str">
            <v>2019Michael1</v>
          </cell>
          <cell r="D886" t="str">
            <v>Michael</v>
          </cell>
          <cell r="E886" t="str">
            <v>Matt</v>
          </cell>
          <cell r="F886">
            <v>2019</v>
          </cell>
          <cell r="I886">
            <v>119</v>
          </cell>
          <cell r="J886">
            <v>11</v>
          </cell>
          <cell r="K886" t="str">
            <v>W</v>
          </cell>
        </row>
        <row r="887">
          <cell r="A887" t="str">
            <v>2019Matt1</v>
          </cell>
          <cell r="D887" t="str">
            <v>Matt</v>
          </cell>
          <cell r="E887" t="str">
            <v>Michael</v>
          </cell>
          <cell r="F887">
            <v>2019</v>
          </cell>
          <cell r="I887">
            <v>108</v>
          </cell>
          <cell r="J887">
            <v>-11</v>
          </cell>
          <cell r="K887" t="str">
            <v>L</v>
          </cell>
        </row>
        <row r="888">
          <cell r="A888" t="str">
            <v>2019Brent1</v>
          </cell>
          <cell r="D888" t="str">
            <v>Brent</v>
          </cell>
          <cell r="E888" t="str">
            <v>Russell</v>
          </cell>
          <cell r="F888">
            <v>2019</v>
          </cell>
          <cell r="I888">
            <v>108</v>
          </cell>
          <cell r="J888">
            <v>30</v>
          </cell>
          <cell r="K888" t="str">
            <v>W</v>
          </cell>
        </row>
        <row r="889">
          <cell r="A889" t="str">
            <v>2019Russell1</v>
          </cell>
          <cell r="D889" t="str">
            <v>Russell</v>
          </cell>
          <cell r="E889" t="str">
            <v>Brent</v>
          </cell>
          <cell r="F889">
            <v>2019</v>
          </cell>
          <cell r="I889">
            <v>78</v>
          </cell>
          <cell r="J889">
            <v>-30</v>
          </cell>
          <cell r="K889" t="str">
            <v>L</v>
          </cell>
        </row>
        <row r="890">
          <cell r="A890" t="str">
            <v>2019BR1</v>
          </cell>
          <cell r="D890" t="str">
            <v>BR</v>
          </cell>
          <cell r="E890" t="str">
            <v>Watty</v>
          </cell>
          <cell r="F890">
            <v>2019</v>
          </cell>
          <cell r="I890">
            <v>73</v>
          </cell>
          <cell r="J890">
            <v>-44</v>
          </cell>
          <cell r="K890" t="str">
            <v>L</v>
          </cell>
        </row>
        <row r="891">
          <cell r="A891" t="str">
            <v>2019Watty1</v>
          </cell>
          <cell r="D891" t="str">
            <v>Watty</v>
          </cell>
          <cell r="E891" t="str">
            <v>BR</v>
          </cell>
          <cell r="F891">
            <v>2019</v>
          </cell>
          <cell r="I891">
            <v>117</v>
          </cell>
          <cell r="J891">
            <v>44</v>
          </cell>
          <cell r="K891" t="str">
            <v>W</v>
          </cell>
        </row>
        <row r="892">
          <cell r="A892" t="str">
            <v>2019Emily1</v>
          </cell>
          <cell r="D892" t="str">
            <v>Emily</v>
          </cell>
          <cell r="E892" t="str">
            <v>David</v>
          </cell>
          <cell r="F892">
            <v>2019</v>
          </cell>
          <cell r="I892">
            <v>83</v>
          </cell>
          <cell r="J892">
            <v>6</v>
          </cell>
          <cell r="K892" t="str">
            <v>W</v>
          </cell>
        </row>
        <row r="893">
          <cell r="A893" t="str">
            <v>2019David1</v>
          </cell>
          <cell r="D893" t="str">
            <v>David</v>
          </cell>
          <cell r="E893" t="str">
            <v>Emily</v>
          </cell>
          <cell r="F893">
            <v>2019</v>
          </cell>
          <cell r="I893">
            <v>77</v>
          </cell>
          <cell r="J893">
            <v>-6</v>
          </cell>
          <cell r="K893" t="str">
            <v>L</v>
          </cell>
        </row>
        <row r="894">
          <cell r="A894" t="str">
            <v>2019Abby1</v>
          </cell>
          <cell r="D894" t="str">
            <v>Abby</v>
          </cell>
          <cell r="E894" t="str">
            <v>Mark</v>
          </cell>
          <cell r="F894">
            <v>2019</v>
          </cell>
          <cell r="I894">
            <v>113</v>
          </cell>
          <cell r="J894">
            <v>46</v>
          </cell>
          <cell r="K894" t="str">
            <v>W</v>
          </cell>
        </row>
        <row r="895">
          <cell r="A895" t="str">
            <v>2019Mark1</v>
          </cell>
          <cell r="D895" t="str">
            <v>Mark</v>
          </cell>
          <cell r="E895" t="str">
            <v>Abby</v>
          </cell>
          <cell r="F895">
            <v>2019</v>
          </cell>
          <cell r="I895">
            <v>67</v>
          </cell>
          <cell r="J895">
            <v>-46</v>
          </cell>
          <cell r="K895" t="str">
            <v>L</v>
          </cell>
        </row>
        <row r="896">
          <cell r="A896" t="str">
            <v>2019Charles1</v>
          </cell>
          <cell r="D896" t="str">
            <v>Charles</v>
          </cell>
          <cell r="E896" t="str">
            <v>Brian</v>
          </cell>
          <cell r="F896">
            <v>2019</v>
          </cell>
          <cell r="I896">
            <v>105</v>
          </cell>
          <cell r="J896">
            <v>21</v>
          </cell>
          <cell r="K896" t="str">
            <v>W</v>
          </cell>
        </row>
        <row r="897">
          <cell r="A897" t="str">
            <v>2019Brian1</v>
          </cell>
          <cell r="D897" t="str">
            <v>Brian</v>
          </cell>
          <cell r="E897" t="str">
            <v>Charles</v>
          </cell>
          <cell r="F897">
            <v>2019</v>
          </cell>
          <cell r="I897">
            <v>84</v>
          </cell>
          <cell r="J897">
            <v>-21</v>
          </cell>
          <cell r="K897" t="str">
            <v>L</v>
          </cell>
        </row>
        <row r="898">
          <cell r="A898" t="str">
            <v>2019Emily2</v>
          </cell>
          <cell r="D898" t="str">
            <v>Emily</v>
          </cell>
          <cell r="E898" t="str">
            <v>Michael</v>
          </cell>
          <cell r="F898">
            <v>2019</v>
          </cell>
          <cell r="I898">
            <v>70</v>
          </cell>
          <cell r="J898">
            <v>-1</v>
          </cell>
          <cell r="K898" t="str">
            <v>L</v>
          </cell>
        </row>
        <row r="899">
          <cell r="A899" t="str">
            <v>2019Michael2</v>
          </cell>
          <cell r="D899" t="str">
            <v>Michael</v>
          </cell>
          <cell r="E899" t="str">
            <v>Emily</v>
          </cell>
          <cell r="F899">
            <v>2019</v>
          </cell>
          <cell r="I899">
            <v>71</v>
          </cell>
          <cell r="J899">
            <v>1</v>
          </cell>
          <cell r="K899" t="str">
            <v>W</v>
          </cell>
        </row>
        <row r="900">
          <cell r="A900" t="str">
            <v>2019David2</v>
          </cell>
          <cell r="D900" t="str">
            <v>David</v>
          </cell>
          <cell r="E900" t="str">
            <v>Russell</v>
          </cell>
          <cell r="F900">
            <v>2019</v>
          </cell>
          <cell r="I900">
            <v>76</v>
          </cell>
          <cell r="J900">
            <v>-30</v>
          </cell>
          <cell r="K900" t="str">
            <v>L</v>
          </cell>
        </row>
        <row r="901">
          <cell r="A901" t="str">
            <v>2019Russell2</v>
          </cell>
          <cell r="D901" t="str">
            <v>Russell</v>
          </cell>
          <cell r="E901" t="str">
            <v>David</v>
          </cell>
          <cell r="F901">
            <v>2019</v>
          </cell>
          <cell r="I901">
            <v>106</v>
          </cell>
          <cell r="J901">
            <v>30</v>
          </cell>
          <cell r="K901" t="str">
            <v>W</v>
          </cell>
        </row>
        <row r="902">
          <cell r="A902" t="str">
            <v>2019Mark2</v>
          </cell>
          <cell r="D902" t="str">
            <v>Mark</v>
          </cell>
          <cell r="E902" t="str">
            <v>Charles</v>
          </cell>
          <cell r="F902">
            <v>2019</v>
          </cell>
          <cell r="I902">
            <v>104</v>
          </cell>
          <cell r="J902">
            <v>37</v>
          </cell>
          <cell r="K902" t="str">
            <v>W</v>
          </cell>
        </row>
        <row r="903">
          <cell r="A903" t="str">
            <v>2019Charles2</v>
          </cell>
          <cell r="D903" t="str">
            <v>Charles</v>
          </cell>
          <cell r="E903" t="str">
            <v>Mark</v>
          </cell>
          <cell r="F903">
            <v>2019</v>
          </cell>
          <cell r="I903">
            <v>67</v>
          </cell>
          <cell r="J903">
            <v>-37</v>
          </cell>
          <cell r="K903" t="str">
            <v>L</v>
          </cell>
        </row>
        <row r="904">
          <cell r="A904" t="str">
            <v>2019Matt2</v>
          </cell>
          <cell r="D904" t="str">
            <v>Matt</v>
          </cell>
          <cell r="E904" t="str">
            <v>Brent</v>
          </cell>
          <cell r="F904">
            <v>2019</v>
          </cell>
          <cell r="I904">
            <v>101</v>
          </cell>
          <cell r="J904">
            <v>5</v>
          </cell>
          <cell r="K904" t="str">
            <v>W</v>
          </cell>
        </row>
        <row r="905">
          <cell r="A905" t="str">
            <v>2019Brent2</v>
          </cell>
          <cell r="D905" t="str">
            <v>Brent</v>
          </cell>
          <cell r="E905" t="str">
            <v>Matt</v>
          </cell>
          <cell r="F905">
            <v>2019</v>
          </cell>
          <cell r="I905">
            <v>96</v>
          </cell>
          <cell r="J905">
            <v>-5</v>
          </cell>
          <cell r="K905" t="str">
            <v>L</v>
          </cell>
        </row>
        <row r="906">
          <cell r="A906" t="str">
            <v>2019BR2</v>
          </cell>
          <cell r="D906" t="str">
            <v>BR</v>
          </cell>
          <cell r="E906" t="str">
            <v>Abby</v>
          </cell>
          <cell r="F906">
            <v>2019</v>
          </cell>
          <cell r="I906">
            <v>86</v>
          </cell>
          <cell r="J906">
            <v>1</v>
          </cell>
          <cell r="K906" t="str">
            <v>W</v>
          </cell>
        </row>
        <row r="907">
          <cell r="A907" t="str">
            <v>2019Abby2</v>
          </cell>
          <cell r="D907" t="str">
            <v>Abby</v>
          </cell>
          <cell r="E907" t="str">
            <v>BR</v>
          </cell>
          <cell r="F907">
            <v>2019</v>
          </cell>
          <cell r="I907">
            <v>85</v>
          </cell>
          <cell r="J907">
            <v>-1</v>
          </cell>
          <cell r="K907" t="str">
            <v>L</v>
          </cell>
        </row>
        <row r="908">
          <cell r="A908" t="str">
            <v>2019Watty2</v>
          </cell>
          <cell r="D908" t="str">
            <v>Watty</v>
          </cell>
          <cell r="E908" t="str">
            <v>Brian</v>
          </cell>
          <cell r="F908">
            <v>2019</v>
          </cell>
          <cell r="I908">
            <v>89</v>
          </cell>
          <cell r="J908">
            <v>6</v>
          </cell>
          <cell r="K908" t="str">
            <v>W</v>
          </cell>
        </row>
        <row r="909">
          <cell r="A909" t="str">
            <v>2019Brian2</v>
          </cell>
          <cell r="D909" t="str">
            <v>Brian</v>
          </cell>
          <cell r="E909" t="str">
            <v>Watty</v>
          </cell>
          <cell r="F909">
            <v>2019</v>
          </cell>
          <cell r="I909">
            <v>83</v>
          </cell>
          <cell r="J909">
            <v>-6</v>
          </cell>
          <cell r="K909" t="str">
            <v>L</v>
          </cell>
        </row>
        <row r="910">
          <cell r="A910" t="str">
            <v>2019Michael3</v>
          </cell>
          <cell r="D910" t="str">
            <v>Michael</v>
          </cell>
          <cell r="E910" t="str">
            <v>Brent</v>
          </cell>
          <cell r="F910">
            <v>2019</v>
          </cell>
          <cell r="I910">
            <v>79</v>
          </cell>
          <cell r="J910">
            <v>-38</v>
          </cell>
          <cell r="K910" t="str">
            <v>L</v>
          </cell>
        </row>
        <row r="911">
          <cell r="A911" t="str">
            <v>2019Brent3</v>
          </cell>
          <cell r="D911" t="str">
            <v>Brent</v>
          </cell>
          <cell r="E911" t="str">
            <v>Michael</v>
          </cell>
          <cell r="F911">
            <v>2019</v>
          </cell>
          <cell r="I911">
            <v>117</v>
          </cell>
          <cell r="J911">
            <v>38</v>
          </cell>
          <cell r="K911" t="str">
            <v>W</v>
          </cell>
        </row>
        <row r="912">
          <cell r="A912" t="str">
            <v>2019David3</v>
          </cell>
          <cell r="D912" t="str">
            <v>David</v>
          </cell>
          <cell r="E912" t="str">
            <v>Matt</v>
          </cell>
          <cell r="F912">
            <v>2019</v>
          </cell>
          <cell r="I912">
            <v>89</v>
          </cell>
          <cell r="J912">
            <v>-8</v>
          </cell>
          <cell r="K912" t="str">
            <v>L</v>
          </cell>
        </row>
        <row r="913">
          <cell r="A913" t="str">
            <v>2019Matt3</v>
          </cell>
          <cell r="D913" t="str">
            <v>Matt</v>
          </cell>
          <cell r="E913" t="str">
            <v>David</v>
          </cell>
          <cell r="F913">
            <v>2019</v>
          </cell>
          <cell r="I913">
            <v>97</v>
          </cell>
          <cell r="J913">
            <v>8</v>
          </cell>
          <cell r="K913" t="str">
            <v>W</v>
          </cell>
        </row>
        <row r="914">
          <cell r="A914" t="str">
            <v>2019Brian3</v>
          </cell>
          <cell r="D914" t="str">
            <v>Brian</v>
          </cell>
          <cell r="E914" t="str">
            <v>BR</v>
          </cell>
          <cell r="F914">
            <v>2019</v>
          </cell>
          <cell r="I914">
            <v>57</v>
          </cell>
          <cell r="J914">
            <v>-43</v>
          </cell>
          <cell r="K914" t="str">
            <v>L</v>
          </cell>
        </row>
        <row r="915">
          <cell r="A915" t="str">
            <v>2019BR3</v>
          </cell>
          <cell r="D915" t="str">
            <v>BR</v>
          </cell>
          <cell r="E915" t="str">
            <v>Brian</v>
          </cell>
          <cell r="F915">
            <v>2019</v>
          </cell>
          <cell r="I915">
            <v>100</v>
          </cell>
          <cell r="J915">
            <v>43</v>
          </cell>
          <cell r="K915" t="str">
            <v>W</v>
          </cell>
        </row>
        <row r="916">
          <cell r="A916" t="str">
            <v>2019Russell3</v>
          </cell>
          <cell r="D916" t="str">
            <v>Russell</v>
          </cell>
          <cell r="E916" t="str">
            <v>Emily</v>
          </cell>
          <cell r="F916">
            <v>2019</v>
          </cell>
          <cell r="I916">
            <v>97</v>
          </cell>
          <cell r="J916">
            <v>-19</v>
          </cell>
          <cell r="K916" t="str">
            <v>L</v>
          </cell>
        </row>
        <row r="917">
          <cell r="A917" t="str">
            <v>2019Emily3</v>
          </cell>
          <cell r="D917" t="str">
            <v>Emily</v>
          </cell>
          <cell r="E917" t="str">
            <v>Russell</v>
          </cell>
          <cell r="F917">
            <v>2019</v>
          </cell>
          <cell r="I917">
            <v>116</v>
          </cell>
          <cell r="J917">
            <v>19</v>
          </cell>
          <cell r="K917" t="str">
            <v>W</v>
          </cell>
        </row>
        <row r="918">
          <cell r="A918" t="str">
            <v>2019Abby3</v>
          </cell>
          <cell r="D918" t="str">
            <v>Abby</v>
          </cell>
          <cell r="E918" t="str">
            <v>Charles</v>
          </cell>
          <cell r="F918">
            <v>2019</v>
          </cell>
          <cell r="I918">
            <v>72</v>
          </cell>
          <cell r="J918">
            <v>-29</v>
          </cell>
          <cell r="K918" t="str">
            <v>L</v>
          </cell>
        </row>
        <row r="919">
          <cell r="A919" t="str">
            <v>2019Charles3</v>
          </cell>
          <cell r="D919" t="str">
            <v>Charles</v>
          </cell>
          <cell r="E919" t="str">
            <v>Abby</v>
          </cell>
          <cell r="F919">
            <v>2019</v>
          </cell>
          <cell r="I919">
            <v>101</v>
          </cell>
          <cell r="J919">
            <v>29</v>
          </cell>
          <cell r="K919" t="str">
            <v>W</v>
          </cell>
        </row>
        <row r="920">
          <cell r="A920" t="str">
            <v>2019Watty3</v>
          </cell>
          <cell r="D920" t="str">
            <v>Watty</v>
          </cell>
          <cell r="E920" t="str">
            <v>Mark</v>
          </cell>
          <cell r="F920">
            <v>2019</v>
          </cell>
          <cell r="I920">
            <v>120</v>
          </cell>
          <cell r="J920">
            <v>16</v>
          </cell>
          <cell r="K920" t="str">
            <v>W</v>
          </cell>
        </row>
        <row r="921">
          <cell r="A921" t="str">
            <v>2019Mark3</v>
          </cell>
          <cell r="D921" t="str">
            <v>Mark</v>
          </cell>
          <cell r="E921" t="str">
            <v>Watty</v>
          </cell>
          <cell r="F921">
            <v>2019</v>
          </cell>
          <cell r="I921">
            <v>104</v>
          </cell>
          <cell r="J921">
            <v>-16</v>
          </cell>
          <cell r="K921" t="str">
            <v>L</v>
          </cell>
        </row>
        <row r="922">
          <cell r="A922" t="str">
            <v>2019Russell4</v>
          </cell>
          <cell r="D922" t="str">
            <v>Russell</v>
          </cell>
          <cell r="E922" t="str">
            <v>Michael</v>
          </cell>
          <cell r="F922">
            <v>2019</v>
          </cell>
          <cell r="I922">
            <v>45</v>
          </cell>
          <cell r="J922">
            <v>-25</v>
          </cell>
          <cell r="K922" t="str">
            <v>L</v>
          </cell>
        </row>
        <row r="923">
          <cell r="A923" t="str">
            <v>2019Michael4</v>
          </cell>
          <cell r="D923" t="str">
            <v>Michael</v>
          </cell>
          <cell r="E923" t="str">
            <v>Russell</v>
          </cell>
          <cell r="F923">
            <v>2019</v>
          </cell>
          <cell r="I923">
            <v>70</v>
          </cell>
          <cell r="J923">
            <v>25</v>
          </cell>
          <cell r="K923" t="str">
            <v>W</v>
          </cell>
        </row>
        <row r="924">
          <cell r="A924" t="str">
            <v>2019Emily4</v>
          </cell>
          <cell r="D924" t="str">
            <v>Emily</v>
          </cell>
          <cell r="E924" t="str">
            <v>Matt</v>
          </cell>
          <cell r="F924">
            <v>2019</v>
          </cell>
          <cell r="I924">
            <v>121</v>
          </cell>
          <cell r="J924">
            <v>54</v>
          </cell>
          <cell r="K924" t="str">
            <v>W</v>
          </cell>
        </row>
        <row r="925">
          <cell r="A925" t="str">
            <v>2019Matt4</v>
          </cell>
          <cell r="D925" t="str">
            <v>Matt</v>
          </cell>
          <cell r="E925" t="str">
            <v>Emily</v>
          </cell>
          <cell r="F925">
            <v>2019</v>
          </cell>
          <cell r="I925">
            <v>67</v>
          </cell>
          <cell r="J925">
            <v>-54</v>
          </cell>
          <cell r="K925" t="str">
            <v>L</v>
          </cell>
        </row>
        <row r="926">
          <cell r="A926" t="str">
            <v>2019Charles4</v>
          </cell>
          <cell r="D926" t="str">
            <v>Charles</v>
          </cell>
          <cell r="E926" t="str">
            <v>Watty</v>
          </cell>
          <cell r="F926">
            <v>2019</v>
          </cell>
          <cell r="I926">
            <v>70</v>
          </cell>
          <cell r="J926">
            <v>-33</v>
          </cell>
          <cell r="K926" t="str">
            <v>L</v>
          </cell>
        </row>
        <row r="927">
          <cell r="A927" t="str">
            <v>2019Watty4</v>
          </cell>
          <cell r="D927" t="str">
            <v>Watty</v>
          </cell>
          <cell r="E927" t="str">
            <v>Charles</v>
          </cell>
          <cell r="F927">
            <v>2019</v>
          </cell>
          <cell r="I927">
            <v>103</v>
          </cell>
          <cell r="J927">
            <v>33</v>
          </cell>
          <cell r="K927" t="str">
            <v>W</v>
          </cell>
        </row>
        <row r="928">
          <cell r="A928" t="str">
            <v>2019Brent4</v>
          </cell>
          <cell r="D928" t="str">
            <v>Brent</v>
          </cell>
          <cell r="E928" t="str">
            <v>David</v>
          </cell>
          <cell r="F928">
            <v>2019</v>
          </cell>
          <cell r="I928">
            <v>79</v>
          </cell>
          <cell r="J928">
            <v>-31</v>
          </cell>
          <cell r="K928" t="str">
            <v>L</v>
          </cell>
        </row>
        <row r="929">
          <cell r="A929" t="str">
            <v>2019David4</v>
          </cell>
          <cell r="D929" t="str">
            <v>David</v>
          </cell>
          <cell r="E929" t="str">
            <v>Brent</v>
          </cell>
          <cell r="F929">
            <v>2019</v>
          </cell>
          <cell r="I929">
            <v>110</v>
          </cell>
          <cell r="J929">
            <v>31</v>
          </cell>
          <cell r="K929" t="str">
            <v>W</v>
          </cell>
        </row>
        <row r="930">
          <cell r="A930" t="str">
            <v>2019Brian4</v>
          </cell>
          <cell r="D930" t="str">
            <v>Brian</v>
          </cell>
          <cell r="E930" t="str">
            <v>Abby</v>
          </cell>
          <cell r="F930">
            <v>2019</v>
          </cell>
          <cell r="I930">
            <v>64</v>
          </cell>
          <cell r="J930">
            <v>-22</v>
          </cell>
          <cell r="K930" t="str">
            <v>L</v>
          </cell>
        </row>
        <row r="931">
          <cell r="A931" t="str">
            <v>2019Abby4</v>
          </cell>
          <cell r="D931" t="str">
            <v>Abby</v>
          </cell>
          <cell r="E931" t="str">
            <v>Brian</v>
          </cell>
          <cell r="F931">
            <v>2019</v>
          </cell>
          <cell r="I931">
            <v>86</v>
          </cell>
          <cell r="J931">
            <v>22</v>
          </cell>
          <cell r="K931" t="str">
            <v>W</v>
          </cell>
        </row>
        <row r="932">
          <cell r="A932" t="str">
            <v>2019BR4</v>
          </cell>
          <cell r="D932" t="str">
            <v>BR</v>
          </cell>
          <cell r="E932" t="str">
            <v>Mark</v>
          </cell>
          <cell r="F932">
            <v>2019</v>
          </cell>
          <cell r="I932">
            <v>87</v>
          </cell>
          <cell r="J932">
            <v>-1</v>
          </cell>
          <cell r="K932" t="str">
            <v>L</v>
          </cell>
        </row>
        <row r="933">
          <cell r="A933" t="str">
            <v>2019Mark4</v>
          </cell>
          <cell r="D933" t="str">
            <v>Mark</v>
          </cell>
          <cell r="E933" t="str">
            <v>BR</v>
          </cell>
          <cell r="F933">
            <v>2019</v>
          </cell>
          <cell r="I933">
            <v>88</v>
          </cell>
          <cell r="J933">
            <v>1</v>
          </cell>
          <cell r="K933" t="str">
            <v>W</v>
          </cell>
        </row>
        <row r="934">
          <cell r="A934" t="str">
            <v>2019Michael5</v>
          </cell>
          <cell r="D934" t="str">
            <v>Michael</v>
          </cell>
          <cell r="E934" t="str">
            <v>David</v>
          </cell>
          <cell r="F934">
            <v>2019</v>
          </cell>
          <cell r="I934">
            <v>63</v>
          </cell>
          <cell r="J934">
            <v>-90</v>
          </cell>
          <cell r="K934" t="str">
            <v>L</v>
          </cell>
        </row>
        <row r="935">
          <cell r="A935" t="str">
            <v>2019David5</v>
          </cell>
          <cell r="D935" t="str">
            <v>David</v>
          </cell>
          <cell r="E935" t="str">
            <v>Michael</v>
          </cell>
          <cell r="F935">
            <v>2019</v>
          </cell>
          <cell r="I935">
            <v>153</v>
          </cell>
          <cell r="J935">
            <v>90</v>
          </cell>
          <cell r="K935" t="str">
            <v>W</v>
          </cell>
        </row>
        <row r="936">
          <cell r="A936" t="str">
            <v>2019Emily5</v>
          </cell>
          <cell r="D936" t="str">
            <v>Emily</v>
          </cell>
          <cell r="E936" t="str">
            <v>Brent</v>
          </cell>
          <cell r="F936">
            <v>2019</v>
          </cell>
          <cell r="I936">
            <v>93</v>
          </cell>
          <cell r="J936">
            <v>-68</v>
          </cell>
          <cell r="K936" t="str">
            <v>L</v>
          </cell>
        </row>
        <row r="937">
          <cell r="A937" t="str">
            <v>2019Brent5</v>
          </cell>
          <cell r="D937" t="str">
            <v>Brent</v>
          </cell>
          <cell r="E937" t="str">
            <v>Emily</v>
          </cell>
          <cell r="F937">
            <v>2019</v>
          </cell>
          <cell r="I937">
            <v>161</v>
          </cell>
          <cell r="J937">
            <v>68</v>
          </cell>
          <cell r="K937" t="str">
            <v>W</v>
          </cell>
        </row>
        <row r="938">
          <cell r="A938" t="str">
            <v>2019Mark5</v>
          </cell>
          <cell r="D938" t="str">
            <v>Mark</v>
          </cell>
          <cell r="E938" t="str">
            <v>Brian</v>
          </cell>
          <cell r="F938">
            <v>2019</v>
          </cell>
          <cell r="I938">
            <v>76</v>
          </cell>
          <cell r="J938">
            <v>7</v>
          </cell>
          <cell r="K938" t="str">
            <v>W</v>
          </cell>
        </row>
        <row r="939">
          <cell r="A939" t="str">
            <v>2019Brian5</v>
          </cell>
          <cell r="D939" t="str">
            <v>Brian</v>
          </cell>
          <cell r="E939" t="str">
            <v>Mark</v>
          </cell>
          <cell r="F939">
            <v>2019</v>
          </cell>
          <cell r="I939">
            <v>69</v>
          </cell>
          <cell r="J939">
            <v>-7</v>
          </cell>
          <cell r="K939" t="str">
            <v>L</v>
          </cell>
        </row>
        <row r="940">
          <cell r="A940" t="str">
            <v>2019Matt5</v>
          </cell>
          <cell r="D940" t="str">
            <v>Matt</v>
          </cell>
          <cell r="E940" t="str">
            <v>Russell</v>
          </cell>
          <cell r="F940">
            <v>2019</v>
          </cell>
          <cell r="I940">
            <v>83</v>
          </cell>
          <cell r="J940">
            <v>3</v>
          </cell>
          <cell r="K940" t="str">
            <v>W</v>
          </cell>
        </row>
        <row r="941">
          <cell r="A941" t="str">
            <v>2019Russell5</v>
          </cell>
          <cell r="D941" t="str">
            <v>Russell</v>
          </cell>
          <cell r="E941" t="str">
            <v>Matt</v>
          </cell>
          <cell r="F941">
            <v>2019</v>
          </cell>
          <cell r="I941">
            <v>80</v>
          </cell>
          <cell r="J941">
            <v>-3</v>
          </cell>
          <cell r="K941" t="str">
            <v>L</v>
          </cell>
        </row>
        <row r="942">
          <cell r="A942" t="str">
            <v>2019Abby5</v>
          </cell>
          <cell r="D942" t="str">
            <v>Abby</v>
          </cell>
          <cell r="E942" t="str">
            <v>Watty</v>
          </cell>
          <cell r="F942">
            <v>2019</v>
          </cell>
          <cell r="I942">
            <v>109</v>
          </cell>
          <cell r="J942">
            <v>10</v>
          </cell>
          <cell r="K942" t="str">
            <v>W</v>
          </cell>
        </row>
        <row r="943">
          <cell r="A943" t="str">
            <v>2019Watty5</v>
          </cell>
          <cell r="D943" t="str">
            <v>Watty</v>
          </cell>
          <cell r="E943" t="str">
            <v>Abby</v>
          </cell>
          <cell r="F943">
            <v>2019</v>
          </cell>
          <cell r="I943">
            <v>99</v>
          </cell>
          <cell r="J943">
            <v>-10</v>
          </cell>
          <cell r="K943" t="str">
            <v>L</v>
          </cell>
        </row>
        <row r="944">
          <cell r="A944" t="str">
            <v>2019BR5</v>
          </cell>
          <cell r="D944" t="str">
            <v>BR</v>
          </cell>
          <cell r="E944" t="str">
            <v>Charles</v>
          </cell>
          <cell r="F944">
            <v>2019</v>
          </cell>
          <cell r="I944">
            <v>90</v>
          </cell>
          <cell r="J944">
            <v>-40</v>
          </cell>
          <cell r="K944" t="str">
            <v>L</v>
          </cell>
        </row>
        <row r="945">
          <cell r="A945" t="str">
            <v>2019Charles5</v>
          </cell>
          <cell r="D945" t="str">
            <v>Charles</v>
          </cell>
          <cell r="E945" t="str">
            <v>BR</v>
          </cell>
          <cell r="F945">
            <v>2019</v>
          </cell>
          <cell r="I945">
            <v>130</v>
          </cell>
          <cell r="J945">
            <v>40</v>
          </cell>
          <cell r="K945" t="str">
            <v>W</v>
          </cell>
        </row>
        <row r="946">
          <cell r="A946" t="str">
            <v>2019Abby6</v>
          </cell>
          <cell r="D946" t="str">
            <v>Abby</v>
          </cell>
          <cell r="E946" t="str">
            <v>Michael</v>
          </cell>
          <cell r="F946">
            <v>2019</v>
          </cell>
          <cell r="I946">
            <v>74</v>
          </cell>
          <cell r="J946">
            <v>-7</v>
          </cell>
          <cell r="K946" t="str">
            <v>L</v>
          </cell>
        </row>
        <row r="947">
          <cell r="A947" t="str">
            <v>2019Michael6</v>
          </cell>
          <cell r="D947" t="str">
            <v>Michael</v>
          </cell>
          <cell r="E947" t="str">
            <v>Abby</v>
          </cell>
          <cell r="F947">
            <v>2019</v>
          </cell>
          <cell r="I947">
            <v>81</v>
          </cell>
          <cell r="J947">
            <v>7</v>
          </cell>
          <cell r="K947" t="str">
            <v>W</v>
          </cell>
        </row>
        <row r="948">
          <cell r="A948" t="str">
            <v>2019BR6</v>
          </cell>
          <cell r="D948" t="str">
            <v>BR</v>
          </cell>
          <cell r="E948" t="str">
            <v>Emily</v>
          </cell>
          <cell r="F948">
            <v>2019</v>
          </cell>
          <cell r="I948">
            <v>83</v>
          </cell>
          <cell r="J948">
            <v>-11</v>
          </cell>
          <cell r="K948" t="str">
            <v>L</v>
          </cell>
        </row>
        <row r="949">
          <cell r="A949" t="str">
            <v>2019Emily6</v>
          </cell>
          <cell r="D949" t="str">
            <v>Emily</v>
          </cell>
          <cell r="E949" t="str">
            <v>BR</v>
          </cell>
          <cell r="F949">
            <v>2019</v>
          </cell>
          <cell r="I949">
            <v>94</v>
          </cell>
          <cell r="J949">
            <v>11</v>
          </cell>
          <cell r="K949" t="str">
            <v>W</v>
          </cell>
        </row>
        <row r="950">
          <cell r="A950" t="str">
            <v>2019Brian6</v>
          </cell>
          <cell r="D950" t="str">
            <v>Brian</v>
          </cell>
          <cell r="E950" t="str">
            <v>Russell</v>
          </cell>
          <cell r="F950">
            <v>2019</v>
          </cell>
          <cell r="I950">
            <v>63</v>
          </cell>
          <cell r="J950">
            <v>3</v>
          </cell>
          <cell r="K950" t="str">
            <v>W</v>
          </cell>
        </row>
        <row r="951">
          <cell r="A951" t="str">
            <v>2019Russell6</v>
          </cell>
          <cell r="D951" t="str">
            <v>Russell</v>
          </cell>
          <cell r="E951" t="str">
            <v>Brian</v>
          </cell>
          <cell r="F951">
            <v>2019</v>
          </cell>
          <cell r="I951">
            <v>60</v>
          </cell>
          <cell r="J951">
            <v>-3</v>
          </cell>
          <cell r="K951" t="str">
            <v>L</v>
          </cell>
        </row>
        <row r="952">
          <cell r="A952" t="str">
            <v>2019Mark6</v>
          </cell>
          <cell r="D952" t="str">
            <v>Mark</v>
          </cell>
          <cell r="E952" t="str">
            <v>Matt</v>
          </cell>
          <cell r="F952">
            <v>2019</v>
          </cell>
          <cell r="I952">
            <v>127</v>
          </cell>
          <cell r="J952">
            <v>14</v>
          </cell>
          <cell r="K952" t="str">
            <v>W</v>
          </cell>
        </row>
        <row r="953">
          <cell r="A953" t="str">
            <v>2019Matt6</v>
          </cell>
          <cell r="D953" t="str">
            <v>Matt</v>
          </cell>
          <cell r="E953" t="str">
            <v>Mark</v>
          </cell>
          <cell r="F953">
            <v>2019</v>
          </cell>
          <cell r="I953">
            <v>113</v>
          </cell>
          <cell r="J953">
            <v>-14</v>
          </cell>
          <cell r="K953" t="str">
            <v>L</v>
          </cell>
        </row>
        <row r="954">
          <cell r="A954" t="str">
            <v>2019Charles6</v>
          </cell>
          <cell r="D954" t="str">
            <v>Charles</v>
          </cell>
          <cell r="E954" t="str">
            <v>Brent</v>
          </cell>
          <cell r="F954">
            <v>2019</v>
          </cell>
          <cell r="I954">
            <v>90</v>
          </cell>
          <cell r="J954">
            <v>3</v>
          </cell>
          <cell r="K954" t="str">
            <v>W</v>
          </cell>
        </row>
        <row r="955">
          <cell r="A955" t="str">
            <v>2019Brent6</v>
          </cell>
          <cell r="D955" t="str">
            <v>Brent</v>
          </cell>
          <cell r="E955" t="str">
            <v>Charles</v>
          </cell>
          <cell r="F955">
            <v>2019</v>
          </cell>
          <cell r="I955">
            <v>87</v>
          </cell>
          <cell r="J955">
            <v>-3</v>
          </cell>
          <cell r="K955" t="str">
            <v>L</v>
          </cell>
        </row>
        <row r="956">
          <cell r="A956" t="str">
            <v>2019Watty6</v>
          </cell>
          <cell r="D956" t="str">
            <v>Watty</v>
          </cell>
          <cell r="E956" t="str">
            <v>David</v>
          </cell>
          <cell r="F956">
            <v>2019</v>
          </cell>
          <cell r="I956">
            <v>98</v>
          </cell>
          <cell r="J956">
            <v>-3</v>
          </cell>
          <cell r="K956" t="str">
            <v>L</v>
          </cell>
        </row>
        <row r="957">
          <cell r="A957" t="str">
            <v>2019David6</v>
          </cell>
          <cell r="D957" t="str">
            <v>David</v>
          </cell>
          <cell r="E957" t="str">
            <v>Watty</v>
          </cell>
          <cell r="F957">
            <v>2019</v>
          </cell>
          <cell r="I957">
            <v>101</v>
          </cell>
          <cell r="J957">
            <v>3</v>
          </cell>
          <cell r="K957" t="str">
            <v>W</v>
          </cell>
        </row>
        <row r="958">
          <cell r="A958" t="str">
            <v>2019Michael7</v>
          </cell>
          <cell r="D958" t="str">
            <v>Michael</v>
          </cell>
          <cell r="E958" t="str">
            <v>Watty</v>
          </cell>
          <cell r="F958">
            <v>2019</v>
          </cell>
          <cell r="I958">
            <v>100</v>
          </cell>
          <cell r="J958">
            <v>50</v>
          </cell>
          <cell r="K958" t="str">
            <v>W</v>
          </cell>
        </row>
        <row r="959">
          <cell r="A959" t="str">
            <v>2019Watty7</v>
          </cell>
          <cell r="D959" t="str">
            <v>Watty</v>
          </cell>
          <cell r="E959" t="str">
            <v>Michael</v>
          </cell>
          <cell r="F959">
            <v>2019</v>
          </cell>
          <cell r="I959">
            <v>50</v>
          </cell>
          <cell r="J959">
            <v>-50</v>
          </cell>
          <cell r="K959" t="str">
            <v>L</v>
          </cell>
        </row>
        <row r="960">
          <cell r="A960" t="str">
            <v>2019Emily7</v>
          </cell>
          <cell r="D960" t="str">
            <v>Emily</v>
          </cell>
          <cell r="E960" t="str">
            <v>Mark</v>
          </cell>
          <cell r="F960">
            <v>2019</v>
          </cell>
          <cell r="I960">
            <v>60</v>
          </cell>
          <cell r="J960">
            <v>-16</v>
          </cell>
          <cell r="K960" t="str">
            <v>L</v>
          </cell>
        </row>
        <row r="961">
          <cell r="A961" t="str">
            <v>2019Mark7</v>
          </cell>
          <cell r="D961" t="str">
            <v>Mark</v>
          </cell>
          <cell r="E961" t="str">
            <v>Emily</v>
          </cell>
          <cell r="F961">
            <v>2019</v>
          </cell>
          <cell r="I961">
            <v>76</v>
          </cell>
          <cell r="J961">
            <v>16</v>
          </cell>
          <cell r="K961" t="str">
            <v>W</v>
          </cell>
        </row>
        <row r="962">
          <cell r="A962" t="str">
            <v>2019Russell7</v>
          </cell>
          <cell r="D962" t="str">
            <v>Russell</v>
          </cell>
          <cell r="E962" t="str">
            <v>Charles</v>
          </cell>
          <cell r="F962">
            <v>2019</v>
          </cell>
          <cell r="I962">
            <v>116</v>
          </cell>
          <cell r="J962">
            <v>58</v>
          </cell>
          <cell r="K962" t="str">
            <v>W</v>
          </cell>
        </row>
        <row r="963">
          <cell r="A963" t="str">
            <v>2019Charles7</v>
          </cell>
          <cell r="D963" t="str">
            <v>Charles</v>
          </cell>
          <cell r="E963" t="str">
            <v>Russell</v>
          </cell>
          <cell r="F963">
            <v>2019</v>
          </cell>
          <cell r="I963">
            <v>58</v>
          </cell>
          <cell r="J963">
            <v>-58</v>
          </cell>
          <cell r="K963" t="str">
            <v>L</v>
          </cell>
        </row>
        <row r="964">
          <cell r="A964" t="str">
            <v>2019Matt7</v>
          </cell>
          <cell r="D964" t="str">
            <v>Matt</v>
          </cell>
          <cell r="E964" t="str">
            <v>Abby</v>
          </cell>
          <cell r="F964">
            <v>2019</v>
          </cell>
          <cell r="I964">
            <v>59</v>
          </cell>
          <cell r="J964">
            <v>-54</v>
          </cell>
          <cell r="K964" t="str">
            <v>L</v>
          </cell>
        </row>
        <row r="965">
          <cell r="A965" t="str">
            <v>2019Abby7</v>
          </cell>
          <cell r="D965" t="str">
            <v>Abby</v>
          </cell>
          <cell r="E965" t="str">
            <v>Matt</v>
          </cell>
          <cell r="F965">
            <v>2019</v>
          </cell>
          <cell r="I965">
            <v>113</v>
          </cell>
          <cell r="J965">
            <v>54</v>
          </cell>
          <cell r="K965" t="str">
            <v>W</v>
          </cell>
        </row>
        <row r="966">
          <cell r="A966" t="str">
            <v>2019Brent7</v>
          </cell>
          <cell r="D966" t="str">
            <v>Brent</v>
          </cell>
          <cell r="E966" t="str">
            <v>BR</v>
          </cell>
          <cell r="F966">
            <v>2019</v>
          </cell>
          <cell r="I966">
            <v>63</v>
          </cell>
          <cell r="J966">
            <v>-14</v>
          </cell>
          <cell r="K966" t="str">
            <v>L</v>
          </cell>
        </row>
        <row r="967">
          <cell r="A967" t="str">
            <v>2019BR7</v>
          </cell>
          <cell r="D967" t="str">
            <v>BR</v>
          </cell>
          <cell r="E967" t="str">
            <v>Brent</v>
          </cell>
          <cell r="F967">
            <v>2019</v>
          </cell>
          <cell r="I967">
            <v>77</v>
          </cell>
          <cell r="J967">
            <v>14</v>
          </cell>
          <cell r="K967" t="str">
            <v>W</v>
          </cell>
        </row>
        <row r="968">
          <cell r="A968" t="str">
            <v>2019David7</v>
          </cell>
          <cell r="D968" t="str">
            <v>David</v>
          </cell>
          <cell r="E968" t="str">
            <v>Brian</v>
          </cell>
          <cell r="F968">
            <v>2019</v>
          </cell>
          <cell r="I968">
            <v>84</v>
          </cell>
          <cell r="J968">
            <v>-1</v>
          </cell>
          <cell r="K968" t="str">
            <v>L</v>
          </cell>
        </row>
        <row r="969">
          <cell r="A969" t="str">
            <v>2019Brian7</v>
          </cell>
          <cell r="D969" t="str">
            <v>Brian</v>
          </cell>
          <cell r="E969" t="str">
            <v>David</v>
          </cell>
          <cell r="F969">
            <v>2019</v>
          </cell>
          <cell r="I969">
            <v>85</v>
          </cell>
          <cell r="J969">
            <v>1</v>
          </cell>
          <cell r="K969" t="str">
            <v>W</v>
          </cell>
        </row>
        <row r="970">
          <cell r="A970" t="str">
            <v>2019Brian8</v>
          </cell>
          <cell r="D970" t="str">
            <v>Brian</v>
          </cell>
          <cell r="E970" t="str">
            <v>Michael</v>
          </cell>
          <cell r="F970">
            <v>2019</v>
          </cell>
          <cell r="I970">
            <v>94</v>
          </cell>
          <cell r="J970">
            <v>7</v>
          </cell>
          <cell r="K970" t="str">
            <v>W</v>
          </cell>
        </row>
        <row r="971">
          <cell r="A971" t="str">
            <v>2019Michael8</v>
          </cell>
          <cell r="D971" t="str">
            <v>Michael</v>
          </cell>
          <cell r="E971" t="str">
            <v>Brian</v>
          </cell>
          <cell r="F971">
            <v>2019</v>
          </cell>
          <cell r="I971">
            <v>87</v>
          </cell>
          <cell r="J971">
            <v>-7</v>
          </cell>
          <cell r="K971" t="str">
            <v>L</v>
          </cell>
        </row>
        <row r="972">
          <cell r="A972" t="str">
            <v>2019Mark8</v>
          </cell>
          <cell r="D972" t="str">
            <v>Mark</v>
          </cell>
          <cell r="E972" t="str">
            <v>Brent</v>
          </cell>
          <cell r="F972">
            <v>2019</v>
          </cell>
          <cell r="I972">
            <v>122</v>
          </cell>
          <cell r="J972">
            <v>21</v>
          </cell>
          <cell r="K972" t="str">
            <v>W</v>
          </cell>
        </row>
        <row r="973">
          <cell r="A973" t="str">
            <v>2019Brent8</v>
          </cell>
          <cell r="D973" t="str">
            <v>Brent</v>
          </cell>
          <cell r="E973" t="str">
            <v>Mark</v>
          </cell>
          <cell r="F973">
            <v>2019</v>
          </cell>
          <cell r="I973">
            <v>101</v>
          </cell>
          <cell r="J973">
            <v>-21</v>
          </cell>
          <cell r="K973" t="str">
            <v>L</v>
          </cell>
        </row>
        <row r="974">
          <cell r="A974" t="str">
            <v>2019Charles8</v>
          </cell>
          <cell r="D974" t="str">
            <v>Charles</v>
          </cell>
          <cell r="E974" t="str">
            <v>David</v>
          </cell>
          <cell r="F974">
            <v>2019</v>
          </cell>
          <cell r="I974">
            <v>77</v>
          </cell>
          <cell r="J974">
            <v>-39</v>
          </cell>
          <cell r="K974" t="str">
            <v>L</v>
          </cell>
        </row>
        <row r="975">
          <cell r="A975" t="str">
            <v>2019David8</v>
          </cell>
          <cell r="D975" t="str">
            <v>David</v>
          </cell>
          <cell r="E975" t="str">
            <v>Charles</v>
          </cell>
          <cell r="F975">
            <v>2019</v>
          </cell>
          <cell r="I975">
            <v>116</v>
          </cell>
          <cell r="J975">
            <v>39</v>
          </cell>
          <cell r="K975" t="str">
            <v>W</v>
          </cell>
        </row>
        <row r="976">
          <cell r="A976" t="str">
            <v>2019Abby8</v>
          </cell>
          <cell r="D976" t="str">
            <v>Abby</v>
          </cell>
          <cell r="E976" t="str">
            <v>Emily</v>
          </cell>
          <cell r="F976">
            <v>2019</v>
          </cell>
          <cell r="I976">
            <v>121</v>
          </cell>
          <cell r="J976">
            <v>37</v>
          </cell>
          <cell r="K976" t="str">
            <v>W</v>
          </cell>
        </row>
        <row r="977">
          <cell r="A977" t="str">
            <v>2019Emily8</v>
          </cell>
          <cell r="D977" t="str">
            <v>Emily</v>
          </cell>
          <cell r="E977" t="str">
            <v>Abby</v>
          </cell>
          <cell r="F977">
            <v>2019</v>
          </cell>
          <cell r="I977">
            <v>84</v>
          </cell>
          <cell r="J977">
            <v>-37</v>
          </cell>
          <cell r="K977" t="str">
            <v>L</v>
          </cell>
        </row>
        <row r="978">
          <cell r="A978" t="str">
            <v>2019BR8</v>
          </cell>
          <cell r="D978" t="str">
            <v>BR</v>
          </cell>
          <cell r="E978" t="str">
            <v>Russell</v>
          </cell>
          <cell r="F978">
            <v>2019</v>
          </cell>
          <cell r="I978">
            <v>78</v>
          </cell>
          <cell r="J978">
            <v>-6</v>
          </cell>
          <cell r="K978" t="str">
            <v>L</v>
          </cell>
        </row>
        <row r="979">
          <cell r="A979" t="str">
            <v>2019Russell8</v>
          </cell>
          <cell r="D979" t="str">
            <v>Russell</v>
          </cell>
          <cell r="E979" t="str">
            <v>BR</v>
          </cell>
          <cell r="F979">
            <v>2019</v>
          </cell>
          <cell r="I979">
            <v>84</v>
          </cell>
          <cell r="J979">
            <v>6</v>
          </cell>
          <cell r="K979" t="str">
            <v>W</v>
          </cell>
        </row>
        <row r="980">
          <cell r="A980" t="str">
            <v>2019Watty8</v>
          </cell>
          <cell r="D980" t="str">
            <v>Watty</v>
          </cell>
          <cell r="E980" t="str">
            <v>Matt</v>
          </cell>
          <cell r="F980">
            <v>2019</v>
          </cell>
          <cell r="I980">
            <v>74</v>
          </cell>
          <cell r="J980">
            <v>-2</v>
          </cell>
          <cell r="K980" t="str">
            <v>L</v>
          </cell>
        </row>
        <row r="981">
          <cell r="A981" t="str">
            <v>2019Matt8</v>
          </cell>
          <cell r="D981" t="str">
            <v>Matt</v>
          </cell>
          <cell r="E981" t="str">
            <v>Watty</v>
          </cell>
          <cell r="F981">
            <v>2019</v>
          </cell>
          <cell r="I981">
            <v>76</v>
          </cell>
          <cell r="J981">
            <v>2</v>
          </cell>
          <cell r="K981" t="str">
            <v>W</v>
          </cell>
        </row>
        <row r="982">
          <cell r="A982" t="str">
            <v>2019Michael9</v>
          </cell>
          <cell r="D982" t="str">
            <v>Michael</v>
          </cell>
          <cell r="E982" t="str">
            <v>Charles</v>
          </cell>
          <cell r="F982">
            <v>2019</v>
          </cell>
          <cell r="I982">
            <v>75</v>
          </cell>
          <cell r="J982">
            <v>-18</v>
          </cell>
          <cell r="K982" t="str">
            <v>L</v>
          </cell>
        </row>
        <row r="983">
          <cell r="A983" t="str">
            <v>2019Charles9</v>
          </cell>
          <cell r="D983" t="str">
            <v>Charles</v>
          </cell>
          <cell r="E983" t="str">
            <v>Michael</v>
          </cell>
          <cell r="F983">
            <v>2019</v>
          </cell>
          <cell r="I983">
            <v>93</v>
          </cell>
          <cell r="J983">
            <v>18</v>
          </cell>
          <cell r="K983" t="str">
            <v>W</v>
          </cell>
        </row>
        <row r="984">
          <cell r="A984" t="str">
            <v>2019Russell9</v>
          </cell>
          <cell r="D984" t="str">
            <v>Russell</v>
          </cell>
          <cell r="E984" t="str">
            <v>Mark</v>
          </cell>
          <cell r="F984">
            <v>2019</v>
          </cell>
          <cell r="I984">
            <v>104</v>
          </cell>
          <cell r="J984">
            <v>-41</v>
          </cell>
          <cell r="K984" t="str">
            <v>L</v>
          </cell>
        </row>
        <row r="985">
          <cell r="A985" t="str">
            <v>2019Mark9</v>
          </cell>
          <cell r="D985" t="str">
            <v>Mark</v>
          </cell>
          <cell r="E985" t="str">
            <v>Russell</v>
          </cell>
          <cell r="F985">
            <v>2019</v>
          </cell>
          <cell r="I985">
            <v>145</v>
          </cell>
          <cell r="J985">
            <v>41</v>
          </cell>
          <cell r="K985" t="str">
            <v>W</v>
          </cell>
        </row>
        <row r="986">
          <cell r="A986" t="str">
            <v>2019Matt9</v>
          </cell>
          <cell r="D986" t="str">
            <v>Matt</v>
          </cell>
          <cell r="E986" t="str">
            <v>Brian</v>
          </cell>
          <cell r="F986">
            <v>2019</v>
          </cell>
          <cell r="I986">
            <v>66</v>
          </cell>
          <cell r="J986">
            <v>-42</v>
          </cell>
          <cell r="K986" t="str">
            <v>L</v>
          </cell>
        </row>
        <row r="987">
          <cell r="A987" t="str">
            <v>2019Brian9</v>
          </cell>
          <cell r="D987" t="str">
            <v>Brian</v>
          </cell>
          <cell r="E987" t="str">
            <v>Matt</v>
          </cell>
          <cell r="F987">
            <v>2019</v>
          </cell>
          <cell r="I987">
            <v>108</v>
          </cell>
          <cell r="J987">
            <v>42</v>
          </cell>
          <cell r="K987" t="str">
            <v>W</v>
          </cell>
        </row>
        <row r="988">
          <cell r="A988" t="str">
            <v>2019Brent9</v>
          </cell>
          <cell r="D988" t="str">
            <v>Brent</v>
          </cell>
          <cell r="E988" t="str">
            <v>Abby</v>
          </cell>
          <cell r="F988">
            <v>2019</v>
          </cell>
          <cell r="I988">
            <v>79</v>
          </cell>
          <cell r="J988">
            <v>-3</v>
          </cell>
          <cell r="K988" t="str">
            <v>L</v>
          </cell>
        </row>
        <row r="989">
          <cell r="A989" t="str">
            <v>2019Abby9</v>
          </cell>
          <cell r="D989" t="str">
            <v>Abby</v>
          </cell>
          <cell r="E989" t="str">
            <v>Brent</v>
          </cell>
          <cell r="F989">
            <v>2019</v>
          </cell>
          <cell r="I989">
            <v>82</v>
          </cell>
          <cell r="J989">
            <v>3</v>
          </cell>
          <cell r="K989" t="str">
            <v>W</v>
          </cell>
        </row>
        <row r="990">
          <cell r="A990" t="str">
            <v>2019David9</v>
          </cell>
          <cell r="D990" t="str">
            <v>David</v>
          </cell>
          <cell r="E990" t="str">
            <v>BR</v>
          </cell>
          <cell r="F990">
            <v>2019</v>
          </cell>
          <cell r="I990">
            <v>81</v>
          </cell>
          <cell r="J990">
            <v>-32</v>
          </cell>
          <cell r="K990" t="str">
            <v>L</v>
          </cell>
        </row>
        <row r="991">
          <cell r="A991" t="str">
            <v>2019BR9</v>
          </cell>
          <cell r="D991" t="str">
            <v>BR</v>
          </cell>
          <cell r="E991" t="str">
            <v>David</v>
          </cell>
          <cell r="F991">
            <v>2019</v>
          </cell>
          <cell r="I991">
            <v>113</v>
          </cell>
          <cell r="J991">
            <v>32</v>
          </cell>
          <cell r="K991" t="str">
            <v>W</v>
          </cell>
        </row>
        <row r="992">
          <cell r="A992" t="str">
            <v>2019Emily9</v>
          </cell>
          <cell r="D992" t="str">
            <v>Emily</v>
          </cell>
          <cell r="E992" t="str">
            <v>Watty</v>
          </cell>
          <cell r="F992">
            <v>2019</v>
          </cell>
          <cell r="I992">
            <v>36</v>
          </cell>
          <cell r="J992">
            <v>-99</v>
          </cell>
          <cell r="K992" t="str">
            <v>L</v>
          </cell>
        </row>
        <row r="993">
          <cell r="A993" t="str">
            <v>2019Watty9</v>
          </cell>
          <cell r="D993" t="str">
            <v>Watty</v>
          </cell>
          <cell r="E993" t="str">
            <v>Emily</v>
          </cell>
          <cell r="F993">
            <v>2019</v>
          </cell>
          <cell r="I993">
            <v>135</v>
          </cell>
          <cell r="J993">
            <v>99</v>
          </cell>
          <cell r="K993" t="str">
            <v>W</v>
          </cell>
        </row>
        <row r="994">
          <cell r="A994" t="str">
            <v>2019BR10</v>
          </cell>
          <cell r="D994" t="str">
            <v>BR</v>
          </cell>
          <cell r="E994" t="str">
            <v>Michael</v>
          </cell>
          <cell r="F994">
            <v>2019</v>
          </cell>
          <cell r="I994">
            <v>74</v>
          </cell>
          <cell r="J994">
            <v>-26</v>
          </cell>
          <cell r="K994" t="str">
            <v>L</v>
          </cell>
        </row>
        <row r="995">
          <cell r="A995" t="str">
            <v>2019Michael10</v>
          </cell>
          <cell r="D995" t="str">
            <v>Michael</v>
          </cell>
          <cell r="E995" t="str">
            <v>BR</v>
          </cell>
          <cell r="F995">
            <v>2019</v>
          </cell>
          <cell r="I995">
            <v>100</v>
          </cell>
          <cell r="J995">
            <v>26</v>
          </cell>
          <cell r="K995" t="str">
            <v>W</v>
          </cell>
        </row>
        <row r="996">
          <cell r="A996" t="str">
            <v>2019Mark10</v>
          </cell>
          <cell r="D996" t="str">
            <v>Mark</v>
          </cell>
          <cell r="E996" t="str">
            <v>David</v>
          </cell>
          <cell r="F996">
            <v>2019</v>
          </cell>
          <cell r="I996">
            <v>100</v>
          </cell>
          <cell r="J996">
            <v>24</v>
          </cell>
          <cell r="K996" t="str">
            <v>W</v>
          </cell>
        </row>
        <row r="997">
          <cell r="A997" t="str">
            <v>2019David10</v>
          </cell>
          <cell r="D997" t="str">
            <v>David</v>
          </cell>
          <cell r="E997" t="str">
            <v>Mark</v>
          </cell>
          <cell r="F997">
            <v>2019</v>
          </cell>
          <cell r="I997">
            <v>76</v>
          </cell>
          <cell r="J997">
            <v>-24</v>
          </cell>
          <cell r="K997" t="str">
            <v>L</v>
          </cell>
        </row>
        <row r="998">
          <cell r="A998" t="str">
            <v>2019Brian10</v>
          </cell>
          <cell r="D998" t="str">
            <v>Brian</v>
          </cell>
          <cell r="E998" t="str">
            <v>Emily</v>
          </cell>
          <cell r="F998">
            <v>2019</v>
          </cell>
          <cell r="I998">
            <v>80</v>
          </cell>
          <cell r="J998">
            <v>12</v>
          </cell>
          <cell r="K998" t="str">
            <v>W</v>
          </cell>
        </row>
        <row r="999">
          <cell r="A999" t="str">
            <v>2019Emily10</v>
          </cell>
          <cell r="D999" t="str">
            <v>Emily</v>
          </cell>
          <cell r="E999" t="str">
            <v>Brian</v>
          </cell>
          <cell r="F999">
            <v>2019</v>
          </cell>
          <cell r="I999">
            <v>68</v>
          </cell>
          <cell r="J999">
            <v>-12</v>
          </cell>
          <cell r="K999" t="str">
            <v>L</v>
          </cell>
        </row>
        <row r="1000">
          <cell r="A1000" t="str">
            <v>2019Abby10</v>
          </cell>
          <cell r="D1000" t="str">
            <v>Abby</v>
          </cell>
          <cell r="E1000" t="str">
            <v>Russell</v>
          </cell>
          <cell r="F1000">
            <v>2019</v>
          </cell>
          <cell r="I1000">
            <v>78</v>
          </cell>
          <cell r="J1000">
            <v>-8</v>
          </cell>
          <cell r="K1000" t="str">
            <v>L</v>
          </cell>
        </row>
        <row r="1001">
          <cell r="A1001" t="str">
            <v>2019Russell10</v>
          </cell>
          <cell r="D1001" t="str">
            <v>Russell</v>
          </cell>
          <cell r="E1001" t="str">
            <v>Abby</v>
          </cell>
          <cell r="F1001">
            <v>2019</v>
          </cell>
          <cell r="I1001">
            <v>86</v>
          </cell>
          <cell r="J1001">
            <v>8</v>
          </cell>
          <cell r="K1001" t="str">
            <v>W</v>
          </cell>
        </row>
        <row r="1002">
          <cell r="A1002" t="str">
            <v>2019Charles10</v>
          </cell>
          <cell r="D1002" t="str">
            <v>Charles</v>
          </cell>
          <cell r="E1002" t="str">
            <v>Matt</v>
          </cell>
          <cell r="F1002">
            <v>2019</v>
          </cell>
          <cell r="I1002">
            <v>86</v>
          </cell>
          <cell r="J1002">
            <v>-27</v>
          </cell>
          <cell r="K1002" t="str">
            <v>L</v>
          </cell>
        </row>
        <row r="1003">
          <cell r="A1003" t="str">
            <v>2019Matt10</v>
          </cell>
          <cell r="D1003" t="str">
            <v>Matt</v>
          </cell>
          <cell r="E1003" t="str">
            <v>Charles</v>
          </cell>
          <cell r="F1003">
            <v>2019</v>
          </cell>
          <cell r="I1003">
            <v>113</v>
          </cell>
          <cell r="J1003">
            <v>27</v>
          </cell>
          <cell r="K1003" t="str">
            <v>W</v>
          </cell>
        </row>
        <row r="1004">
          <cell r="A1004" t="str">
            <v>2019Watty10</v>
          </cell>
          <cell r="D1004" t="str">
            <v>Watty</v>
          </cell>
          <cell r="E1004" t="str">
            <v>Brent</v>
          </cell>
          <cell r="F1004">
            <v>2019</v>
          </cell>
          <cell r="I1004">
            <v>95</v>
          </cell>
          <cell r="J1004">
            <v>18</v>
          </cell>
          <cell r="K1004" t="str">
            <v>W</v>
          </cell>
        </row>
        <row r="1005">
          <cell r="A1005" t="str">
            <v>2019Brent10</v>
          </cell>
          <cell r="D1005" t="str">
            <v>Brent</v>
          </cell>
          <cell r="E1005" t="str">
            <v>Watty</v>
          </cell>
          <cell r="F1005">
            <v>2019</v>
          </cell>
          <cell r="I1005">
            <v>77</v>
          </cell>
          <cell r="J1005">
            <v>-18</v>
          </cell>
          <cell r="K1005" t="str">
            <v>L</v>
          </cell>
        </row>
        <row r="1006">
          <cell r="A1006" t="str">
            <v>2019Michael11</v>
          </cell>
          <cell r="D1006" t="str">
            <v>Michael</v>
          </cell>
          <cell r="E1006" t="str">
            <v>Mark</v>
          </cell>
          <cell r="F1006">
            <v>2019</v>
          </cell>
          <cell r="I1006">
            <v>91</v>
          </cell>
          <cell r="J1006">
            <v>19</v>
          </cell>
          <cell r="K1006" t="str">
            <v>W</v>
          </cell>
        </row>
        <row r="1007">
          <cell r="A1007" t="str">
            <v>2019Mark11</v>
          </cell>
          <cell r="D1007" t="str">
            <v>Mark</v>
          </cell>
          <cell r="E1007" t="str">
            <v>Michael</v>
          </cell>
          <cell r="F1007">
            <v>2019</v>
          </cell>
          <cell r="I1007">
            <v>72</v>
          </cell>
          <cell r="J1007">
            <v>-19</v>
          </cell>
          <cell r="K1007" t="str">
            <v>L</v>
          </cell>
        </row>
        <row r="1008">
          <cell r="A1008" t="str">
            <v>2019Matt11</v>
          </cell>
          <cell r="D1008" t="str">
            <v>Matt</v>
          </cell>
          <cell r="E1008" t="str">
            <v>BR</v>
          </cell>
          <cell r="F1008">
            <v>2019</v>
          </cell>
          <cell r="I1008">
            <v>83</v>
          </cell>
          <cell r="J1008">
            <v>-28</v>
          </cell>
          <cell r="K1008" t="str">
            <v>L</v>
          </cell>
        </row>
        <row r="1009">
          <cell r="A1009" t="str">
            <v>2019BR11</v>
          </cell>
          <cell r="D1009" t="str">
            <v>BR</v>
          </cell>
          <cell r="E1009" t="str">
            <v>Matt</v>
          </cell>
          <cell r="F1009">
            <v>2019</v>
          </cell>
          <cell r="I1009">
            <v>111</v>
          </cell>
          <cell r="J1009">
            <v>28</v>
          </cell>
          <cell r="K1009" t="str">
            <v>W</v>
          </cell>
        </row>
        <row r="1010">
          <cell r="A1010" t="str">
            <v>2019Brent11</v>
          </cell>
          <cell r="D1010" t="str">
            <v>Brent</v>
          </cell>
          <cell r="E1010" t="str">
            <v>Brian</v>
          </cell>
          <cell r="F1010">
            <v>2019</v>
          </cell>
          <cell r="I1010">
            <v>69</v>
          </cell>
          <cell r="J1010">
            <v>10</v>
          </cell>
          <cell r="K1010" t="str">
            <v>W</v>
          </cell>
        </row>
        <row r="1011">
          <cell r="A1011" t="str">
            <v>2019Brian11</v>
          </cell>
          <cell r="D1011" t="str">
            <v>Brian</v>
          </cell>
          <cell r="E1011" t="str">
            <v>Brent</v>
          </cell>
          <cell r="F1011">
            <v>2019</v>
          </cell>
          <cell r="I1011">
            <v>59</v>
          </cell>
          <cell r="J1011">
            <v>-10</v>
          </cell>
          <cell r="K1011" t="str">
            <v>L</v>
          </cell>
        </row>
        <row r="1012">
          <cell r="A1012" t="str">
            <v>2019David11</v>
          </cell>
          <cell r="D1012" t="str">
            <v>David</v>
          </cell>
          <cell r="E1012" t="str">
            <v>Abby</v>
          </cell>
          <cell r="F1012">
            <v>2019</v>
          </cell>
          <cell r="I1012">
            <v>95</v>
          </cell>
          <cell r="J1012">
            <v>18</v>
          </cell>
          <cell r="K1012" t="str">
            <v>W</v>
          </cell>
        </row>
        <row r="1013">
          <cell r="A1013" t="str">
            <v>2019Abby11</v>
          </cell>
          <cell r="D1013" t="str">
            <v>Abby</v>
          </cell>
          <cell r="E1013" t="str">
            <v>David</v>
          </cell>
          <cell r="F1013">
            <v>2019</v>
          </cell>
          <cell r="I1013">
            <v>77</v>
          </cell>
          <cell r="J1013">
            <v>-18</v>
          </cell>
          <cell r="K1013" t="str">
            <v>L</v>
          </cell>
        </row>
        <row r="1014">
          <cell r="A1014" t="str">
            <v>2019Emily11</v>
          </cell>
          <cell r="D1014" t="str">
            <v>Emily</v>
          </cell>
          <cell r="E1014" t="str">
            <v>Charles</v>
          </cell>
          <cell r="F1014">
            <v>2019</v>
          </cell>
          <cell r="I1014">
            <v>72</v>
          </cell>
          <cell r="J1014">
            <v>-20</v>
          </cell>
          <cell r="K1014" t="str">
            <v>L</v>
          </cell>
        </row>
        <row r="1015">
          <cell r="A1015" t="str">
            <v>2019Charles11</v>
          </cell>
          <cell r="D1015" t="str">
            <v>Charles</v>
          </cell>
          <cell r="E1015" t="str">
            <v>Emily</v>
          </cell>
          <cell r="F1015">
            <v>2019</v>
          </cell>
          <cell r="I1015">
            <v>92</v>
          </cell>
          <cell r="J1015">
            <v>20</v>
          </cell>
          <cell r="K1015" t="str">
            <v>W</v>
          </cell>
        </row>
        <row r="1016">
          <cell r="A1016" t="str">
            <v>2019Russell11</v>
          </cell>
          <cell r="D1016" t="str">
            <v>Russell</v>
          </cell>
          <cell r="E1016" t="str">
            <v>Watty</v>
          </cell>
          <cell r="F1016">
            <v>2019</v>
          </cell>
          <cell r="I1016">
            <v>115</v>
          </cell>
          <cell r="J1016">
            <v>37</v>
          </cell>
          <cell r="K1016" t="str">
            <v>W</v>
          </cell>
        </row>
        <row r="1017">
          <cell r="A1017" t="str">
            <v>2019Watty11</v>
          </cell>
          <cell r="D1017" t="str">
            <v>Watty</v>
          </cell>
          <cell r="E1017" t="str">
            <v>Russell</v>
          </cell>
          <cell r="F1017">
            <v>2019</v>
          </cell>
          <cell r="I1017">
            <v>78</v>
          </cell>
          <cell r="J1017">
            <v>-37</v>
          </cell>
          <cell r="K1017" t="str">
            <v>L</v>
          </cell>
        </row>
        <row r="1018">
          <cell r="A1018" t="str">
            <v>2019Charles12</v>
          </cell>
          <cell r="D1018" t="str">
            <v>Charles</v>
          </cell>
          <cell r="E1018" t="str">
            <v>Michael</v>
          </cell>
          <cell r="F1018">
            <v>2019</v>
          </cell>
          <cell r="I1018">
            <v>107</v>
          </cell>
          <cell r="J1018">
            <v>-17</v>
          </cell>
          <cell r="K1018" t="str">
            <v>L</v>
          </cell>
        </row>
        <row r="1019">
          <cell r="A1019" t="str">
            <v>2019Michael12</v>
          </cell>
          <cell r="D1019" t="str">
            <v>Michael</v>
          </cell>
          <cell r="E1019" t="str">
            <v>Charles</v>
          </cell>
          <cell r="F1019">
            <v>2019</v>
          </cell>
          <cell r="I1019">
            <v>124</v>
          </cell>
          <cell r="J1019">
            <v>17</v>
          </cell>
          <cell r="K1019" t="str">
            <v>W</v>
          </cell>
        </row>
        <row r="1020">
          <cell r="A1020" t="str">
            <v>2019Russell12</v>
          </cell>
          <cell r="D1020" t="str">
            <v>Russell</v>
          </cell>
          <cell r="E1020" t="str">
            <v>David</v>
          </cell>
          <cell r="F1020">
            <v>2019</v>
          </cell>
          <cell r="I1020">
            <v>86</v>
          </cell>
          <cell r="J1020">
            <v>-1</v>
          </cell>
          <cell r="K1020" t="str">
            <v>L</v>
          </cell>
        </row>
        <row r="1021">
          <cell r="A1021" t="str">
            <v>2019David12</v>
          </cell>
          <cell r="D1021" t="str">
            <v>David</v>
          </cell>
          <cell r="E1021" t="str">
            <v>Russell</v>
          </cell>
          <cell r="F1021">
            <v>2019</v>
          </cell>
          <cell r="I1021">
            <v>87</v>
          </cell>
          <cell r="J1021">
            <v>1</v>
          </cell>
          <cell r="K1021" t="str">
            <v>W</v>
          </cell>
        </row>
        <row r="1022">
          <cell r="A1022" t="str">
            <v>2019Mark12</v>
          </cell>
          <cell r="D1022" t="str">
            <v>Mark</v>
          </cell>
          <cell r="E1022" t="str">
            <v>Brian</v>
          </cell>
          <cell r="F1022">
            <v>2019</v>
          </cell>
          <cell r="I1022">
            <v>73</v>
          </cell>
          <cell r="J1022">
            <v>-31</v>
          </cell>
          <cell r="K1022" t="str">
            <v>L</v>
          </cell>
        </row>
        <row r="1023">
          <cell r="A1023" t="str">
            <v>2019Brian12</v>
          </cell>
          <cell r="D1023" t="str">
            <v>Brian</v>
          </cell>
          <cell r="E1023" t="str">
            <v>Mark</v>
          </cell>
          <cell r="F1023">
            <v>2019</v>
          </cell>
          <cell r="I1023">
            <v>104</v>
          </cell>
          <cell r="J1023">
            <v>31</v>
          </cell>
          <cell r="K1023" t="str">
            <v>W</v>
          </cell>
        </row>
        <row r="1024">
          <cell r="A1024" t="str">
            <v>2019BR12</v>
          </cell>
          <cell r="D1024" t="str">
            <v>BR</v>
          </cell>
          <cell r="E1024" t="str">
            <v>Watty</v>
          </cell>
          <cell r="F1024">
            <v>2019</v>
          </cell>
          <cell r="I1024">
            <v>72</v>
          </cell>
          <cell r="J1024">
            <v>12</v>
          </cell>
          <cell r="K1024" t="str">
            <v>W</v>
          </cell>
        </row>
        <row r="1025">
          <cell r="A1025" t="str">
            <v>2019Watty12</v>
          </cell>
          <cell r="D1025" t="str">
            <v>Watty</v>
          </cell>
          <cell r="E1025" t="str">
            <v>BR</v>
          </cell>
          <cell r="F1025">
            <v>2019</v>
          </cell>
          <cell r="I1025">
            <v>60</v>
          </cell>
          <cell r="J1025">
            <v>-12</v>
          </cell>
          <cell r="K1025" t="str">
            <v>L</v>
          </cell>
        </row>
        <row r="1026">
          <cell r="A1026" t="str">
            <v>2019Brent12</v>
          </cell>
          <cell r="D1026" t="str">
            <v>Brent</v>
          </cell>
          <cell r="E1026" t="str">
            <v>Matt</v>
          </cell>
          <cell r="F1026">
            <v>2019</v>
          </cell>
          <cell r="I1026">
            <v>90</v>
          </cell>
          <cell r="J1026">
            <v>-20</v>
          </cell>
          <cell r="K1026" t="str">
            <v>L</v>
          </cell>
        </row>
        <row r="1027">
          <cell r="A1027" t="str">
            <v>2019Matt12</v>
          </cell>
          <cell r="D1027" t="str">
            <v>Matt</v>
          </cell>
          <cell r="E1027" t="str">
            <v>Brent</v>
          </cell>
          <cell r="F1027">
            <v>2019</v>
          </cell>
          <cell r="I1027">
            <v>110</v>
          </cell>
          <cell r="J1027">
            <v>20</v>
          </cell>
          <cell r="K1027" t="str">
            <v>W</v>
          </cell>
        </row>
        <row r="1028">
          <cell r="A1028" t="str">
            <v>2019Emily12</v>
          </cell>
          <cell r="D1028" t="str">
            <v>Emily</v>
          </cell>
          <cell r="E1028" t="str">
            <v>Abby</v>
          </cell>
          <cell r="F1028">
            <v>2019</v>
          </cell>
          <cell r="I1028">
            <v>68</v>
          </cell>
          <cell r="J1028">
            <v>12</v>
          </cell>
          <cell r="K1028" t="str">
            <v>W</v>
          </cell>
        </row>
        <row r="1029">
          <cell r="A1029" t="str">
            <v>2019Abby12</v>
          </cell>
          <cell r="D1029" t="str">
            <v>Abby</v>
          </cell>
          <cell r="E1029" t="str">
            <v>Emily</v>
          </cell>
          <cell r="F1029">
            <v>2019</v>
          </cell>
          <cell r="I1029">
            <v>56</v>
          </cell>
          <cell r="J1029">
            <v>-12</v>
          </cell>
          <cell r="K1029" t="str">
            <v>L</v>
          </cell>
        </row>
        <row r="1030">
          <cell r="A1030" t="str">
            <v>2019Watty13</v>
          </cell>
          <cell r="D1030" t="str">
            <v>Watty</v>
          </cell>
          <cell r="E1030" t="str">
            <v>Michael</v>
          </cell>
          <cell r="F1030">
            <v>2019</v>
          </cell>
          <cell r="I1030">
            <v>62</v>
          </cell>
          <cell r="J1030">
            <v>-14</v>
          </cell>
          <cell r="K1030" t="str">
            <v>L</v>
          </cell>
        </row>
        <row r="1031">
          <cell r="A1031" t="str">
            <v>2019Michael13</v>
          </cell>
          <cell r="D1031" t="str">
            <v>Michael</v>
          </cell>
          <cell r="E1031" t="str">
            <v>Watty</v>
          </cell>
          <cell r="F1031">
            <v>2019</v>
          </cell>
          <cell r="I1031">
            <v>76</v>
          </cell>
          <cell r="J1031">
            <v>14</v>
          </cell>
          <cell r="K1031" t="str">
            <v>W</v>
          </cell>
        </row>
        <row r="1032">
          <cell r="A1032" t="str">
            <v>2019Matt13</v>
          </cell>
          <cell r="D1032" t="str">
            <v>Matt</v>
          </cell>
          <cell r="E1032" t="str">
            <v>Abby</v>
          </cell>
          <cell r="F1032">
            <v>2019</v>
          </cell>
          <cell r="I1032">
            <v>94</v>
          </cell>
          <cell r="J1032">
            <v>16</v>
          </cell>
          <cell r="K1032" t="str">
            <v>W</v>
          </cell>
        </row>
        <row r="1033">
          <cell r="A1033" t="str">
            <v>2019Abby13</v>
          </cell>
          <cell r="D1033" t="str">
            <v>Abby</v>
          </cell>
          <cell r="E1033" t="str">
            <v>Matt</v>
          </cell>
          <cell r="F1033">
            <v>2019</v>
          </cell>
          <cell r="I1033">
            <v>78</v>
          </cell>
          <cell r="J1033">
            <v>-16</v>
          </cell>
          <cell r="K1033" t="str">
            <v>L</v>
          </cell>
        </row>
        <row r="1034">
          <cell r="A1034" t="str">
            <v>2019Emily13</v>
          </cell>
          <cell r="D1034" t="str">
            <v>Emily</v>
          </cell>
          <cell r="E1034" t="str">
            <v>Russell</v>
          </cell>
          <cell r="F1034">
            <v>2019</v>
          </cell>
          <cell r="I1034">
            <v>95</v>
          </cell>
          <cell r="J1034">
            <v>14</v>
          </cell>
          <cell r="K1034" t="str">
            <v>W</v>
          </cell>
        </row>
        <row r="1035">
          <cell r="A1035" t="str">
            <v>2019Russell13</v>
          </cell>
          <cell r="D1035" t="str">
            <v>Russell</v>
          </cell>
          <cell r="E1035" t="str">
            <v>Emily</v>
          </cell>
          <cell r="F1035">
            <v>2019</v>
          </cell>
          <cell r="I1035">
            <v>81</v>
          </cell>
          <cell r="J1035">
            <v>-14</v>
          </cell>
          <cell r="K1035" t="str">
            <v>L</v>
          </cell>
        </row>
        <row r="1036">
          <cell r="A1036" t="str">
            <v>2019Charles13</v>
          </cell>
          <cell r="D1036" t="str">
            <v>Charles</v>
          </cell>
          <cell r="E1036" t="str">
            <v>BR</v>
          </cell>
          <cell r="F1036">
            <v>2019</v>
          </cell>
          <cell r="I1036">
            <v>75</v>
          </cell>
          <cell r="J1036">
            <v>-8</v>
          </cell>
          <cell r="K1036" t="str">
            <v>L</v>
          </cell>
        </row>
        <row r="1037">
          <cell r="A1037" t="str">
            <v>2019BR13</v>
          </cell>
          <cell r="D1037" t="str">
            <v>BR</v>
          </cell>
          <cell r="E1037" t="str">
            <v>Charles</v>
          </cell>
          <cell r="F1037">
            <v>2019</v>
          </cell>
          <cell r="I1037">
            <v>83</v>
          </cell>
          <cell r="J1037">
            <v>8</v>
          </cell>
          <cell r="K1037" t="str">
            <v>W</v>
          </cell>
        </row>
        <row r="1038">
          <cell r="A1038" t="str">
            <v>2019Mark13</v>
          </cell>
          <cell r="D1038" t="str">
            <v>Mark</v>
          </cell>
          <cell r="E1038" t="str">
            <v>Brent</v>
          </cell>
          <cell r="F1038">
            <v>2019</v>
          </cell>
          <cell r="I1038">
            <v>77</v>
          </cell>
          <cell r="J1038">
            <v>-32</v>
          </cell>
          <cell r="K1038" t="str">
            <v>L</v>
          </cell>
        </row>
        <row r="1039">
          <cell r="A1039" t="str">
            <v>2019Brent13</v>
          </cell>
          <cell r="D1039" t="str">
            <v>Brent</v>
          </cell>
          <cell r="E1039" t="str">
            <v>Mark</v>
          </cell>
          <cell r="F1039">
            <v>2019</v>
          </cell>
          <cell r="I1039">
            <v>109</v>
          </cell>
          <cell r="J1039">
            <v>32</v>
          </cell>
          <cell r="K1039" t="str">
            <v>W</v>
          </cell>
        </row>
        <row r="1040">
          <cell r="A1040" t="str">
            <v>2019Brian13</v>
          </cell>
          <cell r="D1040" t="str">
            <v>Brian</v>
          </cell>
          <cell r="E1040" t="str">
            <v>David</v>
          </cell>
          <cell r="F1040">
            <v>2019</v>
          </cell>
          <cell r="I1040">
            <v>90</v>
          </cell>
          <cell r="J1040">
            <v>7</v>
          </cell>
          <cell r="K1040" t="str">
            <v>W</v>
          </cell>
        </row>
        <row r="1041">
          <cell r="A1041" t="str">
            <v>2019David13</v>
          </cell>
          <cell r="D1041" t="str">
            <v>David</v>
          </cell>
          <cell r="E1041" t="str">
            <v>Brian</v>
          </cell>
          <cell r="F1041">
            <v>2019</v>
          </cell>
          <cell r="I1041">
            <v>83</v>
          </cell>
          <cell r="J1041">
            <v>-7</v>
          </cell>
          <cell r="K1041" t="str">
            <v>L</v>
          </cell>
        </row>
        <row r="1042">
          <cell r="A1042" t="str">
            <v>2020Michael1</v>
          </cell>
          <cell r="D1042" t="str">
            <v>Michael</v>
          </cell>
          <cell r="E1042" t="str">
            <v>Matt</v>
          </cell>
          <cell r="F1042">
            <v>2020</v>
          </cell>
          <cell r="I1042">
            <v>91</v>
          </cell>
          <cell r="J1042">
            <v>11</v>
          </cell>
          <cell r="K1042" t="str">
            <v>W</v>
          </cell>
        </row>
        <row r="1043">
          <cell r="A1043" t="str">
            <v>2020Matt1</v>
          </cell>
          <cell r="D1043" t="str">
            <v>Matt</v>
          </cell>
          <cell r="E1043" t="str">
            <v>Michael</v>
          </cell>
          <cell r="F1043">
            <v>2020</v>
          </cell>
          <cell r="I1043">
            <v>80</v>
          </cell>
          <cell r="J1043">
            <v>-11</v>
          </cell>
          <cell r="K1043" t="str">
            <v>L</v>
          </cell>
        </row>
        <row r="1044">
          <cell r="A1044" t="str">
            <v>2020Emily1</v>
          </cell>
          <cell r="D1044" t="str">
            <v>Emily</v>
          </cell>
          <cell r="E1044" t="str">
            <v>David</v>
          </cell>
          <cell r="F1044">
            <v>2020</v>
          </cell>
          <cell r="I1044">
            <v>80</v>
          </cell>
          <cell r="J1044">
            <v>-32</v>
          </cell>
          <cell r="K1044" t="str">
            <v>L</v>
          </cell>
        </row>
        <row r="1045">
          <cell r="A1045" t="str">
            <v>2020David1</v>
          </cell>
          <cell r="D1045" t="str">
            <v>David</v>
          </cell>
          <cell r="E1045" t="str">
            <v>Emily</v>
          </cell>
          <cell r="F1045">
            <v>2020</v>
          </cell>
          <cell r="I1045">
            <v>112</v>
          </cell>
          <cell r="J1045">
            <v>32</v>
          </cell>
          <cell r="K1045" t="str">
            <v>W</v>
          </cell>
        </row>
        <row r="1046">
          <cell r="A1046" t="str">
            <v>2020Brent1</v>
          </cell>
          <cell r="D1046" t="str">
            <v>Brent</v>
          </cell>
          <cell r="E1046" t="str">
            <v>Russell</v>
          </cell>
          <cell r="F1046">
            <v>2020</v>
          </cell>
          <cell r="I1046">
            <v>88</v>
          </cell>
          <cell r="J1046">
            <v>-45</v>
          </cell>
          <cell r="K1046" t="str">
            <v>L</v>
          </cell>
        </row>
        <row r="1047">
          <cell r="A1047" t="str">
            <v>2020Russell1</v>
          </cell>
          <cell r="D1047" t="str">
            <v>Russell</v>
          </cell>
          <cell r="E1047" t="str">
            <v>Brent</v>
          </cell>
          <cell r="F1047">
            <v>2020</v>
          </cell>
          <cell r="I1047">
            <v>133</v>
          </cell>
          <cell r="J1047">
            <v>45</v>
          </cell>
          <cell r="K1047" t="str">
            <v>W</v>
          </cell>
        </row>
        <row r="1048">
          <cell r="A1048" t="str">
            <v>2020Abby1</v>
          </cell>
          <cell r="D1048" t="str">
            <v>Abby</v>
          </cell>
          <cell r="E1048" t="str">
            <v>Mark</v>
          </cell>
          <cell r="F1048">
            <v>2020</v>
          </cell>
          <cell r="I1048">
            <v>73</v>
          </cell>
          <cell r="J1048">
            <v>25</v>
          </cell>
          <cell r="K1048" t="str">
            <v>W</v>
          </cell>
        </row>
        <row r="1049">
          <cell r="A1049" t="str">
            <v>2020Mark1</v>
          </cell>
          <cell r="D1049" t="str">
            <v>Mark</v>
          </cell>
          <cell r="E1049" t="str">
            <v>Abby</v>
          </cell>
          <cell r="F1049">
            <v>2020</v>
          </cell>
          <cell r="I1049">
            <v>48</v>
          </cell>
          <cell r="J1049">
            <v>-25</v>
          </cell>
          <cell r="K1049" t="str">
            <v>L</v>
          </cell>
        </row>
        <row r="1050">
          <cell r="A1050" t="str">
            <v>2020BR1</v>
          </cell>
          <cell r="D1050" t="str">
            <v>BR</v>
          </cell>
          <cell r="E1050" t="str">
            <v>Watty</v>
          </cell>
          <cell r="F1050">
            <v>2020</v>
          </cell>
          <cell r="I1050">
            <v>107</v>
          </cell>
          <cell r="J1050">
            <v>35</v>
          </cell>
          <cell r="K1050" t="str">
            <v>W</v>
          </cell>
        </row>
        <row r="1051">
          <cell r="A1051" t="str">
            <v>2020Watty1</v>
          </cell>
          <cell r="D1051" t="str">
            <v>Watty</v>
          </cell>
          <cell r="E1051" t="str">
            <v>BR</v>
          </cell>
          <cell r="F1051">
            <v>2020</v>
          </cell>
          <cell r="I1051">
            <v>72</v>
          </cell>
          <cell r="J1051">
            <v>-35</v>
          </cell>
          <cell r="K1051" t="str">
            <v>L</v>
          </cell>
        </row>
        <row r="1052">
          <cell r="A1052" t="str">
            <v>2020Charles1</v>
          </cell>
          <cell r="D1052" t="str">
            <v>Charles</v>
          </cell>
          <cell r="E1052" t="str">
            <v>Brian</v>
          </cell>
          <cell r="F1052">
            <v>2020</v>
          </cell>
          <cell r="I1052">
            <v>93</v>
          </cell>
          <cell r="J1052">
            <v>-1</v>
          </cell>
          <cell r="K1052" t="str">
            <v>L</v>
          </cell>
        </row>
        <row r="1053">
          <cell r="A1053" t="str">
            <v>2020Brian1</v>
          </cell>
          <cell r="D1053" t="str">
            <v>Brian</v>
          </cell>
          <cell r="E1053" t="str">
            <v>Charles</v>
          </cell>
          <cell r="F1053">
            <v>2020</v>
          </cell>
          <cell r="I1053">
            <v>94</v>
          </cell>
          <cell r="J1053">
            <v>1</v>
          </cell>
          <cell r="K1053" t="str">
            <v>W</v>
          </cell>
        </row>
        <row r="1054">
          <cell r="A1054" t="str">
            <v>2020Emily2</v>
          </cell>
          <cell r="D1054" t="str">
            <v>Emily</v>
          </cell>
          <cell r="E1054" t="str">
            <v>Michael</v>
          </cell>
          <cell r="F1054">
            <v>2020</v>
          </cell>
          <cell r="I1054">
            <v>95</v>
          </cell>
          <cell r="J1054">
            <v>-10</v>
          </cell>
          <cell r="K1054" t="str">
            <v>L</v>
          </cell>
        </row>
        <row r="1055">
          <cell r="A1055" t="str">
            <v>2020Michael2</v>
          </cell>
          <cell r="D1055" t="str">
            <v>Michael</v>
          </cell>
          <cell r="E1055" t="str">
            <v>Emily</v>
          </cell>
          <cell r="F1055">
            <v>2020</v>
          </cell>
          <cell r="I1055">
            <v>105</v>
          </cell>
          <cell r="J1055">
            <v>10</v>
          </cell>
          <cell r="K1055" t="str">
            <v>W</v>
          </cell>
        </row>
        <row r="1056">
          <cell r="A1056" t="str">
            <v>2020Matt2</v>
          </cell>
          <cell r="D1056" t="str">
            <v>Matt</v>
          </cell>
          <cell r="E1056" t="str">
            <v>Brent</v>
          </cell>
          <cell r="F1056">
            <v>2020</v>
          </cell>
          <cell r="I1056">
            <v>76</v>
          </cell>
          <cell r="J1056">
            <v>-41</v>
          </cell>
          <cell r="K1056" t="str">
            <v>L</v>
          </cell>
        </row>
        <row r="1057">
          <cell r="A1057" t="str">
            <v>2020Brent2</v>
          </cell>
          <cell r="D1057" t="str">
            <v>Brent</v>
          </cell>
          <cell r="E1057" t="str">
            <v>Matt</v>
          </cell>
          <cell r="F1057">
            <v>2020</v>
          </cell>
          <cell r="I1057">
            <v>117</v>
          </cell>
          <cell r="J1057">
            <v>41</v>
          </cell>
          <cell r="K1057" t="str">
            <v>W</v>
          </cell>
        </row>
        <row r="1058">
          <cell r="A1058" t="str">
            <v>2020David2</v>
          </cell>
          <cell r="D1058" t="str">
            <v>David</v>
          </cell>
          <cell r="E1058" t="str">
            <v>Russell</v>
          </cell>
          <cell r="F1058">
            <v>2020</v>
          </cell>
          <cell r="I1058">
            <v>76</v>
          </cell>
          <cell r="J1058">
            <v>-37</v>
          </cell>
          <cell r="K1058" t="str">
            <v>L</v>
          </cell>
        </row>
        <row r="1059">
          <cell r="A1059" t="str">
            <v>2020Russell2</v>
          </cell>
          <cell r="D1059" t="str">
            <v>Russell</v>
          </cell>
          <cell r="E1059" t="str">
            <v>David</v>
          </cell>
          <cell r="F1059">
            <v>2020</v>
          </cell>
          <cell r="I1059">
            <v>113</v>
          </cell>
          <cell r="J1059">
            <v>37</v>
          </cell>
          <cell r="K1059" t="str">
            <v>W</v>
          </cell>
        </row>
        <row r="1060">
          <cell r="A1060" t="str">
            <v>2020BR2</v>
          </cell>
          <cell r="D1060" t="str">
            <v>BR</v>
          </cell>
          <cell r="E1060" t="str">
            <v>Abby</v>
          </cell>
          <cell r="F1060">
            <v>2020</v>
          </cell>
          <cell r="I1060">
            <v>101</v>
          </cell>
          <cell r="J1060">
            <v>55</v>
          </cell>
          <cell r="K1060" t="str">
            <v>W</v>
          </cell>
        </row>
        <row r="1061">
          <cell r="A1061" t="str">
            <v>2020Abby2</v>
          </cell>
          <cell r="D1061" t="str">
            <v>Abby</v>
          </cell>
          <cell r="E1061" t="str">
            <v>BR</v>
          </cell>
          <cell r="F1061">
            <v>2020</v>
          </cell>
          <cell r="I1061">
            <v>46</v>
          </cell>
          <cell r="J1061">
            <v>-55</v>
          </cell>
          <cell r="K1061" t="str">
            <v>L</v>
          </cell>
        </row>
        <row r="1062">
          <cell r="A1062" t="str">
            <v>2020Mark2</v>
          </cell>
          <cell r="D1062" t="str">
            <v>Mark</v>
          </cell>
          <cell r="E1062" t="str">
            <v>Charles</v>
          </cell>
          <cell r="F1062">
            <v>2020</v>
          </cell>
          <cell r="I1062">
            <v>82</v>
          </cell>
          <cell r="J1062">
            <v>-81</v>
          </cell>
          <cell r="K1062" t="str">
            <v>L</v>
          </cell>
        </row>
        <row r="1063">
          <cell r="A1063" t="str">
            <v>2020Charles2</v>
          </cell>
          <cell r="D1063" t="str">
            <v>Charles</v>
          </cell>
          <cell r="E1063" t="str">
            <v>Mark</v>
          </cell>
          <cell r="F1063">
            <v>2020</v>
          </cell>
          <cell r="I1063">
            <v>163</v>
          </cell>
          <cell r="J1063">
            <v>81</v>
          </cell>
          <cell r="K1063" t="str">
            <v>W</v>
          </cell>
        </row>
        <row r="1064">
          <cell r="A1064" t="str">
            <v>2020Watty2</v>
          </cell>
          <cell r="D1064" t="str">
            <v>Watty</v>
          </cell>
          <cell r="E1064" t="str">
            <v>Brian</v>
          </cell>
          <cell r="F1064">
            <v>2020</v>
          </cell>
          <cell r="I1064">
            <v>118</v>
          </cell>
          <cell r="J1064">
            <v>59</v>
          </cell>
          <cell r="K1064" t="str">
            <v>W</v>
          </cell>
        </row>
        <row r="1065">
          <cell r="A1065" t="str">
            <v>2020Brian2</v>
          </cell>
          <cell r="D1065" t="str">
            <v>Brian</v>
          </cell>
          <cell r="E1065" t="str">
            <v>Watty</v>
          </cell>
          <cell r="F1065">
            <v>2020</v>
          </cell>
          <cell r="I1065">
            <v>59</v>
          </cell>
          <cell r="J1065">
            <v>-59</v>
          </cell>
          <cell r="K1065" t="str">
            <v>L</v>
          </cell>
        </row>
        <row r="1066">
          <cell r="A1066" t="str">
            <v>2020Michael3</v>
          </cell>
          <cell r="D1066" t="str">
            <v>Michael</v>
          </cell>
          <cell r="E1066" t="str">
            <v>Brent</v>
          </cell>
          <cell r="F1066">
            <v>2020</v>
          </cell>
          <cell r="I1066">
            <v>98</v>
          </cell>
          <cell r="J1066">
            <v>-1</v>
          </cell>
          <cell r="K1066" t="str">
            <v>L</v>
          </cell>
        </row>
        <row r="1067">
          <cell r="A1067" t="str">
            <v>2020Brent3</v>
          </cell>
          <cell r="D1067" t="str">
            <v>Brent</v>
          </cell>
          <cell r="E1067" t="str">
            <v>Michael</v>
          </cell>
          <cell r="F1067">
            <v>2020</v>
          </cell>
          <cell r="I1067">
            <v>99</v>
          </cell>
          <cell r="J1067">
            <v>1</v>
          </cell>
          <cell r="K1067" t="str">
            <v>W</v>
          </cell>
        </row>
        <row r="1068">
          <cell r="A1068" t="str">
            <v>2020Russell3</v>
          </cell>
          <cell r="D1068" t="str">
            <v>Russell</v>
          </cell>
          <cell r="E1068" t="str">
            <v>Emily</v>
          </cell>
          <cell r="F1068">
            <v>2020</v>
          </cell>
          <cell r="I1068">
            <v>95</v>
          </cell>
          <cell r="J1068">
            <v>-26</v>
          </cell>
          <cell r="K1068" t="str">
            <v>L</v>
          </cell>
        </row>
        <row r="1069">
          <cell r="A1069" t="str">
            <v>2020Emily3</v>
          </cell>
          <cell r="D1069" t="str">
            <v>Emily</v>
          </cell>
          <cell r="E1069" t="str">
            <v>Russell</v>
          </cell>
          <cell r="F1069">
            <v>2020</v>
          </cell>
          <cell r="I1069">
            <v>121</v>
          </cell>
          <cell r="J1069">
            <v>26</v>
          </cell>
          <cell r="K1069" t="str">
            <v>W</v>
          </cell>
        </row>
        <row r="1070">
          <cell r="A1070" t="str">
            <v>2020David3</v>
          </cell>
          <cell r="D1070" t="str">
            <v>David</v>
          </cell>
          <cell r="E1070" t="str">
            <v>Matt</v>
          </cell>
          <cell r="F1070">
            <v>2020</v>
          </cell>
          <cell r="I1070">
            <v>84</v>
          </cell>
          <cell r="J1070">
            <v>-25</v>
          </cell>
          <cell r="K1070" t="str">
            <v>L</v>
          </cell>
        </row>
        <row r="1071">
          <cell r="A1071" t="str">
            <v>2020Matt3</v>
          </cell>
          <cell r="D1071" t="str">
            <v>Matt</v>
          </cell>
          <cell r="E1071" t="str">
            <v>David</v>
          </cell>
          <cell r="F1071">
            <v>2020</v>
          </cell>
          <cell r="I1071">
            <v>109</v>
          </cell>
          <cell r="J1071">
            <v>25</v>
          </cell>
          <cell r="K1071" t="str">
            <v>W</v>
          </cell>
        </row>
        <row r="1072">
          <cell r="A1072" t="str">
            <v>2020Abby3</v>
          </cell>
          <cell r="D1072" t="str">
            <v>Abby</v>
          </cell>
          <cell r="E1072" t="str">
            <v>Charles</v>
          </cell>
          <cell r="F1072">
            <v>2020</v>
          </cell>
          <cell r="I1072">
            <v>56</v>
          </cell>
          <cell r="J1072">
            <v>-93</v>
          </cell>
          <cell r="K1072" t="str">
            <v>L</v>
          </cell>
        </row>
        <row r="1073">
          <cell r="A1073" t="str">
            <v>2020Charles3</v>
          </cell>
          <cell r="D1073" t="str">
            <v>Charles</v>
          </cell>
          <cell r="E1073" t="str">
            <v>Abby</v>
          </cell>
          <cell r="F1073">
            <v>2020</v>
          </cell>
          <cell r="I1073">
            <v>149</v>
          </cell>
          <cell r="J1073">
            <v>93</v>
          </cell>
          <cell r="K1073" t="str">
            <v>W</v>
          </cell>
        </row>
        <row r="1074">
          <cell r="A1074" t="str">
            <v>2020Brian3</v>
          </cell>
          <cell r="D1074" t="str">
            <v>Brian</v>
          </cell>
          <cell r="E1074" t="str">
            <v>BR</v>
          </cell>
          <cell r="F1074">
            <v>2020</v>
          </cell>
          <cell r="I1074">
            <v>72</v>
          </cell>
          <cell r="J1074">
            <v>-26</v>
          </cell>
          <cell r="K1074" t="str">
            <v>L</v>
          </cell>
        </row>
        <row r="1075">
          <cell r="A1075" t="str">
            <v>2020BR3</v>
          </cell>
          <cell r="D1075" t="str">
            <v>BR</v>
          </cell>
          <cell r="E1075" t="str">
            <v>Brian</v>
          </cell>
          <cell r="F1075">
            <v>2020</v>
          </cell>
          <cell r="I1075">
            <v>98</v>
          </cell>
          <cell r="J1075">
            <v>26</v>
          </cell>
          <cell r="K1075" t="str">
            <v>W</v>
          </cell>
        </row>
        <row r="1076">
          <cell r="A1076" t="str">
            <v>2020Watty3</v>
          </cell>
          <cell r="D1076" t="str">
            <v>Watty</v>
          </cell>
          <cell r="E1076" t="str">
            <v>Mark</v>
          </cell>
          <cell r="F1076">
            <v>2020</v>
          </cell>
          <cell r="I1076">
            <v>140</v>
          </cell>
          <cell r="J1076">
            <v>68</v>
          </cell>
          <cell r="K1076" t="str">
            <v>W</v>
          </cell>
        </row>
        <row r="1077">
          <cell r="A1077" t="str">
            <v>2020Mark3</v>
          </cell>
          <cell r="D1077" t="str">
            <v>Mark</v>
          </cell>
          <cell r="E1077" t="str">
            <v>Watty</v>
          </cell>
          <cell r="F1077">
            <v>2020</v>
          </cell>
          <cell r="I1077">
            <v>72</v>
          </cell>
          <cell r="J1077">
            <v>-68</v>
          </cell>
          <cell r="K1077" t="str">
            <v>L</v>
          </cell>
        </row>
        <row r="1078">
          <cell r="A1078" t="str">
            <v>2020Russell4</v>
          </cell>
          <cell r="D1078" t="str">
            <v>Russell</v>
          </cell>
          <cell r="E1078" t="str">
            <v>Michael</v>
          </cell>
          <cell r="F1078">
            <v>2020</v>
          </cell>
          <cell r="I1078">
            <v>102</v>
          </cell>
          <cell r="J1078">
            <v>-6</v>
          </cell>
          <cell r="K1078" t="str">
            <v>L</v>
          </cell>
        </row>
        <row r="1079">
          <cell r="A1079" t="str">
            <v>2020Michael4</v>
          </cell>
          <cell r="D1079" t="str">
            <v>Michael</v>
          </cell>
          <cell r="E1079" t="str">
            <v>Russell</v>
          </cell>
          <cell r="F1079">
            <v>2020</v>
          </cell>
          <cell r="I1079">
            <v>108</v>
          </cell>
          <cell r="J1079">
            <v>6</v>
          </cell>
          <cell r="K1079" t="str">
            <v>W</v>
          </cell>
        </row>
        <row r="1080">
          <cell r="A1080" t="str">
            <v>2020Brent4</v>
          </cell>
          <cell r="D1080" t="str">
            <v>Brent</v>
          </cell>
          <cell r="E1080" t="str">
            <v>David</v>
          </cell>
          <cell r="F1080">
            <v>2020</v>
          </cell>
          <cell r="I1080">
            <v>91</v>
          </cell>
          <cell r="J1080">
            <v>18</v>
          </cell>
          <cell r="K1080" t="str">
            <v>W</v>
          </cell>
        </row>
        <row r="1081">
          <cell r="A1081" t="str">
            <v>2020David4</v>
          </cell>
          <cell r="D1081" t="str">
            <v>David</v>
          </cell>
          <cell r="E1081" t="str">
            <v>Brent</v>
          </cell>
          <cell r="F1081">
            <v>2020</v>
          </cell>
          <cell r="I1081">
            <v>73</v>
          </cell>
          <cell r="J1081">
            <v>-18</v>
          </cell>
          <cell r="K1081" t="str">
            <v>L</v>
          </cell>
        </row>
        <row r="1082">
          <cell r="A1082" t="str">
            <v>2020Emily4</v>
          </cell>
          <cell r="D1082" t="str">
            <v>Emily</v>
          </cell>
          <cell r="E1082" t="str">
            <v>Matt</v>
          </cell>
          <cell r="F1082">
            <v>2020</v>
          </cell>
          <cell r="I1082">
            <v>114</v>
          </cell>
          <cell r="J1082">
            <v>17</v>
          </cell>
          <cell r="K1082" t="str">
            <v>W</v>
          </cell>
        </row>
        <row r="1083">
          <cell r="A1083" t="str">
            <v>2020Matt4</v>
          </cell>
          <cell r="D1083" t="str">
            <v>Matt</v>
          </cell>
          <cell r="E1083" t="str">
            <v>Emily</v>
          </cell>
          <cell r="F1083">
            <v>2020</v>
          </cell>
          <cell r="I1083">
            <v>97</v>
          </cell>
          <cell r="J1083">
            <v>-17</v>
          </cell>
          <cell r="K1083" t="str">
            <v>L</v>
          </cell>
        </row>
        <row r="1084">
          <cell r="A1084" t="str">
            <v>2020Brian4</v>
          </cell>
          <cell r="D1084" t="str">
            <v>Brian</v>
          </cell>
          <cell r="E1084" t="str">
            <v>Abby</v>
          </cell>
          <cell r="F1084">
            <v>2020</v>
          </cell>
          <cell r="I1084">
            <v>107</v>
          </cell>
          <cell r="J1084">
            <v>58</v>
          </cell>
          <cell r="K1084" t="str">
            <v>W</v>
          </cell>
        </row>
        <row r="1085">
          <cell r="A1085" t="str">
            <v>2020Abby4</v>
          </cell>
          <cell r="D1085" t="str">
            <v>Abby</v>
          </cell>
          <cell r="E1085" t="str">
            <v>Brian</v>
          </cell>
          <cell r="F1085">
            <v>2020</v>
          </cell>
          <cell r="I1085">
            <v>49</v>
          </cell>
          <cell r="J1085">
            <v>-58</v>
          </cell>
          <cell r="K1085" t="str">
            <v>L</v>
          </cell>
        </row>
        <row r="1086">
          <cell r="A1086" t="str">
            <v>2020Charles4</v>
          </cell>
          <cell r="D1086" t="str">
            <v>Charles</v>
          </cell>
          <cell r="E1086" t="str">
            <v>Watty</v>
          </cell>
          <cell r="F1086">
            <v>2020</v>
          </cell>
          <cell r="I1086">
            <v>99</v>
          </cell>
          <cell r="J1086">
            <v>38</v>
          </cell>
          <cell r="K1086" t="str">
            <v>W</v>
          </cell>
        </row>
        <row r="1087">
          <cell r="A1087" t="str">
            <v>2020Watty4</v>
          </cell>
          <cell r="D1087" t="str">
            <v>Watty</v>
          </cell>
          <cell r="E1087" t="str">
            <v>Charles</v>
          </cell>
          <cell r="F1087">
            <v>2020</v>
          </cell>
          <cell r="I1087">
            <v>61</v>
          </cell>
          <cell r="J1087">
            <v>-38</v>
          </cell>
          <cell r="K1087" t="str">
            <v>L</v>
          </cell>
        </row>
        <row r="1088">
          <cell r="A1088" t="str">
            <v>2020BR4</v>
          </cell>
          <cell r="D1088" t="str">
            <v>BR</v>
          </cell>
          <cell r="E1088" t="str">
            <v>Mark</v>
          </cell>
          <cell r="F1088">
            <v>2020</v>
          </cell>
          <cell r="I1088">
            <v>64</v>
          </cell>
          <cell r="J1088">
            <v>-25</v>
          </cell>
          <cell r="K1088" t="str">
            <v>L</v>
          </cell>
        </row>
        <row r="1089">
          <cell r="A1089" t="str">
            <v>2020Mark4</v>
          </cell>
          <cell r="D1089" t="str">
            <v>Mark</v>
          </cell>
          <cell r="E1089" t="str">
            <v>BR</v>
          </cell>
          <cell r="F1089">
            <v>2020</v>
          </cell>
          <cell r="I1089">
            <v>89</v>
          </cell>
          <cell r="J1089">
            <v>25</v>
          </cell>
          <cell r="K1089" t="str">
            <v>W</v>
          </cell>
        </row>
        <row r="1090">
          <cell r="A1090" t="str">
            <v>2020Michael5</v>
          </cell>
          <cell r="D1090" t="str">
            <v>Michael</v>
          </cell>
          <cell r="E1090" t="str">
            <v>David</v>
          </cell>
          <cell r="F1090">
            <v>2020</v>
          </cell>
          <cell r="I1090">
            <v>70</v>
          </cell>
          <cell r="J1090">
            <v>-23</v>
          </cell>
          <cell r="K1090" t="str">
            <v>L</v>
          </cell>
        </row>
        <row r="1091">
          <cell r="A1091" t="str">
            <v>2020David5</v>
          </cell>
          <cell r="D1091" t="str">
            <v>David</v>
          </cell>
          <cell r="E1091" t="str">
            <v>Michael</v>
          </cell>
          <cell r="F1091">
            <v>2020</v>
          </cell>
          <cell r="I1091">
            <v>93</v>
          </cell>
          <cell r="J1091">
            <v>23</v>
          </cell>
          <cell r="K1091" t="str">
            <v>W</v>
          </cell>
        </row>
        <row r="1092">
          <cell r="A1092" t="str">
            <v>2020Matt5</v>
          </cell>
          <cell r="D1092" t="str">
            <v>Matt</v>
          </cell>
          <cell r="E1092" t="str">
            <v>Russell</v>
          </cell>
          <cell r="F1092">
            <v>2020</v>
          </cell>
          <cell r="I1092">
            <v>62</v>
          </cell>
          <cell r="J1092">
            <v>-71</v>
          </cell>
          <cell r="K1092" t="str">
            <v>L</v>
          </cell>
        </row>
        <row r="1093">
          <cell r="A1093" t="str">
            <v>2020Russell5</v>
          </cell>
          <cell r="D1093" t="str">
            <v>Russell</v>
          </cell>
          <cell r="E1093" t="str">
            <v>Matt</v>
          </cell>
          <cell r="F1093">
            <v>2020</v>
          </cell>
          <cell r="I1093">
            <v>133</v>
          </cell>
          <cell r="J1093">
            <v>71</v>
          </cell>
          <cell r="K1093" t="str">
            <v>W</v>
          </cell>
        </row>
        <row r="1094">
          <cell r="A1094" t="str">
            <v>2020Emily5</v>
          </cell>
          <cell r="D1094" t="str">
            <v>Emily</v>
          </cell>
          <cell r="E1094" t="str">
            <v>Brent</v>
          </cell>
          <cell r="F1094">
            <v>2020</v>
          </cell>
          <cell r="I1094">
            <v>72</v>
          </cell>
          <cell r="J1094">
            <v>-10</v>
          </cell>
          <cell r="K1094" t="str">
            <v>L</v>
          </cell>
        </row>
        <row r="1095">
          <cell r="A1095" t="str">
            <v>2020Brent5</v>
          </cell>
          <cell r="D1095" t="str">
            <v>Brent</v>
          </cell>
          <cell r="E1095" t="str">
            <v>Emily</v>
          </cell>
          <cell r="F1095">
            <v>2020</v>
          </cell>
          <cell r="I1095">
            <v>82</v>
          </cell>
          <cell r="J1095">
            <v>10</v>
          </cell>
          <cell r="K1095" t="str">
            <v>W</v>
          </cell>
        </row>
        <row r="1096">
          <cell r="A1096" t="str">
            <v>2020Abby5</v>
          </cell>
          <cell r="D1096" t="str">
            <v>Abby</v>
          </cell>
          <cell r="E1096" t="str">
            <v>Watty</v>
          </cell>
          <cell r="F1096">
            <v>2020</v>
          </cell>
          <cell r="I1096">
            <v>67</v>
          </cell>
          <cell r="J1096">
            <v>-22</v>
          </cell>
          <cell r="K1096" t="str">
            <v>L</v>
          </cell>
        </row>
        <row r="1097">
          <cell r="A1097" t="str">
            <v>2020Watty5</v>
          </cell>
          <cell r="D1097" t="str">
            <v>Watty</v>
          </cell>
          <cell r="E1097" t="str">
            <v>Abby</v>
          </cell>
          <cell r="F1097">
            <v>2020</v>
          </cell>
          <cell r="I1097">
            <v>89</v>
          </cell>
          <cell r="J1097">
            <v>22</v>
          </cell>
          <cell r="K1097" t="str">
            <v>W</v>
          </cell>
        </row>
        <row r="1098">
          <cell r="A1098" t="str">
            <v>2020Mark5</v>
          </cell>
          <cell r="D1098" t="str">
            <v>Mark</v>
          </cell>
          <cell r="E1098" t="str">
            <v>Brian</v>
          </cell>
          <cell r="F1098">
            <v>2020</v>
          </cell>
          <cell r="I1098">
            <v>99</v>
          </cell>
          <cell r="J1098">
            <v>-4</v>
          </cell>
          <cell r="K1098" t="str">
            <v>L</v>
          </cell>
        </row>
        <row r="1099">
          <cell r="A1099" t="str">
            <v>2020Brian5</v>
          </cell>
          <cell r="D1099" t="str">
            <v>Brian</v>
          </cell>
          <cell r="E1099" t="str">
            <v>Mark</v>
          </cell>
          <cell r="F1099">
            <v>2020</v>
          </cell>
          <cell r="I1099">
            <v>103</v>
          </cell>
          <cell r="J1099">
            <v>4</v>
          </cell>
          <cell r="K1099" t="str">
            <v>W</v>
          </cell>
        </row>
        <row r="1100">
          <cell r="A1100" t="str">
            <v>2020BR5</v>
          </cell>
          <cell r="D1100" t="str">
            <v>BR</v>
          </cell>
          <cell r="E1100" t="str">
            <v>Charles</v>
          </cell>
          <cell r="F1100">
            <v>2020</v>
          </cell>
          <cell r="I1100">
            <v>79</v>
          </cell>
          <cell r="J1100">
            <v>-17</v>
          </cell>
          <cell r="K1100" t="str">
            <v>L</v>
          </cell>
        </row>
        <row r="1101">
          <cell r="A1101" t="str">
            <v>2020Charles5</v>
          </cell>
          <cell r="D1101" t="str">
            <v>Charles</v>
          </cell>
          <cell r="E1101" t="str">
            <v>BR</v>
          </cell>
          <cell r="F1101">
            <v>2020</v>
          </cell>
          <cell r="I1101">
            <v>96</v>
          </cell>
          <cell r="J1101">
            <v>17</v>
          </cell>
          <cell r="K1101" t="str">
            <v>W</v>
          </cell>
        </row>
        <row r="1102">
          <cell r="A1102" t="str">
            <v>2020Abby6</v>
          </cell>
          <cell r="D1102" t="str">
            <v>Abby</v>
          </cell>
          <cell r="E1102" t="str">
            <v>Michael</v>
          </cell>
          <cell r="F1102">
            <v>2020</v>
          </cell>
          <cell r="I1102">
            <v>87</v>
          </cell>
          <cell r="J1102">
            <v>-38</v>
          </cell>
          <cell r="K1102" t="str">
            <v>L</v>
          </cell>
        </row>
        <row r="1103">
          <cell r="A1103" t="str">
            <v>2020Michael6</v>
          </cell>
          <cell r="D1103" t="str">
            <v>Michael</v>
          </cell>
          <cell r="E1103" t="str">
            <v>Abby</v>
          </cell>
          <cell r="F1103">
            <v>2020</v>
          </cell>
          <cell r="I1103">
            <v>125</v>
          </cell>
          <cell r="J1103">
            <v>38</v>
          </cell>
          <cell r="K1103" t="str">
            <v>W</v>
          </cell>
        </row>
        <row r="1104">
          <cell r="A1104" t="str">
            <v>2020Mark6</v>
          </cell>
          <cell r="D1104" t="str">
            <v>Mark</v>
          </cell>
          <cell r="E1104" t="str">
            <v>Matt</v>
          </cell>
          <cell r="F1104">
            <v>2020</v>
          </cell>
          <cell r="I1104">
            <v>80</v>
          </cell>
          <cell r="J1104">
            <v>-30</v>
          </cell>
          <cell r="K1104" t="str">
            <v>L</v>
          </cell>
        </row>
        <row r="1105">
          <cell r="A1105" t="str">
            <v>2020Matt6</v>
          </cell>
          <cell r="D1105" t="str">
            <v>Matt</v>
          </cell>
          <cell r="E1105" t="str">
            <v>Mark</v>
          </cell>
          <cell r="F1105">
            <v>2020</v>
          </cell>
          <cell r="I1105">
            <v>110</v>
          </cell>
          <cell r="J1105">
            <v>30</v>
          </cell>
          <cell r="K1105" t="str">
            <v>W</v>
          </cell>
        </row>
        <row r="1106">
          <cell r="A1106" t="str">
            <v>2020BR6</v>
          </cell>
          <cell r="D1106" t="str">
            <v>BR</v>
          </cell>
          <cell r="E1106" t="str">
            <v>Emily</v>
          </cell>
          <cell r="F1106">
            <v>2020</v>
          </cell>
          <cell r="I1106">
            <v>91</v>
          </cell>
          <cell r="J1106">
            <v>39</v>
          </cell>
          <cell r="K1106" t="str">
            <v>W</v>
          </cell>
        </row>
        <row r="1107">
          <cell r="A1107" t="str">
            <v>2020Emily6</v>
          </cell>
          <cell r="D1107" t="str">
            <v>Emily</v>
          </cell>
          <cell r="E1107" t="str">
            <v>BR</v>
          </cell>
          <cell r="F1107">
            <v>2020</v>
          </cell>
          <cell r="I1107">
            <v>52</v>
          </cell>
          <cell r="J1107">
            <v>-39</v>
          </cell>
          <cell r="K1107" t="str">
            <v>L</v>
          </cell>
        </row>
        <row r="1108">
          <cell r="A1108" t="str">
            <v>2020Charles6</v>
          </cell>
          <cell r="D1108" t="str">
            <v>Charles</v>
          </cell>
          <cell r="E1108" t="str">
            <v>Brent</v>
          </cell>
          <cell r="F1108">
            <v>2020</v>
          </cell>
          <cell r="I1108">
            <v>76</v>
          </cell>
          <cell r="J1108">
            <v>-36</v>
          </cell>
          <cell r="K1108" t="str">
            <v>L</v>
          </cell>
        </row>
        <row r="1109">
          <cell r="A1109" t="str">
            <v>2020Brent6</v>
          </cell>
          <cell r="D1109" t="str">
            <v>Brent</v>
          </cell>
          <cell r="E1109" t="str">
            <v>Charles</v>
          </cell>
          <cell r="F1109">
            <v>2020</v>
          </cell>
          <cell r="I1109">
            <v>112</v>
          </cell>
          <cell r="J1109">
            <v>36</v>
          </cell>
          <cell r="K1109" t="str">
            <v>W</v>
          </cell>
        </row>
        <row r="1110">
          <cell r="A1110" t="str">
            <v>2020Brian6</v>
          </cell>
          <cell r="D1110" t="str">
            <v>Brian</v>
          </cell>
          <cell r="E1110" t="str">
            <v>Russell</v>
          </cell>
          <cell r="F1110">
            <v>2020</v>
          </cell>
          <cell r="I1110">
            <v>107</v>
          </cell>
          <cell r="J1110">
            <v>22</v>
          </cell>
          <cell r="K1110" t="str">
            <v>W</v>
          </cell>
        </row>
        <row r="1111">
          <cell r="A1111" t="str">
            <v>2020Russell6</v>
          </cell>
          <cell r="D1111" t="str">
            <v>Russell</v>
          </cell>
          <cell r="E1111" t="str">
            <v>Brian</v>
          </cell>
          <cell r="F1111">
            <v>2020</v>
          </cell>
          <cell r="I1111">
            <v>85</v>
          </cell>
          <cell r="J1111">
            <v>-22</v>
          </cell>
          <cell r="K1111" t="str">
            <v>L</v>
          </cell>
        </row>
        <row r="1112">
          <cell r="A1112" t="str">
            <v>2020Watty6</v>
          </cell>
          <cell r="D1112" t="str">
            <v>Watty</v>
          </cell>
          <cell r="E1112" t="str">
            <v>David</v>
          </cell>
          <cell r="F1112">
            <v>2020</v>
          </cell>
          <cell r="I1112">
            <v>65</v>
          </cell>
          <cell r="J1112">
            <v>-10</v>
          </cell>
          <cell r="K1112" t="str">
            <v>L</v>
          </cell>
        </row>
        <row r="1113">
          <cell r="A1113" t="str">
            <v>2020David6</v>
          </cell>
          <cell r="D1113" t="str">
            <v>David</v>
          </cell>
          <cell r="E1113" t="str">
            <v>Watty</v>
          </cell>
          <cell r="F1113">
            <v>2020</v>
          </cell>
          <cell r="I1113">
            <v>75</v>
          </cell>
          <cell r="J1113">
            <v>10</v>
          </cell>
          <cell r="K1113" t="str">
            <v>W</v>
          </cell>
        </row>
        <row r="1114">
          <cell r="A1114" t="str">
            <v>2020Michael7</v>
          </cell>
          <cell r="D1114" t="str">
            <v>Michael</v>
          </cell>
          <cell r="E1114" t="str">
            <v>Watty</v>
          </cell>
          <cell r="F1114">
            <v>2020</v>
          </cell>
          <cell r="I1114">
            <v>82</v>
          </cell>
          <cell r="J1114">
            <v>4</v>
          </cell>
          <cell r="K1114" t="str">
            <v>W</v>
          </cell>
        </row>
        <row r="1115">
          <cell r="A1115" t="str">
            <v>2020Watty7</v>
          </cell>
          <cell r="D1115" t="str">
            <v>Watty</v>
          </cell>
          <cell r="E1115" t="str">
            <v>Michael</v>
          </cell>
          <cell r="F1115">
            <v>2020</v>
          </cell>
          <cell r="I1115">
            <v>78</v>
          </cell>
          <cell r="J1115">
            <v>-4</v>
          </cell>
          <cell r="K1115" t="str">
            <v>L</v>
          </cell>
        </row>
        <row r="1116">
          <cell r="A1116" t="str">
            <v>2020Matt7</v>
          </cell>
          <cell r="D1116" t="str">
            <v>Matt</v>
          </cell>
          <cell r="E1116" t="str">
            <v>Abby</v>
          </cell>
          <cell r="F1116">
            <v>2020</v>
          </cell>
          <cell r="I1116">
            <v>89</v>
          </cell>
          <cell r="J1116">
            <v>-4</v>
          </cell>
          <cell r="K1116" t="str">
            <v>L</v>
          </cell>
        </row>
        <row r="1117">
          <cell r="A1117" t="str">
            <v>2020Abby7</v>
          </cell>
          <cell r="D1117" t="str">
            <v>Abby</v>
          </cell>
          <cell r="E1117" t="str">
            <v>Matt</v>
          </cell>
          <cell r="F1117">
            <v>2020</v>
          </cell>
          <cell r="I1117">
            <v>93</v>
          </cell>
          <cell r="J1117">
            <v>4</v>
          </cell>
          <cell r="K1117" t="str">
            <v>W</v>
          </cell>
        </row>
        <row r="1118">
          <cell r="A1118" t="str">
            <v>2020Emily7</v>
          </cell>
          <cell r="D1118" t="str">
            <v>Emily</v>
          </cell>
          <cell r="E1118" t="str">
            <v>Mark</v>
          </cell>
          <cell r="F1118">
            <v>2020</v>
          </cell>
          <cell r="I1118">
            <v>117</v>
          </cell>
          <cell r="J1118">
            <v>61</v>
          </cell>
          <cell r="K1118" t="str">
            <v>W</v>
          </cell>
        </row>
        <row r="1119">
          <cell r="A1119" t="str">
            <v>2020Mark7</v>
          </cell>
          <cell r="D1119" t="str">
            <v>Mark</v>
          </cell>
          <cell r="E1119" t="str">
            <v>Emily</v>
          </cell>
          <cell r="F1119">
            <v>2020</v>
          </cell>
          <cell r="I1119">
            <v>56</v>
          </cell>
          <cell r="J1119">
            <v>-61</v>
          </cell>
          <cell r="K1119" t="str">
            <v>L</v>
          </cell>
        </row>
        <row r="1120">
          <cell r="A1120" t="str">
            <v>2020Brent7</v>
          </cell>
          <cell r="D1120" t="str">
            <v>Brent</v>
          </cell>
          <cell r="E1120" t="str">
            <v>BR</v>
          </cell>
          <cell r="F1120">
            <v>2020</v>
          </cell>
          <cell r="I1120">
            <v>88</v>
          </cell>
          <cell r="J1120">
            <v>25</v>
          </cell>
          <cell r="K1120" t="str">
            <v>W</v>
          </cell>
        </row>
        <row r="1121">
          <cell r="A1121" t="str">
            <v>2020BR7</v>
          </cell>
          <cell r="D1121" t="str">
            <v>BR</v>
          </cell>
          <cell r="E1121" t="str">
            <v>Brent</v>
          </cell>
          <cell r="F1121">
            <v>2020</v>
          </cell>
          <cell r="I1121">
            <v>63</v>
          </cell>
          <cell r="J1121">
            <v>-25</v>
          </cell>
          <cell r="K1121" t="str">
            <v>L</v>
          </cell>
        </row>
        <row r="1122">
          <cell r="A1122" t="str">
            <v>2020Russell7</v>
          </cell>
          <cell r="D1122" t="str">
            <v>Russell</v>
          </cell>
          <cell r="E1122" t="str">
            <v>Charles</v>
          </cell>
          <cell r="F1122">
            <v>2020</v>
          </cell>
          <cell r="I1122">
            <v>107</v>
          </cell>
          <cell r="J1122">
            <v>-27</v>
          </cell>
          <cell r="K1122" t="str">
            <v>L</v>
          </cell>
        </row>
        <row r="1123">
          <cell r="A1123" t="str">
            <v>2020Charles7</v>
          </cell>
          <cell r="D1123" t="str">
            <v>Charles</v>
          </cell>
          <cell r="E1123" t="str">
            <v>Russell</v>
          </cell>
          <cell r="F1123">
            <v>2020</v>
          </cell>
          <cell r="I1123">
            <v>134</v>
          </cell>
          <cell r="J1123">
            <v>27</v>
          </cell>
          <cell r="K1123" t="str">
            <v>W</v>
          </cell>
        </row>
        <row r="1124">
          <cell r="A1124" t="str">
            <v>2020David7</v>
          </cell>
          <cell r="D1124" t="str">
            <v>David</v>
          </cell>
          <cell r="E1124" t="str">
            <v>Brian</v>
          </cell>
          <cell r="F1124">
            <v>2020</v>
          </cell>
          <cell r="I1124">
            <v>61</v>
          </cell>
          <cell r="J1124">
            <v>-29</v>
          </cell>
          <cell r="K1124" t="str">
            <v>L</v>
          </cell>
        </row>
        <row r="1125">
          <cell r="A1125" t="str">
            <v>2020Brian7</v>
          </cell>
          <cell r="D1125" t="str">
            <v>Brian</v>
          </cell>
          <cell r="E1125" t="str">
            <v>David</v>
          </cell>
          <cell r="F1125">
            <v>2020</v>
          </cell>
          <cell r="I1125">
            <v>90</v>
          </cell>
          <cell r="J1125">
            <v>29</v>
          </cell>
          <cell r="K1125" t="str">
            <v>W</v>
          </cell>
        </row>
        <row r="1126">
          <cell r="A1126" t="str">
            <v>2020Brian8</v>
          </cell>
          <cell r="D1126" t="str">
            <v>Brian</v>
          </cell>
          <cell r="E1126" t="str">
            <v>Michael</v>
          </cell>
          <cell r="F1126">
            <v>2020</v>
          </cell>
          <cell r="I1126">
            <v>57</v>
          </cell>
          <cell r="J1126">
            <v>1</v>
          </cell>
          <cell r="K1126" t="str">
            <v>W</v>
          </cell>
        </row>
        <row r="1127">
          <cell r="A1127" t="str">
            <v>2020Michael8</v>
          </cell>
          <cell r="D1127" t="str">
            <v>Michael</v>
          </cell>
          <cell r="E1127" t="str">
            <v>Brian</v>
          </cell>
          <cell r="F1127">
            <v>2020</v>
          </cell>
          <cell r="I1127">
            <v>56</v>
          </cell>
          <cell r="J1127">
            <v>-1</v>
          </cell>
          <cell r="K1127" t="str">
            <v>L</v>
          </cell>
        </row>
        <row r="1128">
          <cell r="A1128" t="str">
            <v>2020Abby8</v>
          </cell>
          <cell r="D1128" t="str">
            <v>Abby</v>
          </cell>
          <cell r="E1128" t="str">
            <v>Emily</v>
          </cell>
          <cell r="F1128">
            <v>2020</v>
          </cell>
          <cell r="I1128">
            <v>58</v>
          </cell>
          <cell r="J1128">
            <v>-76</v>
          </cell>
          <cell r="K1128" t="str">
            <v>L</v>
          </cell>
        </row>
        <row r="1129">
          <cell r="A1129" t="str">
            <v>2020Emily8</v>
          </cell>
          <cell r="D1129" t="str">
            <v>Emily</v>
          </cell>
          <cell r="E1129" t="str">
            <v>Abby</v>
          </cell>
          <cell r="F1129">
            <v>2020</v>
          </cell>
          <cell r="I1129">
            <v>134</v>
          </cell>
          <cell r="J1129">
            <v>76</v>
          </cell>
          <cell r="K1129" t="str">
            <v>W</v>
          </cell>
        </row>
        <row r="1130">
          <cell r="A1130" t="str">
            <v>2020Mark8</v>
          </cell>
          <cell r="D1130" t="str">
            <v>Mark</v>
          </cell>
          <cell r="E1130" t="str">
            <v>Brent</v>
          </cell>
          <cell r="F1130">
            <v>2020</v>
          </cell>
          <cell r="I1130">
            <v>89</v>
          </cell>
          <cell r="J1130">
            <v>-15</v>
          </cell>
          <cell r="K1130" t="str">
            <v>L</v>
          </cell>
        </row>
        <row r="1131">
          <cell r="A1131" t="str">
            <v>2020Brent8</v>
          </cell>
          <cell r="D1131" t="str">
            <v>Brent</v>
          </cell>
          <cell r="E1131" t="str">
            <v>Mark</v>
          </cell>
          <cell r="F1131">
            <v>2020</v>
          </cell>
          <cell r="I1131">
            <v>104</v>
          </cell>
          <cell r="J1131">
            <v>15</v>
          </cell>
          <cell r="K1131" t="str">
            <v>W</v>
          </cell>
        </row>
        <row r="1132">
          <cell r="A1132" t="str">
            <v>2020BR8</v>
          </cell>
          <cell r="D1132" t="str">
            <v>BR</v>
          </cell>
          <cell r="E1132" t="str">
            <v>Russell</v>
          </cell>
          <cell r="F1132">
            <v>2020</v>
          </cell>
          <cell r="I1132">
            <v>76</v>
          </cell>
          <cell r="J1132">
            <v>-21</v>
          </cell>
          <cell r="K1132" t="str">
            <v>L</v>
          </cell>
        </row>
        <row r="1133">
          <cell r="A1133" t="str">
            <v>2020Russell8</v>
          </cell>
          <cell r="D1133" t="str">
            <v>Russell</v>
          </cell>
          <cell r="E1133" t="str">
            <v>BR</v>
          </cell>
          <cell r="F1133">
            <v>2020</v>
          </cell>
          <cell r="I1133">
            <v>97</v>
          </cell>
          <cell r="J1133">
            <v>21</v>
          </cell>
          <cell r="K1133" t="str">
            <v>W</v>
          </cell>
        </row>
        <row r="1134">
          <cell r="A1134" t="str">
            <v>2020Charles8</v>
          </cell>
          <cell r="D1134" t="str">
            <v>Charles</v>
          </cell>
          <cell r="E1134" t="str">
            <v>David</v>
          </cell>
          <cell r="F1134">
            <v>2020</v>
          </cell>
          <cell r="I1134">
            <v>103</v>
          </cell>
          <cell r="J1134">
            <v>49</v>
          </cell>
          <cell r="K1134" t="str">
            <v>W</v>
          </cell>
        </row>
        <row r="1135">
          <cell r="A1135" t="str">
            <v>2020David8</v>
          </cell>
          <cell r="D1135" t="str">
            <v>David</v>
          </cell>
          <cell r="E1135" t="str">
            <v>Charles</v>
          </cell>
          <cell r="F1135">
            <v>2020</v>
          </cell>
          <cell r="I1135">
            <v>54</v>
          </cell>
          <cell r="J1135">
            <v>-49</v>
          </cell>
          <cell r="K1135" t="str">
            <v>L</v>
          </cell>
        </row>
        <row r="1136">
          <cell r="A1136" t="str">
            <v>2020Watty8</v>
          </cell>
          <cell r="D1136" t="str">
            <v>Watty</v>
          </cell>
          <cell r="E1136" t="str">
            <v>Matt</v>
          </cell>
          <cell r="F1136">
            <v>2020</v>
          </cell>
          <cell r="I1136">
            <v>92</v>
          </cell>
          <cell r="J1136">
            <v>28</v>
          </cell>
          <cell r="K1136" t="str">
            <v>W</v>
          </cell>
        </row>
        <row r="1137">
          <cell r="A1137" t="str">
            <v>2020Matt8</v>
          </cell>
          <cell r="D1137" t="str">
            <v>Matt</v>
          </cell>
          <cell r="E1137" t="str">
            <v>Watty</v>
          </cell>
          <cell r="F1137">
            <v>2020</v>
          </cell>
          <cell r="I1137">
            <v>64</v>
          </cell>
          <cell r="J1137">
            <v>-28</v>
          </cell>
          <cell r="K1137" t="str">
            <v>L</v>
          </cell>
        </row>
        <row r="1138">
          <cell r="A1138" t="str">
            <v>2020Abby9</v>
          </cell>
          <cell r="D1138" t="str">
            <v>Abby</v>
          </cell>
          <cell r="E1138" t="str">
            <v>Brent</v>
          </cell>
          <cell r="F1138">
            <v>2020</v>
          </cell>
          <cell r="I1138">
            <v>85</v>
          </cell>
          <cell r="J1138">
            <v>-4</v>
          </cell>
          <cell r="K1138" t="str">
            <v>L</v>
          </cell>
        </row>
        <row r="1139">
          <cell r="A1139" t="str">
            <v>2020Brent9</v>
          </cell>
          <cell r="D1139" t="str">
            <v>Brent</v>
          </cell>
          <cell r="E1139" t="str">
            <v>Abby</v>
          </cell>
          <cell r="F1139">
            <v>2020</v>
          </cell>
          <cell r="I1139">
            <v>89</v>
          </cell>
          <cell r="J1139">
            <v>4</v>
          </cell>
          <cell r="K1139" t="str">
            <v>W</v>
          </cell>
        </row>
        <row r="1140">
          <cell r="A1140" t="str">
            <v>2020Mark9</v>
          </cell>
          <cell r="D1140" t="str">
            <v>Mark</v>
          </cell>
          <cell r="E1140" t="str">
            <v>Russell</v>
          </cell>
          <cell r="F1140">
            <v>2020</v>
          </cell>
          <cell r="I1140">
            <v>86</v>
          </cell>
          <cell r="J1140">
            <v>-32</v>
          </cell>
          <cell r="K1140" t="str">
            <v>L</v>
          </cell>
        </row>
        <row r="1141">
          <cell r="A1141" t="str">
            <v>2020Russell9</v>
          </cell>
          <cell r="D1141" t="str">
            <v>Russell</v>
          </cell>
          <cell r="E1141" t="str">
            <v>Mark</v>
          </cell>
          <cell r="F1141">
            <v>2020</v>
          </cell>
          <cell r="I1141">
            <v>118</v>
          </cell>
          <cell r="J1141">
            <v>32</v>
          </cell>
          <cell r="K1141" t="str">
            <v>W</v>
          </cell>
        </row>
        <row r="1142">
          <cell r="A1142" t="str">
            <v>2020BR9</v>
          </cell>
          <cell r="D1142" t="str">
            <v>BR</v>
          </cell>
          <cell r="E1142" t="str">
            <v>David</v>
          </cell>
          <cell r="F1142">
            <v>2020</v>
          </cell>
          <cell r="I1142">
            <v>58</v>
          </cell>
          <cell r="J1142">
            <v>-31</v>
          </cell>
          <cell r="K1142" t="str">
            <v>L</v>
          </cell>
        </row>
        <row r="1143">
          <cell r="A1143" t="str">
            <v>2020David9</v>
          </cell>
          <cell r="D1143" t="str">
            <v>David</v>
          </cell>
          <cell r="E1143" t="str">
            <v>BR</v>
          </cell>
          <cell r="F1143">
            <v>2020</v>
          </cell>
          <cell r="I1143">
            <v>89</v>
          </cell>
          <cell r="J1143">
            <v>31</v>
          </cell>
          <cell r="K1143" t="str">
            <v>W</v>
          </cell>
        </row>
        <row r="1144">
          <cell r="A1144" t="str">
            <v>2020Charles9</v>
          </cell>
          <cell r="D1144" t="str">
            <v>Charles</v>
          </cell>
          <cell r="E1144" t="str">
            <v>Michael</v>
          </cell>
          <cell r="F1144">
            <v>2020</v>
          </cell>
          <cell r="I1144">
            <v>93</v>
          </cell>
          <cell r="J1144">
            <v>24</v>
          </cell>
          <cell r="K1144" t="str">
            <v>W</v>
          </cell>
        </row>
        <row r="1145">
          <cell r="A1145" t="str">
            <v>2020Michael9</v>
          </cell>
          <cell r="D1145" t="str">
            <v>Michael</v>
          </cell>
          <cell r="E1145" t="str">
            <v>Charles</v>
          </cell>
          <cell r="F1145">
            <v>2020</v>
          </cell>
          <cell r="I1145">
            <v>69</v>
          </cell>
          <cell r="J1145">
            <v>-24</v>
          </cell>
          <cell r="K1145" t="str">
            <v>L</v>
          </cell>
        </row>
        <row r="1146">
          <cell r="A1146" t="str">
            <v>2020Brian9</v>
          </cell>
          <cell r="D1146" t="str">
            <v>Brian</v>
          </cell>
          <cell r="E1146" t="str">
            <v>Matt</v>
          </cell>
          <cell r="F1146">
            <v>2020</v>
          </cell>
          <cell r="I1146">
            <v>72</v>
          </cell>
          <cell r="J1146">
            <v>9</v>
          </cell>
          <cell r="K1146" t="str">
            <v>W</v>
          </cell>
        </row>
        <row r="1147">
          <cell r="A1147" t="str">
            <v>2020Matt9</v>
          </cell>
          <cell r="D1147" t="str">
            <v>Matt</v>
          </cell>
          <cell r="E1147" t="str">
            <v>Brian</v>
          </cell>
          <cell r="F1147">
            <v>2020</v>
          </cell>
          <cell r="I1147">
            <v>63</v>
          </cell>
          <cell r="J1147">
            <v>-9</v>
          </cell>
          <cell r="K1147" t="str">
            <v>L</v>
          </cell>
        </row>
        <row r="1148">
          <cell r="A1148" t="str">
            <v>2020Watty9</v>
          </cell>
          <cell r="D1148" t="str">
            <v>Watty</v>
          </cell>
          <cell r="E1148" t="str">
            <v>Emily</v>
          </cell>
          <cell r="F1148">
            <v>2020</v>
          </cell>
          <cell r="I1148">
            <v>101</v>
          </cell>
          <cell r="J1148">
            <v>-3</v>
          </cell>
          <cell r="K1148" t="str">
            <v>L</v>
          </cell>
        </row>
        <row r="1149">
          <cell r="A1149" t="str">
            <v>2020Emily9</v>
          </cell>
          <cell r="D1149" t="str">
            <v>Emily</v>
          </cell>
          <cell r="E1149" t="str">
            <v>Watty</v>
          </cell>
          <cell r="F1149">
            <v>2020</v>
          </cell>
          <cell r="I1149">
            <v>104</v>
          </cell>
          <cell r="J1149">
            <v>3</v>
          </cell>
          <cell r="K1149" t="str">
            <v>W</v>
          </cell>
        </row>
        <row r="1150">
          <cell r="A1150" t="str">
            <v>2020Russell10</v>
          </cell>
          <cell r="D1150" t="str">
            <v>Russell</v>
          </cell>
          <cell r="E1150" t="str">
            <v>Abby</v>
          </cell>
          <cell r="F1150">
            <v>2020</v>
          </cell>
          <cell r="I1150">
            <v>94</v>
          </cell>
          <cell r="J1150">
            <v>18</v>
          </cell>
          <cell r="K1150" t="str">
            <v>W</v>
          </cell>
        </row>
        <row r="1151">
          <cell r="A1151" t="str">
            <v>2020Abby10</v>
          </cell>
          <cell r="D1151" t="str">
            <v>Abby</v>
          </cell>
          <cell r="E1151" t="str">
            <v>Russell</v>
          </cell>
          <cell r="F1151">
            <v>2020</v>
          </cell>
          <cell r="I1151">
            <v>76</v>
          </cell>
          <cell r="J1151">
            <v>-18</v>
          </cell>
          <cell r="K1151" t="str">
            <v>L</v>
          </cell>
        </row>
        <row r="1152">
          <cell r="A1152" t="str">
            <v>2020David10</v>
          </cell>
          <cell r="D1152" t="str">
            <v>David</v>
          </cell>
          <cell r="E1152" t="str">
            <v>Mark</v>
          </cell>
          <cell r="F1152">
            <v>2020</v>
          </cell>
          <cell r="I1152">
            <v>40</v>
          </cell>
          <cell r="J1152">
            <v>-61</v>
          </cell>
          <cell r="K1152" t="str">
            <v>L</v>
          </cell>
        </row>
        <row r="1153">
          <cell r="A1153" t="str">
            <v>2020Mark10</v>
          </cell>
          <cell r="D1153" t="str">
            <v>Mark</v>
          </cell>
          <cell r="E1153" t="str">
            <v>David</v>
          </cell>
          <cell r="F1153">
            <v>2020</v>
          </cell>
          <cell r="I1153">
            <v>101</v>
          </cell>
          <cell r="J1153">
            <v>61</v>
          </cell>
          <cell r="K1153" t="str">
            <v>W</v>
          </cell>
        </row>
        <row r="1154">
          <cell r="A1154" t="str">
            <v>2020Michael10</v>
          </cell>
          <cell r="D1154" t="str">
            <v>Michael</v>
          </cell>
          <cell r="E1154" t="str">
            <v>BR</v>
          </cell>
          <cell r="F1154">
            <v>2020</v>
          </cell>
          <cell r="I1154">
            <v>120</v>
          </cell>
          <cell r="J1154">
            <v>16</v>
          </cell>
          <cell r="K1154" t="str">
            <v>W</v>
          </cell>
        </row>
        <row r="1155">
          <cell r="A1155" t="str">
            <v>2020BR10</v>
          </cell>
          <cell r="D1155" t="str">
            <v>BR</v>
          </cell>
          <cell r="E1155" t="str">
            <v>Michael</v>
          </cell>
          <cell r="F1155">
            <v>2020</v>
          </cell>
          <cell r="I1155">
            <v>104</v>
          </cell>
          <cell r="J1155">
            <v>-16</v>
          </cell>
          <cell r="K1155" t="str">
            <v>L</v>
          </cell>
        </row>
        <row r="1156">
          <cell r="A1156" t="str">
            <v>2020Matt10</v>
          </cell>
          <cell r="D1156" t="str">
            <v>Matt</v>
          </cell>
          <cell r="E1156" t="str">
            <v>Charles</v>
          </cell>
          <cell r="F1156">
            <v>2020</v>
          </cell>
          <cell r="I1156">
            <v>94</v>
          </cell>
          <cell r="J1156">
            <v>0</v>
          </cell>
          <cell r="K1156" t="str">
            <v>W</v>
          </cell>
        </row>
        <row r="1157">
          <cell r="A1157" t="str">
            <v>2020Charles10</v>
          </cell>
          <cell r="D1157" t="str">
            <v>Charles</v>
          </cell>
          <cell r="E1157" t="str">
            <v>Matt</v>
          </cell>
          <cell r="F1157">
            <v>2020</v>
          </cell>
          <cell r="I1157">
            <v>94</v>
          </cell>
          <cell r="J1157">
            <v>0</v>
          </cell>
          <cell r="K1157" t="str">
            <v>L</v>
          </cell>
        </row>
        <row r="1158">
          <cell r="A1158" t="str">
            <v>2020Emily10</v>
          </cell>
          <cell r="D1158" t="str">
            <v>Emily</v>
          </cell>
          <cell r="E1158" t="str">
            <v>Brian</v>
          </cell>
          <cell r="F1158">
            <v>2020</v>
          </cell>
          <cell r="I1158">
            <v>67</v>
          </cell>
          <cell r="J1158">
            <v>-32</v>
          </cell>
          <cell r="K1158" t="str">
            <v>L</v>
          </cell>
        </row>
        <row r="1159">
          <cell r="A1159" t="str">
            <v>2020Brian10</v>
          </cell>
          <cell r="D1159" t="str">
            <v>Brian</v>
          </cell>
          <cell r="E1159" t="str">
            <v>Emily</v>
          </cell>
          <cell r="F1159">
            <v>2020</v>
          </cell>
          <cell r="I1159">
            <v>99</v>
          </cell>
          <cell r="J1159">
            <v>32</v>
          </cell>
          <cell r="K1159" t="str">
            <v>W</v>
          </cell>
        </row>
        <row r="1160">
          <cell r="A1160" t="str">
            <v>2020Brent10</v>
          </cell>
          <cell r="D1160" t="str">
            <v>Brent</v>
          </cell>
          <cell r="E1160" t="str">
            <v>Watty</v>
          </cell>
          <cell r="F1160">
            <v>2020</v>
          </cell>
          <cell r="I1160">
            <v>74</v>
          </cell>
          <cell r="J1160">
            <v>9</v>
          </cell>
          <cell r="K1160" t="str">
            <v>W</v>
          </cell>
        </row>
        <row r="1161">
          <cell r="A1161" t="str">
            <v>2020Watty10</v>
          </cell>
          <cell r="D1161" t="str">
            <v>Watty</v>
          </cell>
          <cell r="E1161" t="str">
            <v>Brent</v>
          </cell>
          <cell r="F1161">
            <v>2020</v>
          </cell>
          <cell r="I1161">
            <v>65</v>
          </cell>
          <cell r="J1161">
            <v>-9</v>
          </cell>
          <cell r="K1161" t="str">
            <v>L</v>
          </cell>
        </row>
        <row r="1162">
          <cell r="A1162" t="str">
            <v>2020Abby11</v>
          </cell>
          <cell r="D1162" t="str">
            <v>Abby</v>
          </cell>
          <cell r="E1162" t="str">
            <v>David</v>
          </cell>
          <cell r="F1162">
            <v>2020</v>
          </cell>
          <cell r="I1162">
            <v>59</v>
          </cell>
          <cell r="J1162">
            <v>1</v>
          </cell>
          <cell r="K1162" t="str">
            <v>W</v>
          </cell>
        </row>
        <row r="1163">
          <cell r="A1163" t="str">
            <v>2020David11</v>
          </cell>
          <cell r="D1163" t="str">
            <v>David</v>
          </cell>
          <cell r="E1163" t="str">
            <v>Abby</v>
          </cell>
          <cell r="F1163">
            <v>2020</v>
          </cell>
          <cell r="I1163">
            <v>58</v>
          </cell>
          <cell r="J1163">
            <v>-1</v>
          </cell>
          <cell r="K1163" t="str">
            <v>L</v>
          </cell>
        </row>
        <row r="1164">
          <cell r="A1164" t="str">
            <v>2020Mark11</v>
          </cell>
          <cell r="D1164" t="str">
            <v>Mark</v>
          </cell>
          <cell r="E1164" t="str">
            <v>Michael</v>
          </cell>
          <cell r="F1164">
            <v>2020</v>
          </cell>
          <cell r="I1164">
            <v>92</v>
          </cell>
          <cell r="J1164">
            <v>-28</v>
          </cell>
          <cell r="K1164" t="str">
            <v>L</v>
          </cell>
        </row>
        <row r="1165">
          <cell r="A1165" t="str">
            <v>2020Michael11</v>
          </cell>
          <cell r="D1165" t="str">
            <v>Michael</v>
          </cell>
          <cell r="E1165" t="str">
            <v>Mark</v>
          </cell>
          <cell r="F1165">
            <v>2020</v>
          </cell>
          <cell r="I1165">
            <v>120</v>
          </cell>
          <cell r="J1165">
            <v>28</v>
          </cell>
          <cell r="K1165" t="str">
            <v>W</v>
          </cell>
        </row>
        <row r="1166">
          <cell r="A1166" t="str">
            <v>2020BR11</v>
          </cell>
          <cell r="D1166" t="str">
            <v>BR</v>
          </cell>
          <cell r="E1166" t="str">
            <v>Matt</v>
          </cell>
          <cell r="F1166">
            <v>2020</v>
          </cell>
          <cell r="I1166">
            <v>48</v>
          </cell>
          <cell r="J1166">
            <v>-57</v>
          </cell>
          <cell r="K1166" t="str">
            <v>L</v>
          </cell>
        </row>
        <row r="1167">
          <cell r="A1167" t="str">
            <v>2020Matt11</v>
          </cell>
          <cell r="D1167" t="str">
            <v>Matt</v>
          </cell>
          <cell r="E1167" t="str">
            <v>BR</v>
          </cell>
          <cell r="F1167">
            <v>2020</v>
          </cell>
          <cell r="I1167">
            <v>105</v>
          </cell>
          <cell r="J1167">
            <v>57</v>
          </cell>
          <cell r="K1167" t="str">
            <v>W</v>
          </cell>
        </row>
        <row r="1168">
          <cell r="A1168" t="str">
            <v>2020Charles11</v>
          </cell>
          <cell r="D1168" t="str">
            <v>Charles</v>
          </cell>
          <cell r="E1168" t="str">
            <v>Emily</v>
          </cell>
          <cell r="F1168">
            <v>2020</v>
          </cell>
          <cell r="I1168">
            <v>119</v>
          </cell>
          <cell r="J1168">
            <v>31</v>
          </cell>
          <cell r="K1168" t="str">
            <v>W</v>
          </cell>
        </row>
        <row r="1169">
          <cell r="A1169" t="str">
            <v>2020Emily11</v>
          </cell>
          <cell r="D1169" t="str">
            <v>Emily</v>
          </cell>
          <cell r="E1169" t="str">
            <v>Charles</v>
          </cell>
          <cell r="F1169">
            <v>2020</v>
          </cell>
          <cell r="I1169">
            <v>88</v>
          </cell>
          <cell r="J1169">
            <v>-31</v>
          </cell>
          <cell r="K1169" t="str">
            <v>L</v>
          </cell>
        </row>
        <row r="1170">
          <cell r="A1170" t="str">
            <v>2020Brian11</v>
          </cell>
          <cell r="D1170" t="str">
            <v>Brian</v>
          </cell>
          <cell r="E1170" t="str">
            <v>Brent</v>
          </cell>
          <cell r="F1170">
            <v>2020</v>
          </cell>
          <cell r="I1170">
            <v>85</v>
          </cell>
          <cell r="J1170">
            <v>23</v>
          </cell>
          <cell r="K1170" t="str">
            <v>W</v>
          </cell>
        </row>
        <row r="1171">
          <cell r="A1171" t="str">
            <v>2020Brent11</v>
          </cell>
          <cell r="D1171" t="str">
            <v>Brent</v>
          </cell>
          <cell r="E1171" t="str">
            <v>Brian</v>
          </cell>
          <cell r="F1171">
            <v>2020</v>
          </cell>
          <cell r="I1171">
            <v>62</v>
          </cell>
          <cell r="J1171">
            <v>-23</v>
          </cell>
          <cell r="K1171" t="str">
            <v>L</v>
          </cell>
        </row>
        <row r="1172">
          <cell r="A1172" t="str">
            <v>2020Watty11</v>
          </cell>
          <cell r="D1172" t="str">
            <v>Watty</v>
          </cell>
          <cell r="E1172" t="str">
            <v>Russell</v>
          </cell>
          <cell r="F1172">
            <v>2020</v>
          </cell>
          <cell r="I1172">
            <v>106</v>
          </cell>
          <cell r="J1172">
            <v>15</v>
          </cell>
          <cell r="K1172" t="str">
            <v>W</v>
          </cell>
        </row>
        <row r="1173">
          <cell r="A1173" t="str">
            <v>2020Russell11</v>
          </cell>
          <cell r="D1173" t="str">
            <v>Russell</v>
          </cell>
          <cell r="E1173" t="str">
            <v>Watty</v>
          </cell>
          <cell r="F1173">
            <v>2020</v>
          </cell>
          <cell r="I1173">
            <v>91</v>
          </cell>
          <cell r="J1173">
            <v>-15</v>
          </cell>
          <cell r="K1173" t="str">
            <v>L</v>
          </cell>
        </row>
        <row r="1174">
          <cell r="A1174" t="str">
            <v>2020Charles12</v>
          </cell>
          <cell r="D1174" t="str">
            <v>Charles</v>
          </cell>
          <cell r="E1174" t="str">
            <v>BR</v>
          </cell>
          <cell r="F1174">
            <v>2020</v>
          </cell>
          <cell r="I1174">
            <v>94</v>
          </cell>
          <cell r="J1174">
            <v>22</v>
          </cell>
          <cell r="K1174" t="str">
            <v>W</v>
          </cell>
        </row>
        <row r="1175">
          <cell r="A1175" t="str">
            <v>2020BR12</v>
          </cell>
          <cell r="D1175" t="str">
            <v>BR</v>
          </cell>
          <cell r="E1175" t="str">
            <v>Charles</v>
          </cell>
          <cell r="F1175">
            <v>2020</v>
          </cell>
          <cell r="I1175">
            <v>72</v>
          </cell>
          <cell r="J1175">
            <v>-22</v>
          </cell>
          <cell r="K1175" t="str">
            <v>L</v>
          </cell>
        </row>
        <row r="1176">
          <cell r="A1176" t="str">
            <v>2020Abby12</v>
          </cell>
          <cell r="D1176" t="str">
            <v>Abby</v>
          </cell>
          <cell r="E1176" t="str">
            <v>Watty</v>
          </cell>
          <cell r="F1176">
            <v>2020</v>
          </cell>
          <cell r="I1176">
            <v>88</v>
          </cell>
          <cell r="J1176">
            <v>-57</v>
          </cell>
          <cell r="K1176" t="str">
            <v>L</v>
          </cell>
        </row>
        <row r="1177">
          <cell r="A1177" t="str">
            <v>2020Watty12</v>
          </cell>
          <cell r="D1177" t="str">
            <v>Watty</v>
          </cell>
          <cell r="E1177" t="str">
            <v>Abby</v>
          </cell>
          <cell r="F1177">
            <v>2020</v>
          </cell>
          <cell r="I1177">
            <v>145</v>
          </cell>
          <cell r="J1177">
            <v>57</v>
          </cell>
          <cell r="K1177" t="str">
            <v>W</v>
          </cell>
        </row>
        <row r="1178">
          <cell r="A1178" t="str">
            <v>2020Mark12</v>
          </cell>
          <cell r="D1178" t="str">
            <v>Mark</v>
          </cell>
          <cell r="E1178" t="str">
            <v>Michael</v>
          </cell>
          <cell r="F1178">
            <v>2020</v>
          </cell>
          <cell r="I1178">
            <v>107</v>
          </cell>
          <cell r="J1178">
            <v>21</v>
          </cell>
          <cell r="K1178" t="str">
            <v>W</v>
          </cell>
        </row>
        <row r="1179">
          <cell r="A1179" t="str">
            <v>2020Michael12</v>
          </cell>
          <cell r="D1179" t="str">
            <v>Michael</v>
          </cell>
          <cell r="E1179" t="str">
            <v>Mark</v>
          </cell>
          <cell r="F1179">
            <v>2020</v>
          </cell>
          <cell r="I1179">
            <v>86</v>
          </cell>
          <cell r="J1179">
            <v>-21</v>
          </cell>
          <cell r="K1179" t="str">
            <v>L</v>
          </cell>
        </row>
        <row r="1180">
          <cell r="A1180" t="str">
            <v>2020Brent12</v>
          </cell>
          <cell r="D1180" t="str">
            <v>Brent</v>
          </cell>
          <cell r="E1180" t="str">
            <v>Matt</v>
          </cell>
          <cell r="F1180">
            <v>2020</v>
          </cell>
          <cell r="I1180">
            <v>81</v>
          </cell>
          <cell r="J1180">
            <v>-20</v>
          </cell>
          <cell r="K1180" t="str">
            <v>L</v>
          </cell>
        </row>
        <row r="1181">
          <cell r="A1181" t="str">
            <v>2020Matt12</v>
          </cell>
          <cell r="D1181" t="str">
            <v>Matt</v>
          </cell>
          <cell r="E1181" t="str">
            <v>Brent</v>
          </cell>
          <cell r="F1181">
            <v>2020</v>
          </cell>
          <cell r="I1181">
            <v>101</v>
          </cell>
          <cell r="J1181">
            <v>20</v>
          </cell>
          <cell r="K1181" t="str">
            <v>W</v>
          </cell>
        </row>
        <row r="1182">
          <cell r="A1182" t="str">
            <v>2020Brian12</v>
          </cell>
          <cell r="D1182" t="str">
            <v>Brian</v>
          </cell>
          <cell r="E1182" t="str">
            <v>David</v>
          </cell>
          <cell r="F1182">
            <v>2020</v>
          </cell>
          <cell r="I1182">
            <v>71</v>
          </cell>
          <cell r="J1182">
            <v>13</v>
          </cell>
          <cell r="K1182" t="str">
            <v>W</v>
          </cell>
        </row>
        <row r="1183">
          <cell r="A1183" t="str">
            <v>2020David12</v>
          </cell>
          <cell r="D1183" t="str">
            <v>David</v>
          </cell>
          <cell r="E1183" t="str">
            <v>Brian</v>
          </cell>
          <cell r="F1183">
            <v>2020</v>
          </cell>
          <cell r="I1183">
            <v>58</v>
          </cell>
          <cell r="J1183">
            <v>-13</v>
          </cell>
          <cell r="K1183" t="str">
            <v>L</v>
          </cell>
        </row>
        <row r="1184">
          <cell r="A1184" t="str">
            <v>2020Emily12</v>
          </cell>
          <cell r="D1184" t="str">
            <v>Emily</v>
          </cell>
          <cell r="E1184" t="str">
            <v>Russell</v>
          </cell>
          <cell r="F1184">
            <v>2020</v>
          </cell>
          <cell r="I1184">
            <v>74</v>
          </cell>
          <cell r="J1184">
            <v>-26</v>
          </cell>
          <cell r="K1184" t="str">
            <v>L</v>
          </cell>
        </row>
        <row r="1185">
          <cell r="A1185" t="str">
            <v>2020Russell12</v>
          </cell>
          <cell r="D1185" t="str">
            <v>Russell</v>
          </cell>
          <cell r="E1185" t="str">
            <v>Emily</v>
          </cell>
          <cell r="F1185">
            <v>2020</v>
          </cell>
          <cell r="I1185">
            <v>100</v>
          </cell>
          <cell r="J1185">
            <v>26</v>
          </cell>
          <cell r="K1185" t="str">
            <v>W</v>
          </cell>
        </row>
        <row r="1186">
          <cell r="A1186" t="str">
            <v>2020Watty13</v>
          </cell>
          <cell r="D1186" t="str">
            <v>Watty</v>
          </cell>
          <cell r="E1186" t="str">
            <v>BR</v>
          </cell>
          <cell r="F1186">
            <v>2020</v>
          </cell>
          <cell r="I1186">
            <v>86</v>
          </cell>
          <cell r="J1186">
            <v>14</v>
          </cell>
          <cell r="K1186" t="str">
            <v>W</v>
          </cell>
        </row>
        <row r="1187">
          <cell r="A1187" t="str">
            <v>2020BR13</v>
          </cell>
          <cell r="D1187" t="str">
            <v>BR</v>
          </cell>
          <cell r="E1187" t="str">
            <v>Watty</v>
          </cell>
          <cell r="F1187">
            <v>2020</v>
          </cell>
          <cell r="I1187">
            <v>72</v>
          </cell>
          <cell r="J1187">
            <v>-14</v>
          </cell>
          <cell r="K1187" t="str">
            <v>L</v>
          </cell>
        </row>
        <row r="1188">
          <cell r="A1188" t="str">
            <v>2020Mark13</v>
          </cell>
          <cell r="D1188" t="str">
            <v>Mark</v>
          </cell>
          <cell r="E1188" t="str">
            <v>Abby</v>
          </cell>
          <cell r="F1188">
            <v>2020</v>
          </cell>
          <cell r="I1188">
            <v>83</v>
          </cell>
          <cell r="J1188">
            <v>-39</v>
          </cell>
          <cell r="K1188" t="str">
            <v>L</v>
          </cell>
        </row>
        <row r="1189">
          <cell r="A1189" t="str">
            <v>2020Abby13</v>
          </cell>
          <cell r="D1189" t="str">
            <v>Abby</v>
          </cell>
          <cell r="E1189" t="str">
            <v>Mark</v>
          </cell>
          <cell r="F1189">
            <v>2020</v>
          </cell>
          <cell r="I1189">
            <v>122</v>
          </cell>
          <cell r="J1189">
            <v>39</v>
          </cell>
          <cell r="K1189" t="str">
            <v>W</v>
          </cell>
        </row>
        <row r="1190">
          <cell r="A1190" t="str">
            <v>2020Charles13</v>
          </cell>
          <cell r="D1190" t="str">
            <v>Charles</v>
          </cell>
          <cell r="E1190" t="str">
            <v>Michael</v>
          </cell>
          <cell r="F1190">
            <v>2020</v>
          </cell>
          <cell r="I1190">
            <v>95</v>
          </cell>
          <cell r="J1190">
            <v>-14</v>
          </cell>
          <cell r="K1190" t="str">
            <v>L</v>
          </cell>
        </row>
        <row r="1191">
          <cell r="A1191" t="str">
            <v>2020Michael13</v>
          </cell>
          <cell r="D1191" t="str">
            <v>Michael</v>
          </cell>
          <cell r="E1191" t="str">
            <v>Charles</v>
          </cell>
          <cell r="F1191">
            <v>2020</v>
          </cell>
          <cell r="I1191">
            <v>109</v>
          </cell>
          <cell r="J1191">
            <v>14</v>
          </cell>
          <cell r="K1191" t="str">
            <v>W</v>
          </cell>
        </row>
        <row r="1192">
          <cell r="A1192" t="str">
            <v>2020Brian13</v>
          </cell>
          <cell r="D1192" t="str">
            <v>Brian</v>
          </cell>
          <cell r="E1192" t="str">
            <v>Brent</v>
          </cell>
          <cell r="F1192">
            <v>2020</v>
          </cell>
          <cell r="I1192">
            <v>59</v>
          </cell>
          <cell r="J1192">
            <v>2</v>
          </cell>
          <cell r="K1192" t="str">
            <v>W</v>
          </cell>
        </row>
        <row r="1193">
          <cell r="A1193" t="str">
            <v>2020Brent13</v>
          </cell>
          <cell r="D1193" t="str">
            <v>Brent</v>
          </cell>
          <cell r="E1193" t="str">
            <v>Brian</v>
          </cell>
          <cell r="F1193">
            <v>2020</v>
          </cell>
          <cell r="I1193">
            <v>57</v>
          </cell>
          <cell r="J1193">
            <v>-2</v>
          </cell>
          <cell r="K1193" t="str">
            <v>L</v>
          </cell>
        </row>
        <row r="1194">
          <cell r="A1194" t="str">
            <v>2020Russell13</v>
          </cell>
          <cell r="D1194" t="str">
            <v>Russell</v>
          </cell>
          <cell r="E1194" t="str">
            <v>David</v>
          </cell>
          <cell r="F1194">
            <v>2020</v>
          </cell>
          <cell r="I1194">
            <v>124</v>
          </cell>
          <cell r="J1194">
            <v>23</v>
          </cell>
          <cell r="K1194" t="str">
            <v>W</v>
          </cell>
        </row>
        <row r="1195">
          <cell r="A1195" t="str">
            <v>2020David13</v>
          </cell>
          <cell r="D1195" t="str">
            <v>David</v>
          </cell>
          <cell r="E1195" t="str">
            <v>Russell</v>
          </cell>
          <cell r="F1195">
            <v>2020</v>
          </cell>
          <cell r="I1195">
            <v>101</v>
          </cell>
          <cell r="J1195">
            <v>-23</v>
          </cell>
          <cell r="K1195" t="str">
            <v>L</v>
          </cell>
        </row>
        <row r="1196">
          <cell r="A1196" t="str">
            <v>2020Emily13</v>
          </cell>
          <cell r="D1196" t="str">
            <v>Emily</v>
          </cell>
          <cell r="E1196" t="str">
            <v>Matt</v>
          </cell>
          <cell r="F1196">
            <v>2020</v>
          </cell>
          <cell r="I1196">
            <v>68</v>
          </cell>
          <cell r="J1196">
            <v>8</v>
          </cell>
          <cell r="K1196" t="str">
            <v>W</v>
          </cell>
        </row>
        <row r="1197">
          <cell r="A1197" t="str">
            <v>2020Matt13</v>
          </cell>
          <cell r="D1197" t="str">
            <v>Matt</v>
          </cell>
          <cell r="E1197" t="str">
            <v>Emily</v>
          </cell>
          <cell r="F1197">
            <v>2020</v>
          </cell>
          <cell r="I1197">
            <v>60</v>
          </cell>
          <cell r="J1197">
            <v>-8</v>
          </cell>
          <cell r="K1197" t="str">
            <v>L</v>
          </cell>
        </row>
        <row r="1198">
          <cell r="A1198" t="str">
            <v>2021Watty1</v>
          </cell>
          <cell r="D1198" t="str">
            <v>Watty</v>
          </cell>
          <cell r="E1198" t="str">
            <v>Russell</v>
          </cell>
          <cell r="F1198">
            <v>2021</v>
          </cell>
          <cell r="I1198">
            <v>72</v>
          </cell>
          <cell r="J1198">
            <v>-33</v>
          </cell>
          <cell r="K1198" t="str">
            <v>L</v>
          </cell>
        </row>
        <row r="1199">
          <cell r="A1199" t="str">
            <v>2021Russell1</v>
          </cell>
          <cell r="D1199" t="str">
            <v>Russell</v>
          </cell>
          <cell r="E1199" t="str">
            <v>Watty</v>
          </cell>
          <cell r="F1199">
            <v>2021</v>
          </cell>
          <cell r="I1199">
            <v>105</v>
          </cell>
          <cell r="J1199">
            <v>33</v>
          </cell>
          <cell r="K1199" t="str">
            <v>W</v>
          </cell>
        </row>
        <row r="1200">
          <cell r="A1200" t="str">
            <v>2021Michael1</v>
          </cell>
          <cell r="D1200" t="str">
            <v>Michael</v>
          </cell>
          <cell r="E1200" t="str">
            <v>Matt</v>
          </cell>
          <cell r="F1200">
            <v>2021</v>
          </cell>
          <cell r="I1200">
            <v>97</v>
          </cell>
          <cell r="J1200">
            <v>-8</v>
          </cell>
          <cell r="K1200" t="str">
            <v>L</v>
          </cell>
        </row>
        <row r="1201">
          <cell r="A1201" t="str">
            <v>2021Matt1</v>
          </cell>
          <cell r="D1201" t="str">
            <v>Matt</v>
          </cell>
          <cell r="E1201" t="str">
            <v>Michael</v>
          </cell>
          <cell r="F1201">
            <v>2021</v>
          </cell>
          <cell r="I1201">
            <v>105</v>
          </cell>
          <cell r="J1201">
            <v>8</v>
          </cell>
          <cell r="K1201" t="str">
            <v>W</v>
          </cell>
        </row>
        <row r="1202">
          <cell r="A1202" t="str">
            <v>2021BR1</v>
          </cell>
          <cell r="D1202" t="str">
            <v>BR</v>
          </cell>
          <cell r="E1202" t="str">
            <v>Emily</v>
          </cell>
          <cell r="F1202">
            <v>2021</v>
          </cell>
          <cell r="I1202">
            <v>97</v>
          </cell>
          <cell r="J1202">
            <v>32</v>
          </cell>
          <cell r="K1202" t="str">
            <v>W</v>
          </cell>
        </row>
        <row r="1203">
          <cell r="A1203" t="str">
            <v>2021Emily1</v>
          </cell>
          <cell r="D1203" t="str">
            <v>Emily</v>
          </cell>
          <cell r="E1203" t="str">
            <v>BR</v>
          </cell>
          <cell r="F1203">
            <v>2021</v>
          </cell>
          <cell r="I1203">
            <v>65</v>
          </cell>
          <cell r="J1203">
            <v>-32</v>
          </cell>
          <cell r="K1203" t="str">
            <v>L</v>
          </cell>
        </row>
        <row r="1204">
          <cell r="A1204" t="str">
            <v>2021Mark1</v>
          </cell>
          <cell r="D1204" t="str">
            <v>Mark</v>
          </cell>
          <cell r="E1204" t="str">
            <v>Arnold</v>
          </cell>
          <cell r="F1204">
            <v>2021</v>
          </cell>
          <cell r="I1204">
            <v>88</v>
          </cell>
          <cell r="J1204">
            <v>-50</v>
          </cell>
          <cell r="K1204" t="str">
            <v>L</v>
          </cell>
        </row>
        <row r="1205">
          <cell r="A1205" t="str">
            <v>2021Arnold1</v>
          </cell>
          <cell r="D1205" t="str">
            <v>Arnold</v>
          </cell>
          <cell r="E1205" t="str">
            <v>Mark</v>
          </cell>
          <cell r="F1205">
            <v>2021</v>
          </cell>
          <cell r="I1205">
            <v>138</v>
          </cell>
          <cell r="J1205">
            <v>50</v>
          </cell>
          <cell r="K1205" t="str">
            <v>W</v>
          </cell>
        </row>
        <row r="1206">
          <cell r="A1206" t="str">
            <v>2021Brent1</v>
          </cell>
          <cell r="D1206" t="str">
            <v>Brent</v>
          </cell>
          <cell r="E1206" t="str">
            <v>Brian</v>
          </cell>
          <cell r="F1206">
            <v>2021</v>
          </cell>
          <cell r="I1206">
            <v>94</v>
          </cell>
          <cell r="J1206">
            <v>10</v>
          </cell>
          <cell r="K1206" t="str">
            <v>W</v>
          </cell>
        </row>
        <row r="1207">
          <cell r="A1207" t="str">
            <v>2021Brian1</v>
          </cell>
          <cell r="D1207" t="str">
            <v>Brian</v>
          </cell>
          <cell r="E1207" t="str">
            <v>Brent</v>
          </cell>
          <cell r="F1207">
            <v>2021</v>
          </cell>
          <cell r="I1207">
            <v>84</v>
          </cell>
          <cell r="J1207">
            <v>-10</v>
          </cell>
          <cell r="K1207" t="str">
            <v>L</v>
          </cell>
        </row>
        <row r="1208">
          <cell r="A1208" t="str">
            <v>2021David1</v>
          </cell>
          <cell r="D1208" t="str">
            <v>David</v>
          </cell>
          <cell r="E1208" t="str">
            <v>Charles</v>
          </cell>
          <cell r="F1208">
            <v>2021</v>
          </cell>
          <cell r="I1208">
            <v>82</v>
          </cell>
          <cell r="J1208">
            <v>-9</v>
          </cell>
          <cell r="K1208" t="str">
            <v>L</v>
          </cell>
        </row>
        <row r="1209">
          <cell r="A1209" t="str">
            <v>2021Charles1</v>
          </cell>
          <cell r="D1209" t="str">
            <v>Charles</v>
          </cell>
          <cell r="E1209" t="str">
            <v>David</v>
          </cell>
          <cell r="F1209">
            <v>2021</v>
          </cell>
          <cell r="I1209">
            <v>91</v>
          </cell>
          <cell r="J1209">
            <v>9</v>
          </cell>
          <cell r="K1209" t="str">
            <v>W</v>
          </cell>
        </row>
        <row r="1210">
          <cell r="A1210" t="str">
            <v>2021Brian2</v>
          </cell>
          <cell r="D1210" t="str">
            <v>Brian</v>
          </cell>
          <cell r="E1210" t="str">
            <v>Russell</v>
          </cell>
          <cell r="F1210">
            <v>2021</v>
          </cell>
          <cell r="I1210">
            <v>83</v>
          </cell>
          <cell r="J1210">
            <v>-60</v>
          </cell>
          <cell r="K1210" t="str">
            <v>L</v>
          </cell>
        </row>
        <row r="1211">
          <cell r="A1211" t="str">
            <v>2021Russell2</v>
          </cell>
          <cell r="D1211" t="str">
            <v>Russell</v>
          </cell>
          <cell r="E1211" t="str">
            <v>Brian</v>
          </cell>
          <cell r="F1211">
            <v>2021</v>
          </cell>
          <cell r="I1211">
            <v>143</v>
          </cell>
          <cell r="J1211">
            <v>60</v>
          </cell>
          <cell r="K1211" t="str">
            <v>W</v>
          </cell>
        </row>
        <row r="1212">
          <cell r="A1212" t="str">
            <v>2021Emily2</v>
          </cell>
          <cell r="D1212" t="str">
            <v>Emily</v>
          </cell>
          <cell r="E1212" t="str">
            <v>Matt</v>
          </cell>
          <cell r="F1212">
            <v>2021</v>
          </cell>
          <cell r="I1212">
            <v>97</v>
          </cell>
          <cell r="J1212">
            <v>-11</v>
          </cell>
          <cell r="K1212" t="str">
            <v>L</v>
          </cell>
        </row>
        <row r="1213">
          <cell r="A1213" t="str">
            <v>2021Matt2</v>
          </cell>
          <cell r="D1213" t="str">
            <v>Matt</v>
          </cell>
          <cell r="E1213" t="str">
            <v>Emily</v>
          </cell>
          <cell r="F1213">
            <v>2021</v>
          </cell>
          <cell r="I1213">
            <v>108</v>
          </cell>
          <cell r="J1213">
            <v>11</v>
          </cell>
          <cell r="K1213" t="str">
            <v>W</v>
          </cell>
        </row>
        <row r="1214">
          <cell r="A1214" t="str">
            <v>2021David2</v>
          </cell>
          <cell r="D1214" t="str">
            <v>David</v>
          </cell>
          <cell r="E1214" t="str">
            <v>Brent</v>
          </cell>
          <cell r="F1214">
            <v>2021</v>
          </cell>
          <cell r="I1214">
            <v>70</v>
          </cell>
          <cell r="J1214">
            <v>-12</v>
          </cell>
          <cell r="K1214" t="str">
            <v>L</v>
          </cell>
        </row>
        <row r="1215">
          <cell r="A1215" t="str">
            <v>2021Brent2</v>
          </cell>
          <cell r="D1215" t="str">
            <v>Brent</v>
          </cell>
          <cell r="E1215" t="str">
            <v>David</v>
          </cell>
          <cell r="F1215">
            <v>2021</v>
          </cell>
          <cell r="I1215">
            <v>82</v>
          </cell>
          <cell r="J1215">
            <v>12</v>
          </cell>
          <cell r="K1215" t="str">
            <v>W</v>
          </cell>
        </row>
        <row r="1216">
          <cell r="A1216" t="str">
            <v>2021Michael2</v>
          </cell>
          <cell r="D1216" t="str">
            <v>Michael</v>
          </cell>
          <cell r="E1216" t="str">
            <v>BR</v>
          </cell>
          <cell r="F1216">
            <v>2021</v>
          </cell>
          <cell r="I1216">
            <v>67</v>
          </cell>
          <cell r="J1216">
            <v>-2</v>
          </cell>
          <cell r="K1216" t="str">
            <v>L</v>
          </cell>
        </row>
        <row r="1217">
          <cell r="A1217" t="str">
            <v>2021BR2</v>
          </cell>
          <cell r="D1217" t="str">
            <v>BR</v>
          </cell>
          <cell r="E1217" t="str">
            <v>Michael</v>
          </cell>
          <cell r="F1217">
            <v>2021</v>
          </cell>
          <cell r="I1217">
            <v>69</v>
          </cell>
          <cell r="J1217">
            <v>2</v>
          </cell>
          <cell r="K1217" t="str">
            <v>W</v>
          </cell>
        </row>
        <row r="1218">
          <cell r="A1218" t="str">
            <v>2021Watty2</v>
          </cell>
          <cell r="D1218" t="str">
            <v>Watty</v>
          </cell>
          <cell r="E1218" t="str">
            <v>Charles</v>
          </cell>
          <cell r="F1218">
            <v>2021</v>
          </cell>
          <cell r="I1218">
            <v>126</v>
          </cell>
          <cell r="J1218">
            <v>31</v>
          </cell>
          <cell r="K1218" t="str">
            <v>W</v>
          </cell>
        </row>
        <row r="1219">
          <cell r="A1219" t="str">
            <v>2021Charles2</v>
          </cell>
          <cell r="D1219" t="str">
            <v>Charles</v>
          </cell>
          <cell r="E1219" t="str">
            <v>Watty</v>
          </cell>
          <cell r="F1219">
            <v>2021</v>
          </cell>
          <cell r="I1219">
            <v>95</v>
          </cell>
          <cell r="J1219">
            <v>-31</v>
          </cell>
          <cell r="K1219" t="str">
            <v>L</v>
          </cell>
        </row>
        <row r="1220">
          <cell r="A1220" t="str">
            <v>2021Mark2</v>
          </cell>
          <cell r="D1220" t="str">
            <v>Mark</v>
          </cell>
          <cell r="E1220" t="str">
            <v>Arnold</v>
          </cell>
          <cell r="F1220">
            <v>2021</v>
          </cell>
          <cell r="I1220">
            <v>94</v>
          </cell>
          <cell r="J1220">
            <v>-16</v>
          </cell>
          <cell r="K1220" t="str">
            <v>L</v>
          </cell>
        </row>
        <row r="1221">
          <cell r="A1221" t="str">
            <v>2021Arnold2</v>
          </cell>
          <cell r="D1221" t="str">
            <v>Arnold</v>
          </cell>
          <cell r="E1221" t="str">
            <v>Mark</v>
          </cell>
          <cell r="F1221">
            <v>2021</v>
          </cell>
          <cell r="I1221">
            <v>110</v>
          </cell>
          <cell r="J1221">
            <v>16</v>
          </cell>
          <cell r="K1221" t="str">
            <v>W</v>
          </cell>
        </row>
        <row r="1222">
          <cell r="A1222" t="str">
            <v>2021Emily3</v>
          </cell>
          <cell r="D1222" t="str">
            <v>Emily</v>
          </cell>
          <cell r="E1222" t="str">
            <v>Brian</v>
          </cell>
          <cell r="F1222">
            <v>2021</v>
          </cell>
          <cell r="I1222">
            <v>95</v>
          </cell>
          <cell r="J1222">
            <v>-8</v>
          </cell>
          <cell r="K1222" t="str">
            <v>L</v>
          </cell>
        </row>
        <row r="1223">
          <cell r="A1223" t="str">
            <v>2021Brian3</v>
          </cell>
          <cell r="D1223" t="str">
            <v>Brian</v>
          </cell>
          <cell r="E1223" t="str">
            <v>Emily</v>
          </cell>
          <cell r="F1223">
            <v>2021</v>
          </cell>
          <cell r="I1223">
            <v>103</v>
          </cell>
          <cell r="J1223">
            <v>8</v>
          </cell>
          <cell r="K1223" t="str">
            <v>W</v>
          </cell>
        </row>
        <row r="1224">
          <cell r="A1224" t="str">
            <v>2021Russell3</v>
          </cell>
          <cell r="D1224" t="str">
            <v>Russell</v>
          </cell>
          <cell r="E1224" t="str">
            <v>David</v>
          </cell>
          <cell r="F1224">
            <v>2021</v>
          </cell>
          <cell r="I1224">
            <v>86</v>
          </cell>
          <cell r="J1224">
            <v>3</v>
          </cell>
          <cell r="K1224" t="str">
            <v>W</v>
          </cell>
        </row>
        <row r="1225">
          <cell r="A1225" t="str">
            <v>2021David3</v>
          </cell>
          <cell r="D1225" t="str">
            <v>David</v>
          </cell>
          <cell r="E1225" t="str">
            <v>Russell</v>
          </cell>
          <cell r="F1225">
            <v>2021</v>
          </cell>
          <cell r="I1225">
            <v>83</v>
          </cell>
          <cell r="J1225">
            <v>-3</v>
          </cell>
          <cell r="K1225" t="str">
            <v>L</v>
          </cell>
        </row>
        <row r="1226">
          <cell r="A1226" t="str">
            <v>2021Matt3</v>
          </cell>
          <cell r="D1226" t="str">
            <v>Matt</v>
          </cell>
          <cell r="E1226" t="str">
            <v>Brent</v>
          </cell>
          <cell r="F1226">
            <v>2021</v>
          </cell>
          <cell r="I1226">
            <v>68</v>
          </cell>
          <cell r="J1226">
            <v>-20</v>
          </cell>
          <cell r="K1226" t="str">
            <v>L</v>
          </cell>
        </row>
        <row r="1227">
          <cell r="A1227" t="str">
            <v>2021Brent3</v>
          </cell>
          <cell r="D1227" t="str">
            <v>Brent</v>
          </cell>
          <cell r="E1227" t="str">
            <v>Matt</v>
          </cell>
          <cell r="F1227">
            <v>2021</v>
          </cell>
          <cell r="I1227">
            <v>88</v>
          </cell>
          <cell r="J1227">
            <v>20</v>
          </cell>
          <cell r="K1227" t="str">
            <v>W</v>
          </cell>
        </row>
        <row r="1228">
          <cell r="A1228" t="str">
            <v>2021Watty3</v>
          </cell>
          <cell r="D1228" t="str">
            <v>Watty</v>
          </cell>
          <cell r="E1228" t="str">
            <v>Michael</v>
          </cell>
          <cell r="F1228">
            <v>2021</v>
          </cell>
          <cell r="I1228">
            <v>71</v>
          </cell>
          <cell r="J1228">
            <v>-42</v>
          </cell>
          <cell r="K1228" t="str">
            <v>L</v>
          </cell>
        </row>
        <row r="1229">
          <cell r="A1229" t="str">
            <v>2021Michael3</v>
          </cell>
          <cell r="D1229" t="str">
            <v>Michael</v>
          </cell>
          <cell r="E1229" t="str">
            <v>Watty</v>
          </cell>
          <cell r="F1229">
            <v>2021</v>
          </cell>
          <cell r="I1229">
            <v>113</v>
          </cell>
          <cell r="J1229">
            <v>42</v>
          </cell>
          <cell r="K1229" t="str">
            <v>W</v>
          </cell>
        </row>
        <row r="1230">
          <cell r="A1230" t="str">
            <v>2021BR3</v>
          </cell>
          <cell r="D1230" t="str">
            <v>BR</v>
          </cell>
          <cell r="E1230" t="str">
            <v>Mark</v>
          </cell>
          <cell r="F1230">
            <v>2021</v>
          </cell>
          <cell r="I1230">
            <v>133</v>
          </cell>
          <cell r="J1230">
            <v>53</v>
          </cell>
          <cell r="K1230" t="str">
            <v>W</v>
          </cell>
        </row>
        <row r="1231">
          <cell r="A1231" t="str">
            <v>2021Mark3</v>
          </cell>
          <cell r="D1231" t="str">
            <v>Mark</v>
          </cell>
          <cell r="E1231" t="str">
            <v>BR</v>
          </cell>
          <cell r="F1231">
            <v>2021</v>
          </cell>
          <cell r="I1231">
            <v>80</v>
          </cell>
          <cell r="J1231">
            <v>-53</v>
          </cell>
          <cell r="K1231" t="str">
            <v>L</v>
          </cell>
        </row>
        <row r="1232">
          <cell r="A1232" t="str">
            <v>2021Charles3</v>
          </cell>
          <cell r="D1232" t="str">
            <v>Charles</v>
          </cell>
          <cell r="E1232" t="str">
            <v>Arnold</v>
          </cell>
          <cell r="F1232">
            <v>2021</v>
          </cell>
          <cell r="I1232">
            <v>124</v>
          </cell>
          <cell r="J1232">
            <v>46</v>
          </cell>
          <cell r="K1232" t="str">
            <v>W</v>
          </cell>
        </row>
        <row r="1233">
          <cell r="A1233" t="str">
            <v>2021Arnold3</v>
          </cell>
          <cell r="D1233" t="str">
            <v>Arnold</v>
          </cell>
          <cell r="E1233" t="str">
            <v>Charles</v>
          </cell>
          <cell r="F1233">
            <v>2021</v>
          </cell>
          <cell r="I1233">
            <v>78</v>
          </cell>
          <cell r="J1233">
            <v>-46</v>
          </cell>
          <cell r="K1233" t="str">
            <v>L</v>
          </cell>
        </row>
        <row r="1234">
          <cell r="A1234" t="str">
            <v>2021Brian4</v>
          </cell>
          <cell r="D1234" t="str">
            <v>Brian</v>
          </cell>
          <cell r="E1234" t="str">
            <v>David</v>
          </cell>
          <cell r="F1234">
            <v>2021</v>
          </cell>
          <cell r="I1234">
            <v>57</v>
          </cell>
          <cell r="J1234">
            <v>-55</v>
          </cell>
          <cell r="K1234" t="str">
            <v>L</v>
          </cell>
        </row>
        <row r="1235">
          <cell r="A1235" t="str">
            <v>2021David4</v>
          </cell>
          <cell r="D1235" t="str">
            <v>David</v>
          </cell>
          <cell r="E1235" t="str">
            <v>Brian</v>
          </cell>
          <cell r="F1235">
            <v>2021</v>
          </cell>
          <cell r="I1235">
            <v>112</v>
          </cell>
          <cell r="J1235">
            <v>55</v>
          </cell>
          <cell r="K1235" t="str">
            <v>W</v>
          </cell>
        </row>
        <row r="1236">
          <cell r="A1236" t="str">
            <v>2021Brent4</v>
          </cell>
          <cell r="D1236" t="str">
            <v>Brent</v>
          </cell>
          <cell r="E1236" t="str">
            <v>Emily</v>
          </cell>
          <cell r="F1236">
            <v>2021</v>
          </cell>
          <cell r="I1236">
            <v>78</v>
          </cell>
          <cell r="J1236">
            <v>-13</v>
          </cell>
          <cell r="K1236" t="str">
            <v>L</v>
          </cell>
        </row>
        <row r="1237">
          <cell r="A1237" t="str">
            <v>2021Emily4</v>
          </cell>
          <cell r="D1237" t="str">
            <v>Emily</v>
          </cell>
          <cell r="E1237" t="str">
            <v>Brent</v>
          </cell>
          <cell r="F1237">
            <v>2021</v>
          </cell>
          <cell r="I1237">
            <v>91</v>
          </cell>
          <cell r="J1237">
            <v>13</v>
          </cell>
          <cell r="K1237" t="str">
            <v>W</v>
          </cell>
        </row>
        <row r="1238">
          <cell r="A1238" t="str">
            <v>2021Matt4</v>
          </cell>
          <cell r="D1238" t="str">
            <v>Matt</v>
          </cell>
          <cell r="E1238" t="str">
            <v>Russell</v>
          </cell>
          <cell r="F1238">
            <v>2021</v>
          </cell>
          <cell r="I1238">
            <v>105</v>
          </cell>
          <cell r="J1238">
            <v>24</v>
          </cell>
          <cell r="K1238" t="str">
            <v>W</v>
          </cell>
        </row>
        <row r="1239">
          <cell r="A1239" t="str">
            <v>2021Russell4</v>
          </cell>
          <cell r="D1239" t="str">
            <v>Russell</v>
          </cell>
          <cell r="E1239" t="str">
            <v>Matt</v>
          </cell>
          <cell r="F1239">
            <v>2021</v>
          </cell>
          <cell r="I1239">
            <v>81</v>
          </cell>
          <cell r="J1239">
            <v>-24</v>
          </cell>
          <cell r="K1239" t="str">
            <v>L</v>
          </cell>
        </row>
        <row r="1240">
          <cell r="A1240" t="str">
            <v>2021Michael4</v>
          </cell>
          <cell r="D1240" t="str">
            <v>Michael</v>
          </cell>
          <cell r="E1240" t="str">
            <v>Mark</v>
          </cell>
          <cell r="F1240">
            <v>2021</v>
          </cell>
          <cell r="I1240">
            <v>129</v>
          </cell>
          <cell r="J1240">
            <v>45</v>
          </cell>
          <cell r="K1240" t="str">
            <v>W</v>
          </cell>
        </row>
        <row r="1241">
          <cell r="A1241" t="str">
            <v>2021Mark4</v>
          </cell>
          <cell r="D1241" t="str">
            <v>Mark</v>
          </cell>
          <cell r="E1241" t="str">
            <v>Michael</v>
          </cell>
          <cell r="F1241">
            <v>2021</v>
          </cell>
          <cell r="I1241">
            <v>84</v>
          </cell>
          <cell r="J1241">
            <v>-45</v>
          </cell>
          <cell r="K1241" t="str">
            <v>L</v>
          </cell>
        </row>
        <row r="1242">
          <cell r="A1242" t="str">
            <v>2021Arnold4</v>
          </cell>
          <cell r="D1242" t="str">
            <v>Arnold</v>
          </cell>
          <cell r="E1242" t="str">
            <v>Watty</v>
          </cell>
          <cell r="F1242">
            <v>2021</v>
          </cell>
          <cell r="I1242">
            <v>51</v>
          </cell>
          <cell r="J1242">
            <v>-55</v>
          </cell>
          <cell r="K1242" t="str">
            <v>L</v>
          </cell>
        </row>
        <row r="1243">
          <cell r="A1243" t="str">
            <v>2021Watty4</v>
          </cell>
          <cell r="D1243" t="str">
            <v>Watty</v>
          </cell>
          <cell r="E1243" t="str">
            <v>Arnold</v>
          </cell>
          <cell r="F1243">
            <v>2021</v>
          </cell>
          <cell r="I1243">
            <v>106</v>
          </cell>
          <cell r="J1243">
            <v>55</v>
          </cell>
          <cell r="K1243" t="str">
            <v>W</v>
          </cell>
        </row>
        <row r="1244">
          <cell r="A1244" t="str">
            <v>2021Charles4</v>
          </cell>
          <cell r="D1244" t="str">
            <v>Charles</v>
          </cell>
          <cell r="E1244" t="str">
            <v>BR</v>
          </cell>
          <cell r="F1244">
            <v>2021</v>
          </cell>
          <cell r="I1244">
            <v>131</v>
          </cell>
          <cell r="J1244">
            <v>35</v>
          </cell>
          <cell r="K1244" t="str">
            <v>W</v>
          </cell>
        </row>
        <row r="1245">
          <cell r="A1245" t="str">
            <v>2021BR4</v>
          </cell>
          <cell r="D1245" t="str">
            <v>BR</v>
          </cell>
          <cell r="E1245" t="str">
            <v>Charles</v>
          </cell>
          <cell r="F1245">
            <v>2021</v>
          </cell>
          <cell r="I1245">
            <v>96</v>
          </cell>
          <cell r="J1245">
            <v>-35</v>
          </cell>
          <cell r="K1245" t="str">
            <v>L</v>
          </cell>
        </row>
        <row r="1246">
          <cell r="A1246" t="str">
            <v>2021Brent5</v>
          </cell>
          <cell r="D1246" t="str">
            <v>Brent</v>
          </cell>
          <cell r="E1246" t="str">
            <v>Brian</v>
          </cell>
          <cell r="F1246">
            <v>2021</v>
          </cell>
          <cell r="I1246">
            <v>72</v>
          </cell>
          <cell r="J1246">
            <v>-43</v>
          </cell>
          <cell r="K1246" t="str">
            <v>L</v>
          </cell>
        </row>
        <row r="1247">
          <cell r="A1247" t="str">
            <v>2021Brian5</v>
          </cell>
          <cell r="D1247" t="str">
            <v>Brian</v>
          </cell>
          <cell r="E1247" t="str">
            <v>Brent</v>
          </cell>
          <cell r="F1247">
            <v>2021</v>
          </cell>
          <cell r="I1247">
            <v>115</v>
          </cell>
          <cell r="J1247">
            <v>43</v>
          </cell>
          <cell r="K1247" t="str">
            <v>W</v>
          </cell>
        </row>
        <row r="1248">
          <cell r="A1248" t="str">
            <v>2021David5</v>
          </cell>
          <cell r="D1248" t="str">
            <v>David</v>
          </cell>
          <cell r="E1248" t="str">
            <v>Matt</v>
          </cell>
          <cell r="F1248">
            <v>2021</v>
          </cell>
          <cell r="I1248">
            <v>132</v>
          </cell>
          <cell r="J1248">
            <v>82</v>
          </cell>
          <cell r="K1248" t="str">
            <v>W</v>
          </cell>
        </row>
        <row r="1249">
          <cell r="A1249" t="str">
            <v>2021Matt5</v>
          </cell>
          <cell r="D1249" t="str">
            <v>Matt</v>
          </cell>
          <cell r="E1249" t="str">
            <v>David</v>
          </cell>
          <cell r="F1249">
            <v>2021</v>
          </cell>
          <cell r="I1249">
            <v>50</v>
          </cell>
          <cell r="J1249">
            <v>-82</v>
          </cell>
          <cell r="K1249" t="str">
            <v>L</v>
          </cell>
        </row>
        <row r="1250">
          <cell r="A1250" t="str">
            <v>2021Emily5</v>
          </cell>
          <cell r="D1250" t="str">
            <v>Emily</v>
          </cell>
          <cell r="E1250" t="str">
            <v>Russell</v>
          </cell>
          <cell r="F1250">
            <v>2021</v>
          </cell>
          <cell r="I1250">
            <v>103</v>
          </cell>
          <cell r="J1250">
            <v>19</v>
          </cell>
          <cell r="K1250" t="str">
            <v>W</v>
          </cell>
        </row>
        <row r="1251">
          <cell r="A1251" t="str">
            <v>2021Russell5</v>
          </cell>
          <cell r="D1251" t="str">
            <v>Russell</v>
          </cell>
          <cell r="E1251" t="str">
            <v>Emily</v>
          </cell>
          <cell r="F1251">
            <v>2021</v>
          </cell>
          <cell r="I1251">
            <v>84</v>
          </cell>
          <cell r="J1251">
            <v>-19</v>
          </cell>
          <cell r="K1251" t="str">
            <v>L</v>
          </cell>
        </row>
        <row r="1252">
          <cell r="A1252" t="str">
            <v>2021Arnold5</v>
          </cell>
          <cell r="D1252" t="str">
            <v>Arnold</v>
          </cell>
          <cell r="E1252" t="str">
            <v>Michael</v>
          </cell>
          <cell r="F1252">
            <v>2021</v>
          </cell>
          <cell r="I1252">
            <v>83</v>
          </cell>
          <cell r="J1252">
            <v>-18</v>
          </cell>
          <cell r="K1252" t="str">
            <v>L</v>
          </cell>
        </row>
        <row r="1253">
          <cell r="A1253" t="str">
            <v>2021Michael5</v>
          </cell>
          <cell r="D1253" t="str">
            <v>Michael</v>
          </cell>
          <cell r="E1253" t="str">
            <v>Arnold</v>
          </cell>
          <cell r="F1253">
            <v>2021</v>
          </cell>
          <cell r="I1253">
            <v>101</v>
          </cell>
          <cell r="J1253">
            <v>18</v>
          </cell>
          <cell r="K1253" t="str">
            <v>W</v>
          </cell>
        </row>
        <row r="1254">
          <cell r="A1254" t="str">
            <v>2021Mark5</v>
          </cell>
          <cell r="D1254" t="str">
            <v>Mark</v>
          </cell>
          <cell r="E1254" t="str">
            <v>Charles</v>
          </cell>
          <cell r="F1254">
            <v>2021</v>
          </cell>
          <cell r="I1254">
            <v>92</v>
          </cell>
          <cell r="J1254">
            <v>-44</v>
          </cell>
          <cell r="K1254" t="str">
            <v>L</v>
          </cell>
        </row>
        <row r="1255">
          <cell r="A1255" t="str">
            <v>2021Charles5</v>
          </cell>
          <cell r="D1255" t="str">
            <v>Charles</v>
          </cell>
          <cell r="E1255" t="str">
            <v>Mark</v>
          </cell>
          <cell r="F1255">
            <v>2021</v>
          </cell>
          <cell r="I1255">
            <v>136</v>
          </cell>
          <cell r="J1255">
            <v>44</v>
          </cell>
          <cell r="K1255" t="str">
            <v>W</v>
          </cell>
        </row>
        <row r="1256">
          <cell r="A1256" t="str">
            <v>2021Watty5</v>
          </cell>
          <cell r="D1256" t="str">
            <v>Watty</v>
          </cell>
          <cell r="E1256" t="str">
            <v>BR</v>
          </cell>
          <cell r="F1256">
            <v>2021</v>
          </cell>
          <cell r="I1256">
            <v>108</v>
          </cell>
          <cell r="J1256">
            <v>-66</v>
          </cell>
          <cell r="K1256" t="str">
            <v>L</v>
          </cell>
        </row>
        <row r="1257">
          <cell r="A1257" t="str">
            <v>2021BR5</v>
          </cell>
          <cell r="D1257" t="str">
            <v>BR</v>
          </cell>
          <cell r="E1257" t="str">
            <v>Watty</v>
          </cell>
          <cell r="F1257">
            <v>2021</v>
          </cell>
          <cell r="I1257">
            <v>174</v>
          </cell>
          <cell r="J1257">
            <v>66</v>
          </cell>
          <cell r="K1257" t="str">
            <v>W</v>
          </cell>
        </row>
        <row r="1258">
          <cell r="A1258" t="str">
            <v>2021Brian6</v>
          </cell>
          <cell r="D1258" t="str">
            <v>Brian</v>
          </cell>
          <cell r="E1258" t="str">
            <v>Michael</v>
          </cell>
          <cell r="F1258">
            <v>2021</v>
          </cell>
          <cell r="I1258">
            <v>108</v>
          </cell>
          <cell r="J1258">
            <v>9</v>
          </cell>
          <cell r="K1258" t="str">
            <v>W</v>
          </cell>
        </row>
        <row r="1259">
          <cell r="A1259" t="str">
            <v>2021Michael6</v>
          </cell>
          <cell r="D1259" t="str">
            <v>Michael</v>
          </cell>
          <cell r="E1259" t="str">
            <v>Brian</v>
          </cell>
          <cell r="F1259">
            <v>2021</v>
          </cell>
          <cell r="I1259">
            <v>99</v>
          </cell>
          <cell r="J1259">
            <v>-9</v>
          </cell>
          <cell r="K1259" t="str">
            <v>L</v>
          </cell>
        </row>
        <row r="1260">
          <cell r="A1260" t="str">
            <v>2021Matt6</v>
          </cell>
          <cell r="D1260" t="str">
            <v>Matt</v>
          </cell>
          <cell r="E1260" t="str">
            <v>Charles</v>
          </cell>
          <cell r="F1260">
            <v>2021</v>
          </cell>
          <cell r="I1260">
            <v>103</v>
          </cell>
          <cell r="J1260">
            <v>6</v>
          </cell>
          <cell r="K1260" t="str">
            <v>W</v>
          </cell>
        </row>
        <row r="1261">
          <cell r="A1261" t="str">
            <v>2021Charles6</v>
          </cell>
          <cell r="D1261" t="str">
            <v>Charles</v>
          </cell>
          <cell r="E1261" t="str">
            <v>Matt</v>
          </cell>
          <cell r="F1261">
            <v>2021</v>
          </cell>
          <cell r="I1261">
            <v>97</v>
          </cell>
          <cell r="J1261">
            <v>-6</v>
          </cell>
          <cell r="K1261" t="str">
            <v>L</v>
          </cell>
        </row>
        <row r="1262">
          <cell r="A1262" t="str">
            <v>2021Russell6</v>
          </cell>
          <cell r="D1262" t="str">
            <v>Russell</v>
          </cell>
          <cell r="E1262" t="str">
            <v>BR</v>
          </cell>
          <cell r="F1262">
            <v>2021</v>
          </cell>
          <cell r="I1262">
            <v>109</v>
          </cell>
          <cell r="J1262">
            <v>36</v>
          </cell>
          <cell r="K1262" t="str">
            <v>W</v>
          </cell>
        </row>
        <row r="1263">
          <cell r="A1263" t="str">
            <v>2021BR6</v>
          </cell>
          <cell r="D1263" t="str">
            <v>BR</v>
          </cell>
          <cell r="E1263" t="str">
            <v>Russell</v>
          </cell>
          <cell r="F1263">
            <v>2021</v>
          </cell>
          <cell r="I1263">
            <v>73</v>
          </cell>
          <cell r="J1263">
            <v>-36</v>
          </cell>
          <cell r="K1263" t="str">
            <v>L</v>
          </cell>
        </row>
        <row r="1264">
          <cell r="A1264" t="str">
            <v>2021Emily6</v>
          </cell>
          <cell r="D1264" t="str">
            <v>Emily</v>
          </cell>
          <cell r="E1264" t="str">
            <v>Watty</v>
          </cell>
          <cell r="F1264">
            <v>2021</v>
          </cell>
          <cell r="I1264">
            <v>62</v>
          </cell>
          <cell r="J1264">
            <v>-84</v>
          </cell>
          <cell r="K1264" t="str">
            <v>L</v>
          </cell>
        </row>
        <row r="1265">
          <cell r="A1265" t="str">
            <v>2021Watty6</v>
          </cell>
          <cell r="D1265" t="str">
            <v>Watty</v>
          </cell>
          <cell r="E1265" t="str">
            <v>Emily</v>
          </cell>
          <cell r="F1265">
            <v>2021</v>
          </cell>
          <cell r="I1265">
            <v>146</v>
          </cell>
          <cell r="J1265">
            <v>84</v>
          </cell>
          <cell r="K1265" t="str">
            <v>W</v>
          </cell>
        </row>
        <row r="1266">
          <cell r="A1266" t="str">
            <v>2021David6</v>
          </cell>
          <cell r="D1266" t="str">
            <v>David</v>
          </cell>
          <cell r="E1266" t="str">
            <v>Mark</v>
          </cell>
          <cell r="F1266">
            <v>2021</v>
          </cell>
          <cell r="I1266">
            <v>104</v>
          </cell>
          <cell r="J1266">
            <v>26</v>
          </cell>
          <cell r="K1266" t="str">
            <v>W</v>
          </cell>
        </row>
        <row r="1267">
          <cell r="A1267" t="str">
            <v>2021Mark6</v>
          </cell>
          <cell r="D1267" t="str">
            <v>Mark</v>
          </cell>
          <cell r="E1267" t="str">
            <v>David</v>
          </cell>
          <cell r="F1267">
            <v>2021</v>
          </cell>
          <cell r="I1267">
            <v>78</v>
          </cell>
          <cell r="J1267">
            <v>-26</v>
          </cell>
          <cell r="K1267" t="str">
            <v>L</v>
          </cell>
        </row>
        <row r="1268">
          <cell r="A1268" t="str">
            <v>2021Brent6</v>
          </cell>
          <cell r="D1268" t="str">
            <v>Brent</v>
          </cell>
          <cell r="E1268" t="str">
            <v>Arnold</v>
          </cell>
          <cell r="F1268">
            <v>2021</v>
          </cell>
          <cell r="I1268">
            <v>66</v>
          </cell>
          <cell r="J1268">
            <v>-11</v>
          </cell>
          <cell r="K1268" t="str">
            <v>L</v>
          </cell>
        </row>
        <row r="1269">
          <cell r="A1269" t="str">
            <v>2021Arnold6</v>
          </cell>
          <cell r="D1269" t="str">
            <v>Arnold</v>
          </cell>
          <cell r="E1269" t="str">
            <v>Brent</v>
          </cell>
          <cell r="F1269">
            <v>2021</v>
          </cell>
          <cell r="I1269">
            <v>77</v>
          </cell>
          <cell r="J1269">
            <v>11</v>
          </cell>
          <cell r="K1269" t="str">
            <v>W</v>
          </cell>
        </row>
        <row r="1270">
          <cell r="A1270" t="str">
            <v>2021Michael7</v>
          </cell>
          <cell r="D1270" t="str">
            <v>Michael</v>
          </cell>
          <cell r="E1270" t="str">
            <v>Matt</v>
          </cell>
          <cell r="F1270">
            <v>2021</v>
          </cell>
          <cell r="I1270">
            <v>96</v>
          </cell>
          <cell r="J1270">
            <v>40</v>
          </cell>
          <cell r="K1270" t="str">
            <v>W</v>
          </cell>
        </row>
        <row r="1271">
          <cell r="A1271" t="str">
            <v>2021Matt7</v>
          </cell>
          <cell r="D1271" t="str">
            <v>Matt</v>
          </cell>
          <cell r="E1271" t="str">
            <v>Michael</v>
          </cell>
          <cell r="F1271">
            <v>2021</v>
          </cell>
          <cell r="I1271">
            <v>56</v>
          </cell>
          <cell r="J1271">
            <v>-40</v>
          </cell>
          <cell r="K1271" t="str">
            <v>L</v>
          </cell>
        </row>
        <row r="1272">
          <cell r="A1272" t="str">
            <v>2021Charles7</v>
          </cell>
          <cell r="D1272" t="str">
            <v>Charles</v>
          </cell>
          <cell r="E1272" t="str">
            <v>Russell</v>
          </cell>
          <cell r="F1272">
            <v>2021</v>
          </cell>
          <cell r="I1272">
            <v>99</v>
          </cell>
          <cell r="J1272">
            <v>3</v>
          </cell>
          <cell r="K1272" t="str">
            <v>W</v>
          </cell>
        </row>
        <row r="1273">
          <cell r="A1273" t="str">
            <v>2021Russell7</v>
          </cell>
          <cell r="D1273" t="str">
            <v>Russell</v>
          </cell>
          <cell r="E1273" t="str">
            <v>Charles</v>
          </cell>
          <cell r="F1273">
            <v>2021</v>
          </cell>
          <cell r="I1273">
            <v>96</v>
          </cell>
          <cell r="J1273">
            <v>-3</v>
          </cell>
          <cell r="K1273" t="str">
            <v>L</v>
          </cell>
        </row>
        <row r="1274">
          <cell r="A1274" t="str">
            <v>2021BR7</v>
          </cell>
          <cell r="D1274" t="str">
            <v>BR</v>
          </cell>
          <cell r="E1274" t="str">
            <v>Emily</v>
          </cell>
          <cell r="F1274">
            <v>2021</v>
          </cell>
          <cell r="I1274">
            <v>87</v>
          </cell>
          <cell r="J1274">
            <v>7</v>
          </cell>
          <cell r="K1274" t="str">
            <v>W</v>
          </cell>
        </row>
        <row r="1275">
          <cell r="A1275" t="str">
            <v>2021Emily7</v>
          </cell>
          <cell r="D1275" t="str">
            <v>Emily</v>
          </cell>
          <cell r="E1275" t="str">
            <v>BR</v>
          </cell>
          <cell r="F1275">
            <v>2021</v>
          </cell>
          <cell r="I1275">
            <v>80</v>
          </cell>
          <cell r="J1275">
            <v>-7</v>
          </cell>
          <cell r="K1275" t="str">
            <v>L</v>
          </cell>
        </row>
        <row r="1276">
          <cell r="A1276" t="str">
            <v>2021Watty7</v>
          </cell>
          <cell r="D1276" t="str">
            <v>Watty</v>
          </cell>
          <cell r="E1276" t="str">
            <v>David</v>
          </cell>
          <cell r="F1276">
            <v>2021</v>
          </cell>
          <cell r="I1276">
            <v>87</v>
          </cell>
          <cell r="J1276">
            <v>-5</v>
          </cell>
          <cell r="K1276" t="str">
            <v>L</v>
          </cell>
        </row>
        <row r="1277">
          <cell r="A1277" t="str">
            <v>2021David7</v>
          </cell>
          <cell r="D1277" t="str">
            <v>David</v>
          </cell>
          <cell r="E1277" t="str">
            <v>Watty</v>
          </cell>
          <cell r="F1277">
            <v>2021</v>
          </cell>
          <cell r="I1277">
            <v>92</v>
          </cell>
          <cell r="J1277">
            <v>5</v>
          </cell>
          <cell r="K1277" t="str">
            <v>W</v>
          </cell>
        </row>
        <row r="1278">
          <cell r="A1278" t="str">
            <v>2021Mark7</v>
          </cell>
          <cell r="D1278" t="str">
            <v>Mark</v>
          </cell>
          <cell r="E1278" t="str">
            <v>Brent</v>
          </cell>
          <cell r="F1278">
            <v>2021</v>
          </cell>
          <cell r="I1278">
            <v>90</v>
          </cell>
          <cell r="J1278">
            <v>-15</v>
          </cell>
          <cell r="K1278" t="str">
            <v>L</v>
          </cell>
        </row>
        <row r="1279">
          <cell r="A1279" t="str">
            <v>2021Brent7</v>
          </cell>
          <cell r="D1279" t="str">
            <v>Brent</v>
          </cell>
          <cell r="E1279" t="str">
            <v>Mark</v>
          </cell>
          <cell r="F1279">
            <v>2021</v>
          </cell>
          <cell r="I1279">
            <v>105</v>
          </cell>
          <cell r="J1279">
            <v>15</v>
          </cell>
          <cell r="K1279" t="str">
            <v>W</v>
          </cell>
        </row>
        <row r="1280">
          <cell r="A1280" t="str">
            <v>2021Arnold7</v>
          </cell>
          <cell r="D1280" t="str">
            <v>Arnold</v>
          </cell>
          <cell r="E1280" t="str">
            <v>Brian</v>
          </cell>
          <cell r="F1280">
            <v>2021</v>
          </cell>
          <cell r="I1280">
            <v>73</v>
          </cell>
          <cell r="J1280">
            <v>-53</v>
          </cell>
          <cell r="K1280" t="str">
            <v>L</v>
          </cell>
        </row>
        <row r="1281">
          <cell r="A1281" t="str">
            <v>2021Brian7</v>
          </cell>
          <cell r="D1281" t="str">
            <v>Brian</v>
          </cell>
          <cell r="E1281" t="str">
            <v>Arnold</v>
          </cell>
          <cell r="F1281">
            <v>2021</v>
          </cell>
          <cell r="I1281">
            <v>126</v>
          </cell>
          <cell r="J1281">
            <v>53</v>
          </cell>
          <cell r="K1281" t="str">
            <v>W</v>
          </cell>
        </row>
        <row r="1282">
          <cell r="A1282" t="str">
            <v>2021Russell8</v>
          </cell>
          <cell r="D1282" t="str">
            <v>Russell</v>
          </cell>
          <cell r="E1282" t="str">
            <v>Michael</v>
          </cell>
          <cell r="F1282">
            <v>2021</v>
          </cell>
          <cell r="I1282">
            <v>81</v>
          </cell>
          <cell r="J1282">
            <v>-40</v>
          </cell>
          <cell r="K1282" t="str">
            <v>L</v>
          </cell>
        </row>
        <row r="1283">
          <cell r="A1283" t="str">
            <v>2021Michael8</v>
          </cell>
          <cell r="D1283" t="str">
            <v>Michael</v>
          </cell>
          <cell r="E1283" t="str">
            <v>Russell</v>
          </cell>
          <cell r="F1283">
            <v>2021</v>
          </cell>
          <cell r="I1283">
            <v>121</v>
          </cell>
          <cell r="J1283">
            <v>40</v>
          </cell>
          <cell r="K1283" t="str">
            <v>W</v>
          </cell>
        </row>
        <row r="1284">
          <cell r="A1284" t="str">
            <v>2021Emily8</v>
          </cell>
          <cell r="D1284" t="str">
            <v>Emily</v>
          </cell>
          <cell r="E1284" t="str">
            <v>Charles</v>
          </cell>
          <cell r="F1284">
            <v>2021</v>
          </cell>
          <cell r="I1284">
            <v>78</v>
          </cell>
          <cell r="J1284">
            <v>-20</v>
          </cell>
          <cell r="K1284" t="str">
            <v>L</v>
          </cell>
        </row>
        <row r="1285">
          <cell r="A1285" t="str">
            <v>2021Charles8</v>
          </cell>
          <cell r="D1285" t="str">
            <v>Charles</v>
          </cell>
          <cell r="E1285" t="str">
            <v>Emily</v>
          </cell>
          <cell r="F1285">
            <v>2021</v>
          </cell>
          <cell r="I1285">
            <v>98</v>
          </cell>
          <cell r="J1285">
            <v>20</v>
          </cell>
          <cell r="K1285" t="str">
            <v>W</v>
          </cell>
        </row>
        <row r="1286">
          <cell r="A1286" t="str">
            <v>2021David8</v>
          </cell>
          <cell r="D1286" t="str">
            <v>David</v>
          </cell>
          <cell r="E1286" t="str">
            <v>BR</v>
          </cell>
          <cell r="F1286">
            <v>2021</v>
          </cell>
          <cell r="I1286">
            <v>87</v>
          </cell>
          <cell r="J1286">
            <v>-13</v>
          </cell>
          <cell r="K1286" t="str">
            <v>L</v>
          </cell>
        </row>
        <row r="1287">
          <cell r="A1287" t="str">
            <v>2021BR8</v>
          </cell>
          <cell r="D1287" t="str">
            <v>BR</v>
          </cell>
          <cell r="E1287" t="str">
            <v>David</v>
          </cell>
          <cell r="F1287">
            <v>2021</v>
          </cell>
          <cell r="I1287">
            <v>100</v>
          </cell>
          <cell r="J1287">
            <v>13</v>
          </cell>
          <cell r="K1287" t="str">
            <v>W</v>
          </cell>
        </row>
        <row r="1288">
          <cell r="A1288" t="str">
            <v>2021Brent8</v>
          </cell>
          <cell r="D1288" t="str">
            <v>Brent</v>
          </cell>
          <cell r="E1288" t="str">
            <v>Watty</v>
          </cell>
          <cell r="F1288">
            <v>2021</v>
          </cell>
          <cell r="I1288">
            <v>82</v>
          </cell>
          <cell r="J1288">
            <v>21</v>
          </cell>
          <cell r="K1288" t="str">
            <v>W</v>
          </cell>
        </row>
        <row r="1289">
          <cell r="A1289" t="str">
            <v>2021Watty8</v>
          </cell>
          <cell r="D1289" t="str">
            <v>Watty</v>
          </cell>
          <cell r="E1289" t="str">
            <v>Brent</v>
          </cell>
          <cell r="F1289">
            <v>2021</v>
          </cell>
          <cell r="I1289">
            <v>61</v>
          </cell>
          <cell r="J1289">
            <v>-21</v>
          </cell>
          <cell r="K1289" t="str">
            <v>L</v>
          </cell>
        </row>
        <row r="1290">
          <cell r="A1290" t="str">
            <v>2021Brian8</v>
          </cell>
          <cell r="D1290" t="str">
            <v>Brian</v>
          </cell>
          <cell r="E1290" t="str">
            <v>Mark</v>
          </cell>
          <cell r="F1290">
            <v>2021</v>
          </cell>
          <cell r="I1290">
            <v>81</v>
          </cell>
          <cell r="J1290">
            <v>19</v>
          </cell>
          <cell r="K1290" t="str">
            <v>W</v>
          </cell>
        </row>
        <row r="1291">
          <cell r="A1291" t="str">
            <v>2021Mark8</v>
          </cell>
          <cell r="D1291" t="str">
            <v>Mark</v>
          </cell>
          <cell r="E1291" t="str">
            <v>Brian</v>
          </cell>
          <cell r="F1291">
            <v>2021</v>
          </cell>
          <cell r="I1291">
            <v>62</v>
          </cell>
          <cell r="J1291">
            <v>-19</v>
          </cell>
          <cell r="K1291" t="str">
            <v>L</v>
          </cell>
        </row>
        <row r="1292">
          <cell r="A1292" t="str">
            <v>2021Matt8</v>
          </cell>
          <cell r="D1292" t="str">
            <v>Matt</v>
          </cell>
          <cell r="E1292" t="str">
            <v>Arnold</v>
          </cell>
          <cell r="F1292">
            <v>2021</v>
          </cell>
          <cell r="I1292">
            <v>81</v>
          </cell>
          <cell r="J1292">
            <v>8</v>
          </cell>
          <cell r="K1292" t="str">
            <v>W</v>
          </cell>
        </row>
        <row r="1293">
          <cell r="A1293" t="str">
            <v>2021Arnold8</v>
          </cell>
          <cell r="D1293" t="str">
            <v>Arnold</v>
          </cell>
          <cell r="E1293" t="str">
            <v>Matt</v>
          </cell>
          <cell r="F1293">
            <v>2021</v>
          </cell>
          <cell r="I1293">
            <v>73</v>
          </cell>
          <cell r="J1293">
            <v>-8</v>
          </cell>
          <cell r="K1293" t="str">
            <v>L</v>
          </cell>
        </row>
        <row r="1294">
          <cell r="A1294" t="str">
            <v>2021Michael9</v>
          </cell>
          <cell r="D1294" t="str">
            <v>Michael</v>
          </cell>
          <cell r="E1294" t="str">
            <v>Emily</v>
          </cell>
          <cell r="F1294">
            <v>2021</v>
          </cell>
          <cell r="I1294">
            <v>53</v>
          </cell>
          <cell r="J1294">
            <v>3</v>
          </cell>
          <cell r="K1294" t="str">
            <v>W</v>
          </cell>
        </row>
        <row r="1295">
          <cell r="A1295" t="str">
            <v>2021Emily9</v>
          </cell>
          <cell r="D1295" t="str">
            <v>Emily</v>
          </cell>
          <cell r="E1295" t="str">
            <v>Michael</v>
          </cell>
          <cell r="F1295">
            <v>2021</v>
          </cell>
          <cell r="I1295">
            <v>50</v>
          </cell>
          <cell r="J1295">
            <v>-3</v>
          </cell>
          <cell r="K1295" t="str">
            <v>L</v>
          </cell>
        </row>
        <row r="1296">
          <cell r="A1296" t="str">
            <v>2021Charles9</v>
          </cell>
          <cell r="D1296" t="str">
            <v>Charles</v>
          </cell>
          <cell r="E1296" t="str">
            <v>David</v>
          </cell>
          <cell r="F1296">
            <v>2021</v>
          </cell>
          <cell r="I1296">
            <v>90</v>
          </cell>
          <cell r="J1296">
            <v>-19</v>
          </cell>
          <cell r="K1296" t="str">
            <v>L</v>
          </cell>
        </row>
        <row r="1297">
          <cell r="A1297" t="str">
            <v>2021David9</v>
          </cell>
          <cell r="D1297" t="str">
            <v>David</v>
          </cell>
          <cell r="E1297" t="str">
            <v>Charles</v>
          </cell>
          <cell r="F1297">
            <v>2021</v>
          </cell>
          <cell r="I1297">
            <v>109</v>
          </cell>
          <cell r="J1297">
            <v>19</v>
          </cell>
          <cell r="K1297" t="str">
            <v>W</v>
          </cell>
        </row>
        <row r="1298">
          <cell r="A1298" t="str">
            <v>2021BR9</v>
          </cell>
          <cell r="D1298" t="str">
            <v>BR</v>
          </cell>
          <cell r="E1298" t="str">
            <v>Brent</v>
          </cell>
          <cell r="F1298">
            <v>2021</v>
          </cell>
          <cell r="I1298">
            <v>84</v>
          </cell>
          <cell r="J1298">
            <v>0</v>
          </cell>
          <cell r="K1298" t="str">
            <v>T</v>
          </cell>
        </row>
        <row r="1299">
          <cell r="A1299" t="str">
            <v>2021Brent9</v>
          </cell>
          <cell r="D1299" t="str">
            <v>Brent</v>
          </cell>
          <cell r="E1299" t="str">
            <v>BR</v>
          </cell>
          <cell r="F1299">
            <v>2021</v>
          </cell>
          <cell r="I1299">
            <v>84</v>
          </cell>
          <cell r="J1299">
            <v>0</v>
          </cell>
          <cell r="K1299" t="str">
            <v>T</v>
          </cell>
        </row>
        <row r="1300">
          <cell r="A1300" t="str">
            <v>2021Watty9</v>
          </cell>
          <cell r="D1300" t="str">
            <v>Watty</v>
          </cell>
          <cell r="E1300" t="str">
            <v>Brian</v>
          </cell>
          <cell r="F1300">
            <v>2021</v>
          </cell>
          <cell r="I1300">
            <v>66</v>
          </cell>
          <cell r="J1300">
            <v>-18</v>
          </cell>
          <cell r="K1300" t="str">
            <v>L</v>
          </cell>
        </row>
        <row r="1301">
          <cell r="A1301" t="str">
            <v>2021Brian9</v>
          </cell>
          <cell r="D1301" t="str">
            <v>Brian</v>
          </cell>
          <cell r="E1301" t="str">
            <v>Watty</v>
          </cell>
          <cell r="F1301">
            <v>2021</v>
          </cell>
          <cell r="I1301">
            <v>84</v>
          </cell>
          <cell r="J1301">
            <v>18</v>
          </cell>
          <cell r="K1301" t="str">
            <v>W</v>
          </cell>
        </row>
        <row r="1302">
          <cell r="A1302" t="str">
            <v>2021Mark9</v>
          </cell>
          <cell r="D1302" t="str">
            <v>Mark</v>
          </cell>
          <cell r="E1302" t="str">
            <v>Matt</v>
          </cell>
          <cell r="F1302">
            <v>2021</v>
          </cell>
          <cell r="I1302">
            <v>83</v>
          </cell>
          <cell r="J1302">
            <v>6</v>
          </cell>
          <cell r="K1302" t="str">
            <v>W</v>
          </cell>
        </row>
        <row r="1303">
          <cell r="A1303" t="str">
            <v>2021Matt9</v>
          </cell>
          <cell r="D1303" t="str">
            <v>Matt</v>
          </cell>
          <cell r="E1303" t="str">
            <v>Mark</v>
          </cell>
          <cell r="F1303">
            <v>2021</v>
          </cell>
          <cell r="I1303">
            <v>77</v>
          </cell>
          <cell r="J1303">
            <v>-6</v>
          </cell>
          <cell r="K1303" t="str">
            <v>L</v>
          </cell>
        </row>
        <row r="1304">
          <cell r="A1304" t="str">
            <v>2021Arnold9</v>
          </cell>
          <cell r="D1304" t="str">
            <v>Arnold</v>
          </cell>
          <cell r="E1304" t="str">
            <v>Russell</v>
          </cell>
          <cell r="F1304">
            <v>2021</v>
          </cell>
          <cell r="I1304">
            <v>68</v>
          </cell>
          <cell r="J1304">
            <v>11</v>
          </cell>
          <cell r="K1304" t="str">
            <v>W</v>
          </cell>
        </row>
        <row r="1305">
          <cell r="A1305" t="str">
            <v>2021Russell9</v>
          </cell>
          <cell r="D1305" t="str">
            <v>Russell</v>
          </cell>
          <cell r="E1305" t="str">
            <v>Arnold</v>
          </cell>
          <cell r="F1305">
            <v>2021</v>
          </cell>
          <cell r="I1305">
            <v>57</v>
          </cell>
          <cell r="J1305">
            <v>-11</v>
          </cell>
          <cell r="K1305" t="str">
            <v>L</v>
          </cell>
        </row>
        <row r="1306">
          <cell r="A1306" t="str">
            <v>2021David10</v>
          </cell>
          <cell r="D1306" t="str">
            <v>David</v>
          </cell>
          <cell r="E1306" t="str">
            <v>Michael</v>
          </cell>
          <cell r="F1306">
            <v>2021</v>
          </cell>
          <cell r="I1306">
            <v>70</v>
          </cell>
          <cell r="J1306">
            <v>-20</v>
          </cell>
          <cell r="K1306" t="str">
            <v>L</v>
          </cell>
        </row>
        <row r="1307">
          <cell r="A1307" t="str">
            <v>2021Michael10</v>
          </cell>
          <cell r="D1307" t="str">
            <v>Michael</v>
          </cell>
          <cell r="E1307" t="str">
            <v>David</v>
          </cell>
          <cell r="F1307">
            <v>2021</v>
          </cell>
          <cell r="I1307">
            <v>90</v>
          </cell>
          <cell r="J1307">
            <v>20</v>
          </cell>
          <cell r="K1307" t="str">
            <v>W</v>
          </cell>
        </row>
        <row r="1308">
          <cell r="A1308" t="str">
            <v>2021Brent10</v>
          </cell>
          <cell r="D1308" t="str">
            <v>Brent</v>
          </cell>
          <cell r="E1308" t="str">
            <v>Charles</v>
          </cell>
          <cell r="F1308">
            <v>2021</v>
          </cell>
          <cell r="I1308">
            <v>56</v>
          </cell>
          <cell r="J1308">
            <v>-38</v>
          </cell>
          <cell r="K1308" t="str">
            <v>L</v>
          </cell>
        </row>
        <row r="1309">
          <cell r="A1309" t="str">
            <v>2021Charles10</v>
          </cell>
          <cell r="D1309" t="str">
            <v>Charles</v>
          </cell>
          <cell r="E1309" t="str">
            <v>Brent</v>
          </cell>
          <cell r="F1309">
            <v>2021</v>
          </cell>
          <cell r="I1309">
            <v>94</v>
          </cell>
          <cell r="J1309">
            <v>38</v>
          </cell>
          <cell r="K1309" t="str">
            <v>W</v>
          </cell>
        </row>
        <row r="1310">
          <cell r="A1310" t="str">
            <v>2021Brian10</v>
          </cell>
          <cell r="D1310" t="str">
            <v>Brian</v>
          </cell>
          <cell r="E1310" t="str">
            <v>BR</v>
          </cell>
          <cell r="F1310">
            <v>2021</v>
          </cell>
          <cell r="I1310">
            <v>71</v>
          </cell>
          <cell r="J1310">
            <v>-23</v>
          </cell>
          <cell r="K1310" t="str">
            <v>L</v>
          </cell>
        </row>
        <row r="1311">
          <cell r="A1311" t="str">
            <v>2021BR10</v>
          </cell>
          <cell r="D1311" t="str">
            <v>BR</v>
          </cell>
          <cell r="E1311" t="str">
            <v>Brian</v>
          </cell>
          <cell r="F1311">
            <v>2021</v>
          </cell>
          <cell r="I1311">
            <v>94</v>
          </cell>
          <cell r="J1311">
            <v>23</v>
          </cell>
          <cell r="K1311" t="str">
            <v>W</v>
          </cell>
        </row>
        <row r="1312">
          <cell r="A1312" t="str">
            <v>2021Matt10</v>
          </cell>
          <cell r="D1312" t="str">
            <v>Matt</v>
          </cell>
          <cell r="E1312" t="str">
            <v>Watty</v>
          </cell>
          <cell r="F1312">
            <v>2021</v>
          </cell>
          <cell r="I1312">
            <v>98</v>
          </cell>
          <cell r="J1312">
            <v>24</v>
          </cell>
          <cell r="K1312" t="str">
            <v>W</v>
          </cell>
        </row>
        <row r="1313">
          <cell r="A1313" t="str">
            <v>2021Watty10</v>
          </cell>
          <cell r="D1313" t="str">
            <v>Watty</v>
          </cell>
          <cell r="E1313" t="str">
            <v>Matt</v>
          </cell>
          <cell r="F1313">
            <v>2021</v>
          </cell>
          <cell r="I1313">
            <v>74</v>
          </cell>
          <cell r="J1313">
            <v>-24</v>
          </cell>
          <cell r="K1313" t="str">
            <v>L</v>
          </cell>
        </row>
        <row r="1314">
          <cell r="A1314" t="str">
            <v>2021Russell10</v>
          </cell>
          <cell r="D1314" t="str">
            <v>Russell</v>
          </cell>
          <cell r="E1314" t="str">
            <v>Mark</v>
          </cell>
          <cell r="F1314">
            <v>2021</v>
          </cell>
          <cell r="I1314">
            <v>70</v>
          </cell>
          <cell r="J1314">
            <v>-14</v>
          </cell>
          <cell r="K1314" t="str">
            <v>L</v>
          </cell>
        </row>
        <row r="1315">
          <cell r="A1315" t="str">
            <v>2021Mark10</v>
          </cell>
          <cell r="D1315" t="str">
            <v>Mark</v>
          </cell>
          <cell r="E1315" t="str">
            <v>Russell</v>
          </cell>
          <cell r="F1315">
            <v>2021</v>
          </cell>
          <cell r="I1315">
            <v>84</v>
          </cell>
          <cell r="J1315">
            <v>14</v>
          </cell>
          <cell r="K1315" t="str">
            <v>W</v>
          </cell>
        </row>
        <row r="1316">
          <cell r="A1316" t="str">
            <v>2021Emily10</v>
          </cell>
          <cell r="D1316" t="str">
            <v>Emily</v>
          </cell>
          <cell r="E1316" t="str">
            <v>Arnold</v>
          </cell>
          <cell r="F1316">
            <v>2021</v>
          </cell>
          <cell r="I1316">
            <v>90</v>
          </cell>
          <cell r="J1316">
            <v>8</v>
          </cell>
          <cell r="K1316" t="str">
            <v>W</v>
          </cell>
        </row>
        <row r="1317">
          <cell r="A1317" t="str">
            <v>2021Arnold10</v>
          </cell>
          <cell r="D1317" t="str">
            <v>Arnold</v>
          </cell>
          <cell r="E1317" t="str">
            <v>Emily</v>
          </cell>
          <cell r="F1317">
            <v>2021</v>
          </cell>
          <cell r="I1317">
            <v>82</v>
          </cell>
          <cell r="J1317">
            <v>-8</v>
          </cell>
          <cell r="K1317" t="str">
            <v>L</v>
          </cell>
        </row>
        <row r="1318">
          <cell r="A1318" t="str">
            <v>2021Michael11</v>
          </cell>
          <cell r="D1318" t="str">
            <v>Michael</v>
          </cell>
          <cell r="E1318" t="str">
            <v>Brent</v>
          </cell>
          <cell r="F1318">
            <v>2021</v>
          </cell>
          <cell r="I1318">
            <v>79</v>
          </cell>
          <cell r="J1318">
            <v>-13</v>
          </cell>
          <cell r="K1318" t="str">
            <v>L</v>
          </cell>
        </row>
        <row r="1319">
          <cell r="A1319" t="str">
            <v>2021Brent11</v>
          </cell>
          <cell r="D1319" t="str">
            <v>Brent</v>
          </cell>
          <cell r="E1319" t="str">
            <v>Michael</v>
          </cell>
          <cell r="F1319">
            <v>2021</v>
          </cell>
          <cell r="I1319">
            <v>92</v>
          </cell>
          <cell r="J1319">
            <v>13</v>
          </cell>
          <cell r="K1319" t="str">
            <v>W</v>
          </cell>
        </row>
        <row r="1320">
          <cell r="A1320" t="str">
            <v>2021Charles11</v>
          </cell>
          <cell r="D1320" t="str">
            <v>Charles</v>
          </cell>
          <cell r="E1320" t="str">
            <v>Brian</v>
          </cell>
          <cell r="F1320">
            <v>2021</v>
          </cell>
          <cell r="I1320">
            <v>110</v>
          </cell>
          <cell r="J1320">
            <v>-11</v>
          </cell>
          <cell r="K1320" t="str">
            <v>L</v>
          </cell>
        </row>
        <row r="1321">
          <cell r="A1321" t="str">
            <v>2021Brian11</v>
          </cell>
          <cell r="D1321" t="str">
            <v>Brian</v>
          </cell>
          <cell r="E1321" t="str">
            <v>Charles</v>
          </cell>
          <cell r="F1321">
            <v>2021</v>
          </cell>
          <cell r="I1321">
            <v>121</v>
          </cell>
          <cell r="J1321">
            <v>11</v>
          </cell>
          <cell r="K1321" t="str">
            <v>W</v>
          </cell>
        </row>
        <row r="1322">
          <cell r="A1322" t="str">
            <v>2021BR11</v>
          </cell>
          <cell r="D1322" t="str">
            <v>BR</v>
          </cell>
          <cell r="E1322" t="str">
            <v>Matt</v>
          </cell>
          <cell r="F1322">
            <v>2021</v>
          </cell>
          <cell r="I1322">
            <v>94</v>
          </cell>
          <cell r="J1322">
            <v>26</v>
          </cell>
          <cell r="K1322" t="str">
            <v>W</v>
          </cell>
        </row>
        <row r="1323">
          <cell r="A1323" t="str">
            <v>2021Matt11</v>
          </cell>
          <cell r="D1323" t="str">
            <v>Matt</v>
          </cell>
          <cell r="E1323" t="str">
            <v>BR</v>
          </cell>
          <cell r="F1323">
            <v>2021</v>
          </cell>
          <cell r="I1323">
            <v>68</v>
          </cell>
          <cell r="J1323">
            <v>-26</v>
          </cell>
          <cell r="K1323" t="str">
            <v>L</v>
          </cell>
        </row>
        <row r="1324">
          <cell r="A1324" t="str">
            <v>2021Watty11</v>
          </cell>
          <cell r="D1324" t="str">
            <v>Watty</v>
          </cell>
          <cell r="E1324" t="str">
            <v>Russell</v>
          </cell>
          <cell r="F1324">
            <v>2021</v>
          </cell>
          <cell r="I1324">
            <v>67</v>
          </cell>
          <cell r="J1324">
            <v>9</v>
          </cell>
          <cell r="K1324" t="str">
            <v>W</v>
          </cell>
        </row>
        <row r="1325">
          <cell r="A1325" t="str">
            <v>2021Russell11</v>
          </cell>
          <cell r="D1325" t="str">
            <v>Russell</v>
          </cell>
          <cell r="E1325" t="str">
            <v>Watty</v>
          </cell>
          <cell r="F1325">
            <v>2021</v>
          </cell>
          <cell r="I1325">
            <v>58</v>
          </cell>
          <cell r="J1325">
            <v>-9</v>
          </cell>
          <cell r="K1325" t="str">
            <v>L</v>
          </cell>
        </row>
        <row r="1326">
          <cell r="A1326" t="str">
            <v>2021Mark11</v>
          </cell>
          <cell r="D1326" t="str">
            <v>Mark</v>
          </cell>
          <cell r="E1326" t="str">
            <v>Emily</v>
          </cell>
          <cell r="F1326">
            <v>2021</v>
          </cell>
          <cell r="I1326">
            <v>99</v>
          </cell>
          <cell r="J1326">
            <v>57</v>
          </cell>
          <cell r="K1326" t="str">
            <v>W</v>
          </cell>
        </row>
        <row r="1327">
          <cell r="A1327" t="str">
            <v>2021Emily11</v>
          </cell>
          <cell r="D1327" t="str">
            <v>Emily</v>
          </cell>
          <cell r="E1327" t="str">
            <v>Mark</v>
          </cell>
          <cell r="F1327">
            <v>2021</v>
          </cell>
          <cell r="I1327">
            <v>42</v>
          </cell>
          <cell r="J1327">
            <v>-57</v>
          </cell>
          <cell r="K1327" t="str">
            <v>L</v>
          </cell>
        </row>
        <row r="1328">
          <cell r="A1328" t="str">
            <v>2021Arnold11</v>
          </cell>
          <cell r="D1328" t="str">
            <v>Arnold</v>
          </cell>
          <cell r="E1328" t="str">
            <v>David</v>
          </cell>
          <cell r="F1328">
            <v>2021</v>
          </cell>
          <cell r="I1328">
            <v>66</v>
          </cell>
          <cell r="J1328">
            <v>-46</v>
          </cell>
          <cell r="K1328" t="str">
            <v>L</v>
          </cell>
        </row>
        <row r="1329">
          <cell r="A1329" t="str">
            <v>2021David11</v>
          </cell>
          <cell r="D1329" t="str">
            <v>David</v>
          </cell>
          <cell r="E1329" t="str">
            <v>Arnold</v>
          </cell>
          <cell r="F1329">
            <v>2021</v>
          </cell>
          <cell r="I1329">
            <v>112</v>
          </cell>
          <cell r="J1329">
            <v>46</v>
          </cell>
          <cell r="K1329" t="str">
            <v>W</v>
          </cell>
        </row>
        <row r="1330">
          <cell r="A1330" t="str">
            <v>2021Matt12</v>
          </cell>
          <cell r="D1330" t="str">
            <v>Matt</v>
          </cell>
          <cell r="E1330" t="str">
            <v>Brian</v>
          </cell>
          <cell r="F1330">
            <v>2021</v>
          </cell>
          <cell r="I1330">
            <v>84</v>
          </cell>
          <cell r="J1330">
            <v>-30</v>
          </cell>
          <cell r="K1330" t="str">
            <v>L</v>
          </cell>
        </row>
        <row r="1331">
          <cell r="A1331" t="str">
            <v>2021Brian12</v>
          </cell>
          <cell r="D1331" t="str">
            <v>Brian</v>
          </cell>
          <cell r="E1331" t="str">
            <v>Matt</v>
          </cell>
          <cell r="F1331">
            <v>2021</v>
          </cell>
          <cell r="I1331">
            <v>114</v>
          </cell>
          <cell r="J1331">
            <v>30</v>
          </cell>
          <cell r="K1331" t="str">
            <v>W</v>
          </cell>
        </row>
        <row r="1332">
          <cell r="A1332" t="str">
            <v>2021Brent12</v>
          </cell>
          <cell r="D1332" t="str">
            <v>Brent</v>
          </cell>
          <cell r="E1332" t="str">
            <v>Russell</v>
          </cell>
          <cell r="F1332">
            <v>2021</v>
          </cell>
          <cell r="I1332">
            <v>84</v>
          </cell>
          <cell r="J1332">
            <v>8</v>
          </cell>
          <cell r="K1332" t="str">
            <v>W</v>
          </cell>
        </row>
        <row r="1333">
          <cell r="A1333" t="str">
            <v>2021Russell12</v>
          </cell>
          <cell r="D1333" t="str">
            <v>Russell</v>
          </cell>
          <cell r="E1333" t="str">
            <v>Brent</v>
          </cell>
          <cell r="F1333">
            <v>2021</v>
          </cell>
          <cell r="I1333">
            <v>76</v>
          </cell>
          <cell r="J1333">
            <v>-8</v>
          </cell>
          <cell r="K1333" t="str">
            <v>L</v>
          </cell>
        </row>
        <row r="1334">
          <cell r="A1334" t="str">
            <v>2021David12</v>
          </cell>
          <cell r="D1334" t="str">
            <v>David</v>
          </cell>
          <cell r="E1334" t="str">
            <v>Emily</v>
          </cell>
          <cell r="F1334">
            <v>2021</v>
          </cell>
          <cell r="I1334">
            <v>83</v>
          </cell>
          <cell r="J1334">
            <v>9</v>
          </cell>
          <cell r="K1334" t="str">
            <v>W</v>
          </cell>
        </row>
        <row r="1335">
          <cell r="A1335" t="str">
            <v>2021Emily12</v>
          </cell>
          <cell r="D1335" t="str">
            <v>Emily</v>
          </cell>
          <cell r="E1335" t="str">
            <v>David</v>
          </cell>
          <cell r="F1335">
            <v>2021</v>
          </cell>
          <cell r="I1335">
            <v>74</v>
          </cell>
          <cell r="J1335">
            <v>-9</v>
          </cell>
          <cell r="K1335" t="str">
            <v>L</v>
          </cell>
        </row>
        <row r="1336">
          <cell r="A1336" t="str">
            <v>2021Charles12</v>
          </cell>
          <cell r="D1336" t="str">
            <v>Charles</v>
          </cell>
          <cell r="E1336" t="str">
            <v>Michael</v>
          </cell>
          <cell r="F1336">
            <v>2021</v>
          </cell>
          <cell r="I1336">
            <v>63</v>
          </cell>
          <cell r="J1336">
            <v>-36</v>
          </cell>
          <cell r="K1336" t="str">
            <v>L</v>
          </cell>
        </row>
        <row r="1337">
          <cell r="A1337" t="str">
            <v>2021Michael12</v>
          </cell>
          <cell r="D1337" t="str">
            <v>Michael</v>
          </cell>
          <cell r="E1337" t="str">
            <v>Charles</v>
          </cell>
          <cell r="F1337">
            <v>2021</v>
          </cell>
          <cell r="I1337">
            <v>99</v>
          </cell>
          <cell r="J1337">
            <v>36</v>
          </cell>
          <cell r="K1337" t="str">
            <v>W</v>
          </cell>
        </row>
        <row r="1338">
          <cell r="A1338" t="str">
            <v>2021Arnold12</v>
          </cell>
          <cell r="D1338" t="str">
            <v>Arnold</v>
          </cell>
          <cell r="E1338" t="str">
            <v>BR</v>
          </cell>
          <cell r="F1338">
            <v>2021</v>
          </cell>
          <cell r="I1338">
            <v>80</v>
          </cell>
          <cell r="J1338">
            <v>-21</v>
          </cell>
          <cell r="K1338" t="str">
            <v>L</v>
          </cell>
        </row>
        <row r="1339">
          <cell r="A1339" t="str">
            <v>2021BR12</v>
          </cell>
          <cell r="D1339" t="str">
            <v>BR</v>
          </cell>
          <cell r="E1339" t="str">
            <v>Arnold</v>
          </cell>
          <cell r="F1339">
            <v>2021</v>
          </cell>
          <cell r="I1339">
            <v>101</v>
          </cell>
          <cell r="J1339">
            <v>21</v>
          </cell>
          <cell r="K1339" t="str">
            <v>W</v>
          </cell>
        </row>
        <row r="1340">
          <cell r="A1340" t="str">
            <v>2021Mark12</v>
          </cell>
          <cell r="D1340" t="str">
            <v>Mark</v>
          </cell>
          <cell r="E1340" t="str">
            <v>Watty</v>
          </cell>
          <cell r="F1340">
            <v>2021</v>
          </cell>
          <cell r="I1340">
            <v>52</v>
          </cell>
          <cell r="J1340">
            <v>-51</v>
          </cell>
          <cell r="K1340" t="str">
            <v>L</v>
          </cell>
        </row>
        <row r="1341">
          <cell r="A1341" t="str">
            <v>2021Watty12</v>
          </cell>
          <cell r="D1341" t="str">
            <v>Watty</v>
          </cell>
          <cell r="E1341" t="str">
            <v>Mark</v>
          </cell>
          <cell r="F1341">
            <v>2021</v>
          </cell>
          <cell r="I1341">
            <v>103</v>
          </cell>
          <cell r="J1341">
            <v>51</v>
          </cell>
          <cell r="K1341" t="str">
            <v>W</v>
          </cell>
        </row>
        <row r="1342">
          <cell r="A1342" t="str">
            <v>2021Brian13</v>
          </cell>
          <cell r="D1342" t="str">
            <v>Brian</v>
          </cell>
          <cell r="E1342" t="str">
            <v>David</v>
          </cell>
          <cell r="F1342">
            <v>2021</v>
          </cell>
          <cell r="I1342">
            <v>85</v>
          </cell>
          <cell r="J1342">
            <v>4</v>
          </cell>
          <cell r="K1342" t="str">
            <v>W</v>
          </cell>
        </row>
        <row r="1343">
          <cell r="A1343" t="str">
            <v>2021David13</v>
          </cell>
          <cell r="D1343" t="str">
            <v>David</v>
          </cell>
          <cell r="E1343" t="str">
            <v>Brian</v>
          </cell>
          <cell r="F1343">
            <v>2021</v>
          </cell>
          <cell r="I1343">
            <v>81</v>
          </cell>
          <cell r="J1343">
            <v>-4</v>
          </cell>
          <cell r="K1343" t="str">
            <v>L</v>
          </cell>
        </row>
        <row r="1344">
          <cell r="A1344" t="str">
            <v>2021Emily13</v>
          </cell>
          <cell r="D1344" t="str">
            <v>Emily</v>
          </cell>
          <cell r="E1344" t="str">
            <v>Russell</v>
          </cell>
          <cell r="F1344">
            <v>2021</v>
          </cell>
          <cell r="I1344">
            <v>78</v>
          </cell>
          <cell r="J1344">
            <v>-42</v>
          </cell>
          <cell r="K1344" t="str">
            <v>L</v>
          </cell>
        </row>
        <row r="1345">
          <cell r="A1345" t="str">
            <v>2021Russell13</v>
          </cell>
          <cell r="D1345" t="str">
            <v>Russell</v>
          </cell>
          <cell r="E1345" t="str">
            <v>Emily</v>
          </cell>
          <cell r="F1345">
            <v>2021</v>
          </cell>
          <cell r="I1345">
            <v>120</v>
          </cell>
          <cell r="J1345">
            <v>42</v>
          </cell>
          <cell r="K1345" t="str">
            <v>W</v>
          </cell>
        </row>
        <row r="1346">
          <cell r="A1346" t="str">
            <v>2021Matt13</v>
          </cell>
          <cell r="D1346" t="str">
            <v>Matt</v>
          </cell>
          <cell r="E1346" t="str">
            <v>Brent</v>
          </cell>
          <cell r="F1346">
            <v>2021</v>
          </cell>
          <cell r="I1346">
            <v>80</v>
          </cell>
          <cell r="J1346">
            <v>-9</v>
          </cell>
          <cell r="K1346" t="str">
            <v>L</v>
          </cell>
        </row>
        <row r="1347">
          <cell r="A1347" t="str">
            <v>2021Brent13</v>
          </cell>
          <cell r="D1347" t="str">
            <v>Brent</v>
          </cell>
          <cell r="E1347" t="str">
            <v>Matt</v>
          </cell>
          <cell r="F1347">
            <v>2021</v>
          </cell>
          <cell r="I1347">
            <v>89</v>
          </cell>
          <cell r="J1347">
            <v>9</v>
          </cell>
          <cell r="K1347" t="str">
            <v>W</v>
          </cell>
        </row>
        <row r="1348">
          <cell r="A1348" t="str">
            <v>2021Charles13</v>
          </cell>
          <cell r="D1348" t="str">
            <v>Charles</v>
          </cell>
          <cell r="E1348" t="str">
            <v>BR</v>
          </cell>
          <cell r="F1348">
            <v>2021</v>
          </cell>
          <cell r="I1348">
            <v>101</v>
          </cell>
          <cell r="J1348">
            <v>35</v>
          </cell>
          <cell r="K1348" t="str">
            <v>W</v>
          </cell>
        </row>
        <row r="1349">
          <cell r="A1349" t="str">
            <v>2021BR13</v>
          </cell>
          <cell r="D1349" t="str">
            <v>BR</v>
          </cell>
          <cell r="E1349" t="str">
            <v>Charles</v>
          </cell>
          <cell r="F1349">
            <v>2021</v>
          </cell>
          <cell r="I1349">
            <v>66</v>
          </cell>
          <cell r="J1349">
            <v>-35</v>
          </cell>
          <cell r="K1349" t="str">
            <v>L</v>
          </cell>
        </row>
        <row r="1350">
          <cell r="A1350" t="str">
            <v>2021Michael13</v>
          </cell>
          <cell r="D1350" t="str">
            <v>Michael</v>
          </cell>
          <cell r="E1350" t="str">
            <v>Watty</v>
          </cell>
          <cell r="F1350">
            <v>2021</v>
          </cell>
          <cell r="I1350">
            <v>108</v>
          </cell>
          <cell r="J1350">
            <v>59</v>
          </cell>
          <cell r="K1350" t="str">
            <v>W</v>
          </cell>
        </row>
        <row r="1351">
          <cell r="A1351" t="str">
            <v>2021Watty13</v>
          </cell>
          <cell r="D1351" t="str">
            <v>Watty</v>
          </cell>
          <cell r="E1351" t="str">
            <v>Michael</v>
          </cell>
          <cell r="F1351">
            <v>2021</v>
          </cell>
          <cell r="I1351">
            <v>49</v>
          </cell>
          <cell r="J1351">
            <v>-59</v>
          </cell>
          <cell r="K1351" t="str">
            <v>L</v>
          </cell>
        </row>
        <row r="1352">
          <cell r="A1352" t="str">
            <v>2021Arnold13</v>
          </cell>
          <cell r="D1352" t="str">
            <v>Arnold</v>
          </cell>
          <cell r="E1352" t="str">
            <v>Mark</v>
          </cell>
          <cell r="F1352">
            <v>2021</v>
          </cell>
          <cell r="I1352">
            <v>98</v>
          </cell>
          <cell r="J1352">
            <v>30</v>
          </cell>
          <cell r="K1352" t="str">
            <v>W</v>
          </cell>
        </row>
        <row r="1353">
          <cell r="A1353" t="str">
            <v>2021Mark13</v>
          </cell>
          <cell r="D1353" t="str">
            <v>Mark</v>
          </cell>
          <cell r="E1353" t="str">
            <v>Arnold</v>
          </cell>
          <cell r="F1353">
            <v>2021</v>
          </cell>
          <cell r="I1353">
            <v>68</v>
          </cell>
          <cell r="J1353">
            <v>-30</v>
          </cell>
          <cell r="K1353" t="str">
            <v>L</v>
          </cell>
        </row>
        <row r="1354">
          <cell r="A1354" t="str">
            <v>2021Matt14</v>
          </cell>
          <cell r="D1354" t="str">
            <v>Matt</v>
          </cell>
          <cell r="E1354" t="str">
            <v>David</v>
          </cell>
          <cell r="F1354">
            <v>2021</v>
          </cell>
          <cell r="I1354">
            <v>108</v>
          </cell>
          <cell r="J1354">
            <v>74</v>
          </cell>
          <cell r="K1354" t="str">
            <v>W</v>
          </cell>
        </row>
        <row r="1355">
          <cell r="A1355" t="str">
            <v>2021David14</v>
          </cell>
          <cell r="D1355" t="str">
            <v>David</v>
          </cell>
          <cell r="E1355" t="str">
            <v>Matt</v>
          </cell>
          <cell r="F1355">
            <v>2021</v>
          </cell>
          <cell r="I1355">
            <v>34</v>
          </cell>
          <cell r="J1355">
            <v>-74</v>
          </cell>
          <cell r="K1355" t="str">
            <v>L</v>
          </cell>
        </row>
        <row r="1356">
          <cell r="A1356" t="str">
            <v>2021Michael14</v>
          </cell>
          <cell r="D1356" t="str">
            <v>Michael</v>
          </cell>
          <cell r="E1356" t="str">
            <v>BR</v>
          </cell>
          <cell r="F1356">
            <v>2021</v>
          </cell>
          <cell r="I1356">
            <v>111</v>
          </cell>
          <cell r="J1356">
            <v>-9</v>
          </cell>
          <cell r="K1356" t="str">
            <v>L</v>
          </cell>
        </row>
        <row r="1357">
          <cell r="A1357" t="str">
            <v>2021BR14</v>
          </cell>
          <cell r="D1357" t="str">
            <v>BR</v>
          </cell>
          <cell r="E1357" t="str">
            <v>Michael</v>
          </cell>
          <cell r="F1357">
            <v>2021</v>
          </cell>
          <cell r="I1357">
            <v>120</v>
          </cell>
          <cell r="J1357">
            <v>9</v>
          </cell>
          <cell r="K1357" t="str">
            <v>W</v>
          </cell>
        </row>
        <row r="1358">
          <cell r="A1358" t="str">
            <v>2021Brian14</v>
          </cell>
          <cell r="D1358" t="str">
            <v>Brian</v>
          </cell>
          <cell r="E1358" t="str">
            <v>Brent</v>
          </cell>
          <cell r="F1358">
            <v>2021</v>
          </cell>
          <cell r="I1358">
            <v>102</v>
          </cell>
          <cell r="J1358">
            <v>11</v>
          </cell>
          <cell r="K1358" t="str">
            <v>W</v>
          </cell>
        </row>
        <row r="1359">
          <cell r="A1359" t="str">
            <v>2021Brent14</v>
          </cell>
          <cell r="D1359" t="str">
            <v>Brent</v>
          </cell>
          <cell r="E1359" t="str">
            <v>Brian</v>
          </cell>
          <cell r="F1359">
            <v>2021</v>
          </cell>
          <cell r="I1359">
            <v>91</v>
          </cell>
          <cell r="J1359">
            <v>-11</v>
          </cell>
          <cell r="K1359" t="str">
            <v>L</v>
          </cell>
        </row>
        <row r="1360">
          <cell r="A1360" t="str">
            <v>2021Charles14</v>
          </cell>
          <cell r="D1360" t="str">
            <v>Charles</v>
          </cell>
          <cell r="E1360" t="str">
            <v>Russell</v>
          </cell>
          <cell r="F1360">
            <v>2021</v>
          </cell>
          <cell r="I1360">
            <v>98</v>
          </cell>
          <cell r="J1360">
            <v>-4</v>
          </cell>
          <cell r="K1360" t="str">
            <v>L</v>
          </cell>
        </row>
        <row r="1361">
          <cell r="A1361" t="str">
            <v>2021Russell14</v>
          </cell>
          <cell r="D1361" t="str">
            <v>Russell</v>
          </cell>
          <cell r="E1361" t="str">
            <v>Charles</v>
          </cell>
          <cell r="F1361">
            <v>2021</v>
          </cell>
          <cell r="I1361">
            <v>102</v>
          </cell>
          <cell r="J1361">
            <v>4</v>
          </cell>
          <cell r="K1361" t="str">
            <v>W</v>
          </cell>
        </row>
        <row r="1362">
          <cell r="A1362" t="str">
            <v>2021Arnold14</v>
          </cell>
          <cell r="D1362" t="str">
            <v>Arnold</v>
          </cell>
          <cell r="E1362" t="str">
            <v>Watty</v>
          </cell>
          <cell r="F1362">
            <v>2021</v>
          </cell>
          <cell r="I1362">
            <v>97</v>
          </cell>
          <cell r="J1362">
            <v>5</v>
          </cell>
          <cell r="K1362" t="str">
            <v>W</v>
          </cell>
        </row>
        <row r="1363">
          <cell r="A1363" t="str">
            <v>2021Watty14</v>
          </cell>
          <cell r="D1363" t="str">
            <v>Watty</v>
          </cell>
          <cell r="E1363" t="str">
            <v>Arnold</v>
          </cell>
          <cell r="F1363">
            <v>2021</v>
          </cell>
          <cell r="I1363">
            <v>92</v>
          </cell>
          <cell r="J1363">
            <v>-5</v>
          </cell>
          <cell r="K1363" t="str">
            <v>L</v>
          </cell>
        </row>
        <row r="1364">
          <cell r="A1364" t="str">
            <v>2021Mark14</v>
          </cell>
          <cell r="D1364" t="str">
            <v>Mark</v>
          </cell>
          <cell r="E1364" t="str">
            <v>Emily</v>
          </cell>
          <cell r="F1364">
            <v>2021</v>
          </cell>
          <cell r="I1364">
            <v>66</v>
          </cell>
          <cell r="J1364">
            <v>-10</v>
          </cell>
          <cell r="K1364" t="str">
            <v>L</v>
          </cell>
        </row>
        <row r="1365">
          <cell r="A1365" t="str">
            <v>2021Emily14</v>
          </cell>
          <cell r="D1365" t="str">
            <v>Emily</v>
          </cell>
          <cell r="E1365" t="str">
            <v>Mark</v>
          </cell>
          <cell r="F1365">
            <v>2021</v>
          </cell>
          <cell r="I1365">
            <v>76</v>
          </cell>
          <cell r="J1365">
            <v>10</v>
          </cell>
          <cell r="K1365" t="str">
            <v>W</v>
          </cell>
        </row>
        <row r="1366">
          <cell r="A1366" t="str">
            <v>2022BR1</v>
          </cell>
          <cell r="D1366" t="str">
            <v>BR</v>
          </cell>
          <cell r="E1366" t="str">
            <v>Matt</v>
          </cell>
          <cell r="F1366">
            <v>2022</v>
          </cell>
          <cell r="I1366">
            <v>81</v>
          </cell>
          <cell r="J1366">
            <v>4</v>
          </cell>
          <cell r="K1366" t="str">
            <v>W</v>
          </cell>
        </row>
        <row r="1367">
          <cell r="A1367" t="str">
            <v>2022Matt1</v>
          </cell>
          <cell r="D1367" t="str">
            <v>Matt</v>
          </cell>
          <cell r="E1367" t="str">
            <v>BR</v>
          </cell>
          <cell r="F1367">
            <v>2022</v>
          </cell>
          <cell r="I1367">
            <v>77</v>
          </cell>
          <cell r="J1367">
            <v>-4</v>
          </cell>
          <cell r="K1367" t="str">
            <v>L</v>
          </cell>
        </row>
        <row r="1368">
          <cell r="A1368" t="str">
            <v>2022Watty1</v>
          </cell>
          <cell r="D1368" t="str">
            <v>Watty</v>
          </cell>
          <cell r="E1368" t="str">
            <v>Russell</v>
          </cell>
          <cell r="F1368">
            <v>2022</v>
          </cell>
          <cell r="I1368">
            <v>67</v>
          </cell>
          <cell r="J1368">
            <v>-21</v>
          </cell>
          <cell r="K1368" t="str">
            <v>L</v>
          </cell>
        </row>
        <row r="1369">
          <cell r="A1369" t="str">
            <v>2022Russell1</v>
          </cell>
          <cell r="D1369" t="str">
            <v>Russell</v>
          </cell>
          <cell r="E1369" t="str">
            <v>Watty</v>
          </cell>
          <cell r="F1369">
            <v>2022</v>
          </cell>
          <cell r="I1369">
            <v>88</v>
          </cell>
          <cell r="J1369">
            <v>21</v>
          </cell>
          <cell r="K1369" t="str">
            <v>W</v>
          </cell>
        </row>
        <row r="1370">
          <cell r="A1370" t="str">
            <v>2022Mark1</v>
          </cell>
          <cell r="D1370" t="str">
            <v>Mark</v>
          </cell>
          <cell r="E1370" t="str">
            <v>Emily</v>
          </cell>
          <cell r="F1370">
            <v>2022</v>
          </cell>
          <cell r="I1370">
            <v>109</v>
          </cell>
          <cell r="J1370">
            <v>50</v>
          </cell>
          <cell r="K1370" t="str">
            <v>W</v>
          </cell>
        </row>
        <row r="1371">
          <cell r="A1371" t="str">
            <v>2022Emily1</v>
          </cell>
          <cell r="D1371" t="str">
            <v>Emily</v>
          </cell>
          <cell r="E1371" t="str">
            <v>Mark</v>
          </cell>
          <cell r="F1371">
            <v>2022</v>
          </cell>
          <cell r="I1371">
            <v>59</v>
          </cell>
          <cell r="J1371">
            <v>-50</v>
          </cell>
          <cell r="K1371" t="str">
            <v>L</v>
          </cell>
        </row>
        <row r="1372">
          <cell r="A1372" t="str">
            <v>2022Brent1</v>
          </cell>
          <cell r="D1372" t="str">
            <v>Brent</v>
          </cell>
          <cell r="E1372" t="str">
            <v>Arnold</v>
          </cell>
          <cell r="F1372">
            <v>2022</v>
          </cell>
          <cell r="I1372">
            <v>96</v>
          </cell>
          <cell r="J1372">
            <v>30</v>
          </cell>
          <cell r="K1372" t="str">
            <v>W</v>
          </cell>
        </row>
        <row r="1373">
          <cell r="A1373" t="str">
            <v>2022Arnold1</v>
          </cell>
          <cell r="D1373" t="str">
            <v>Arnold</v>
          </cell>
          <cell r="E1373" t="str">
            <v>Brent</v>
          </cell>
          <cell r="F1373">
            <v>2022</v>
          </cell>
          <cell r="I1373">
            <v>66</v>
          </cell>
          <cell r="J1373">
            <v>-30</v>
          </cell>
          <cell r="K1373" t="str">
            <v>L</v>
          </cell>
        </row>
        <row r="1374">
          <cell r="A1374" t="str">
            <v>2022Michael1</v>
          </cell>
          <cell r="D1374" t="str">
            <v>Michael</v>
          </cell>
          <cell r="E1374" t="str">
            <v>Brian</v>
          </cell>
          <cell r="F1374">
            <v>2022</v>
          </cell>
          <cell r="I1374">
            <v>105</v>
          </cell>
          <cell r="J1374">
            <v>29</v>
          </cell>
          <cell r="K1374" t="str">
            <v>W</v>
          </cell>
        </row>
        <row r="1375">
          <cell r="A1375" t="str">
            <v>2022Brian1</v>
          </cell>
          <cell r="D1375" t="str">
            <v>Brian</v>
          </cell>
          <cell r="E1375" t="str">
            <v>Michael</v>
          </cell>
          <cell r="F1375">
            <v>2022</v>
          </cell>
          <cell r="I1375">
            <v>76</v>
          </cell>
          <cell r="J1375">
            <v>-29</v>
          </cell>
          <cell r="K1375" t="str">
            <v>L</v>
          </cell>
        </row>
        <row r="1376">
          <cell r="A1376" t="str">
            <v>2022David1</v>
          </cell>
          <cell r="D1376" t="str">
            <v>David</v>
          </cell>
          <cell r="E1376" t="str">
            <v>Charles</v>
          </cell>
          <cell r="F1376">
            <v>2022</v>
          </cell>
          <cell r="I1376">
            <v>112</v>
          </cell>
          <cell r="J1376">
            <v>25</v>
          </cell>
          <cell r="K1376" t="str">
            <v>W</v>
          </cell>
        </row>
        <row r="1377">
          <cell r="A1377" t="str">
            <v>2022Charles1</v>
          </cell>
          <cell r="D1377" t="str">
            <v>Charles</v>
          </cell>
          <cell r="E1377" t="str">
            <v>David</v>
          </cell>
          <cell r="F1377">
            <v>2022</v>
          </cell>
          <cell r="I1377">
            <v>87</v>
          </cell>
          <cell r="J1377">
            <v>-25</v>
          </cell>
          <cell r="K1377" t="str">
            <v>L</v>
          </cell>
        </row>
        <row r="1378">
          <cell r="A1378" t="str">
            <v>2022David2</v>
          </cell>
          <cell r="D1378" t="str">
            <v>David</v>
          </cell>
          <cell r="E1378" t="str">
            <v>Russell</v>
          </cell>
          <cell r="F1378">
            <v>2022</v>
          </cell>
          <cell r="I1378">
            <v>93</v>
          </cell>
          <cell r="J1378">
            <v>4</v>
          </cell>
          <cell r="K1378" t="str">
            <v>W</v>
          </cell>
        </row>
        <row r="1379">
          <cell r="A1379" t="str">
            <v>2022Russell2</v>
          </cell>
          <cell r="D1379" t="str">
            <v>Russell</v>
          </cell>
          <cell r="E1379" t="str">
            <v>David</v>
          </cell>
          <cell r="F1379">
            <v>2022</v>
          </cell>
          <cell r="I1379">
            <v>89</v>
          </cell>
          <cell r="J1379">
            <v>-4</v>
          </cell>
          <cell r="K1379" t="str">
            <v>L</v>
          </cell>
        </row>
        <row r="1380">
          <cell r="A1380" t="str">
            <v>2022Brian2</v>
          </cell>
          <cell r="D1380" t="str">
            <v>Brian</v>
          </cell>
          <cell r="E1380" t="str">
            <v>Emily</v>
          </cell>
          <cell r="F1380">
            <v>2022</v>
          </cell>
          <cell r="I1380">
            <v>79</v>
          </cell>
          <cell r="J1380">
            <v>-15</v>
          </cell>
          <cell r="K1380" t="str">
            <v>L</v>
          </cell>
        </row>
        <row r="1381">
          <cell r="A1381" t="str">
            <v>2022Emily2</v>
          </cell>
          <cell r="D1381" t="str">
            <v>Emily</v>
          </cell>
          <cell r="E1381" t="str">
            <v>Brian</v>
          </cell>
          <cell r="F1381">
            <v>2022</v>
          </cell>
          <cell r="I1381">
            <v>94</v>
          </cell>
          <cell r="J1381">
            <v>15</v>
          </cell>
          <cell r="K1381" t="str">
            <v>W</v>
          </cell>
        </row>
        <row r="1382">
          <cell r="A1382" t="str">
            <v>2022Brent2</v>
          </cell>
          <cell r="D1382" t="str">
            <v>Brent</v>
          </cell>
          <cell r="E1382" t="str">
            <v>Matt</v>
          </cell>
          <cell r="F1382">
            <v>2022</v>
          </cell>
          <cell r="I1382">
            <v>108</v>
          </cell>
          <cell r="J1382">
            <v>63</v>
          </cell>
          <cell r="K1382" t="str">
            <v>W</v>
          </cell>
        </row>
        <row r="1383">
          <cell r="A1383" t="str">
            <v>2022Matt2</v>
          </cell>
          <cell r="D1383" t="str">
            <v>Matt</v>
          </cell>
          <cell r="E1383" t="str">
            <v>Brent</v>
          </cell>
          <cell r="F1383">
            <v>2022</v>
          </cell>
          <cell r="I1383">
            <v>45</v>
          </cell>
          <cell r="J1383">
            <v>-63</v>
          </cell>
          <cell r="K1383" t="str">
            <v>L</v>
          </cell>
        </row>
        <row r="1384">
          <cell r="A1384" t="str">
            <v>2022Mark2</v>
          </cell>
          <cell r="D1384" t="str">
            <v>Mark</v>
          </cell>
          <cell r="E1384" t="str">
            <v>Watty</v>
          </cell>
          <cell r="F1384">
            <v>2022</v>
          </cell>
          <cell r="I1384">
            <v>97</v>
          </cell>
          <cell r="J1384">
            <v>19</v>
          </cell>
          <cell r="K1384" t="str">
            <v>W</v>
          </cell>
        </row>
        <row r="1385">
          <cell r="A1385" t="str">
            <v>2022Watty2</v>
          </cell>
          <cell r="D1385" t="str">
            <v>Watty</v>
          </cell>
          <cell r="E1385" t="str">
            <v>Mark</v>
          </cell>
          <cell r="F1385">
            <v>2022</v>
          </cell>
          <cell r="I1385">
            <v>78</v>
          </cell>
          <cell r="J1385">
            <v>-19</v>
          </cell>
          <cell r="K1385" t="str">
            <v>L</v>
          </cell>
        </row>
        <row r="1386">
          <cell r="A1386" t="str">
            <v>2022BR2</v>
          </cell>
          <cell r="D1386" t="str">
            <v>BR</v>
          </cell>
          <cell r="E1386" t="str">
            <v>Michael</v>
          </cell>
          <cell r="F1386">
            <v>2022</v>
          </cell>
          <cell r="I1386">
            <v>93</v>
          </cell>
          <cell r="J1386">
            <v>33</v>
          </cell>
          <cell r="K1386" t="str">
            <v>W</v>
          </cell>
        </row>
        <row r="1387">
          <cell r="A1387" t="str">
            <v>2022Michael2</v>
          </cell>
          <cell r="D1387" t="str">
            <v>Michael</v>
          </cell>
          <cell r="E1387" t="str">
            <v>BR</v>
          </cell>
          <cell r="F1387">
            <v>2022</v>
          </cell>
          <cell r="I1387">
            <v>60</v>
          </cell>
          <cell r="J1387">
            <v>-33</v>
          </cell>
          <cell r="K1387" t="str">
            <v>L</v>
          </cell>
        </row>
        <row r="1388">
          <cell r="A1388" t="str">
            <v>2022Arnold2</v>
          </cell>
          <cell r="D1388" t="str">
            <v>Arnold</v>
          </cell>
          <cell r="E1388" t="str">
            <v>Charles</v>
          </cell>
          <cell r="F1388">
            <v>2022</v>
          </cell>
          <cell r="I1388">
            <v>120</v>
          </cell>
          <cell r="J1388">
            <v>43</v>
          </cell>
          <cell r="K1388" t="str">
            <v>W</v>
          </cell>
        </row>
        <row r="1389">
          <cell r="A1389" t="str">
            <v>2022Charles2</v>
          </cell>
          <cell r="D1389" t="str">
            <v>Charles</v>
          </cell>
          <cell r="E1389" t="str">
            <v>Arnold</v>
          </cell>
          <cell r="F1389">
            <v>2022</v>
          </cell>
          <cell r="I1389">
            <v>77</v>
          </cell>
          <cell r="J1389">
            <v>-43</v>
          </cell>
          <cell r="K1389" t="str">
            <v>L</v>
          </cell>
        </row>
        <row r="1390">
          <cell r="A1390" t="str">
            <v>2022Russell3</v>
          </cell>
          <cell r="D1390" t="str">
            <v>Russell</v>
          </cell>
          <cell r="E1390" t="str">
            <v>Emily</v>
          </cell>
          <cell r="F1390">
            <v>2022</v>
          </cell>
          <cell r="I1390">
            <v>91</v>
          </cell>
          <cell r="J1390">
            <v>-9</v>
          </cell>
          <cell r="K1390" t="str">
            <v>L</v>
          </cell>
        </row>
        <row r="1391">
          <cell r="A1391" t="str">
            <v>2022Emily3</v>
          </cell>
          <cell r="D1391" t="str">
            <v>Emily</v>
          </cell>
          <cell r="E1391" t="str">
            <v>Russell</v>
          </cell>
          <cell r="F1391">
            <v>2022</v>
          </cell>
          <cell r="I1391">
            <v>100</v>
          </cell>
          <cell r="J1391">
            <v>9</v>
          </cell>
          <cell r="K1391" t="str">
            <v>W</v>
          </cell>
        </row>
        <row r="1392">
          <cell r="A1392" t="str">
            <v>2022Matt3</v>
          </cell>
          <cell r="D1392" t="str">
            <v>Matt</v>
          </cell>
          <cell r="E1392" t="str">
            <v>David</v>
          </cell>
          <cell r="F1392">
            <v>2022</v>
          </cell>
          <cell r="I1392">
            <v>70</v>
          </cell>
          <cell r="J1392">
            <v>-3</v>
          </cell>
          <cell r="K1392" t="str">
            <v>L</v>
          </cell>
        </row>
        <row r="1393">
          <cell r="A1393" t="str">
            <v>2022David3</v>
          </cell>
          <cell r="D1393" t="str">
            <v>David</v>
          </cell>
          <cell r="E1393" t="str">
            <v>Matt</v>
          </cell>
          <cell r="F1393">
            <v>2022</v>
          </cell>
          <cell r="I1393">
            <v>73</v>
          </cell>
          <cell r="J1393">
            <v>3</v>
          </cell>
          <cell r="K1393" t="str">
            <v>W</v>
          </cell>
        </row>
        <row r="1394">
          <cell r="A1394" t="str">
            <v>2022Brian3</v>
          </cell>
          <cell r="D1394" t="str">
            <v>Brian</v>
          </cell>
          <cell r="E1394" t="str">
            <v>Brent</v>
          </cell>
          <cell r="F1394">
            <v>2022</v>
          </cell>
          <cell r="I1394">
            <v>82</v>
          </cell>
          <cell r="J1394">
            <v>-11</v>
          </cell>
          <cell r="K1394" t="str">
            <v>L</v>
          </cell>
        </row>
        <row r="1395">
          <cell r="A1395" t="str">
            <v>2022Brent3</v>
          </cell>
          <cell r="D1395" t="str">
            <v>Brent</v>
          </cell>
          <cell r="E1395" t="str">
            <v>Brian</v>
          </cell>
          <cell r="F1395">
            <v>2022</v>
          </cell>
          <cell r="I1395">
            <v>93</v>
          </cell>
          <cell r="J1395">
            <v>11</v>
          </cell>
          <cell r="K1395" t="str">
            <v>W</v>
          </cell>
        </row>
        <row r="1396">
          <cell r="A1396" t="str">
            <v>2022Watty3</v>
          </cell>
          <cell r="D1396" t="str">
            <v>Watty</v>
          </cell>
          <cell r="E1396" t="str">
            <v>Michael</v>
          </cell>
          <cell r="F1396">
            <v>2022</v>
          </cell>
          <cell r="I1396">
            <v>89</v>
          </cell>
          <cell r="J1396">
            <v>26</v>
          </cell>
          <cell r="K1396" t="str">
            <v>W</v>
          </cell>
        </row>
        <row r="1397">
          <cell r="A1397" t="str">
            <v>2022Michael3</v>
          </cell>
          <cell r="D1397" t="str">
            <v>Michael</v>
          </cell>
          <cell r="E1397" t="str">
            <v>Watty</v>
          </cell>
          <cell r="F1397">
            <v>2022</v>
          </cell>
          <cell r="I1397">
            <v>63</v>
          </cell>
          <cell r="J1397">
            <v>-26</v>
          </cell>
          <cell r="K1397" t="str">
            <v>L</v>
          </cell>
        </row>
        <row r="1398">
          <cell r="A1398" t="str">
            <v>2022Arnold3</v>
          </cell>
          <cell r="D1398" t="str">
            <v>Arnold</v>
          </cell>
          <cell r="E1398" t="str">
            <v>Mark</v>
          </cell>
          <cell r="F1398">
            <v>2022</v>
          </cell>
          <cell r="I1398">
            <v>43</v>
          </cell>
          <cell r="J1398">
            <v>-53</v>
          </cell>
          <cell r="K1398" t="str">
            <v>L</v>
          </cell>
        </row>
        <row r="1399">
          <cell r="A1399" t="str">
            <v>2022Mark3</v>
          </cell>
          <cell r="D1399" t="str">
            <v>Mark</v>
          </cell>
          <cell r="E1399" t="str">
            <v>Arnold</v>
          </cell>
          <cell r="F1399">
            <v>2022</v>
          </cell>
          <cell r="I1399">
            <v>96</v>
          </cell>
          <cell r="J1399">
            <v>53</v>
          </cell>
          <cell r="K1399" t="str">
            <v>W</v>
          </cell>
        </row>
        <row r="1400">
          <cell r="A1400" t="str">
            <v>2022Charles3</v>
          </cell>
          <cell r="D1400" t="str">
            <v>Charles</v>
          </cell>
          <cell r="E1400" t="str">
            <v>BR</v>
          </cell>
          <cell r="F1400">
            <v>2022</v>
          </cell>
          <cell r="I1400">
            <v>88</v>
          </cell>
          <cell r="J1400">
            <v>16</v>
          </cell>
          <cell r="K1400" t="str">
            <v>W</v>
          </cell>
        </row>
        <row r="1401">
          <cell r="A1401" t="str">
            <v>2022BR3</v>
          </cell>
          <cell r="D1401" t="str">
            <v>BR</v>
          </cell>
          <cell r="E1401" t="str">
            <v>Charles</v>
          </cell>
          <cell r="F1401">
            <v>2022</v>
          </cell>
          <cell r="I1401">
            <v>72</v>
          </cell>
          <cell r="J1401">
            <v>-16</v>
          </cell>
          <cell r="K1401" t="str">
            <v>L</v>
          </cell>
        </row>
        <row r="1402">
          <cell r="A1402" t="str">
            <v>2022Brian4</v>
          </cell>
          <cell r="D1402" t="str">
            <v>Brian</v>
          </cell>
          <cell r="E1402" t="str">
            <v>Russell</v>
          </cell>
          <cell r="F1402">
            <v>2022</v>
          </cell>
          <cell r="I1402">
            <v>96</v>
          </cell>
          <cell r="J1402">
            <v>39</v>
          </cell>
          <cell r="K1402" t="str">
            <v>W</v>
          </cell>
        </row>
        <row r="1403">
          <cell r="A1403" t="str">
            <v>2022Russell4</v>
          </cell>
          <cell r="D1403" t="str">
            <v>Russell</v>
          </cell>
          <cell r="E1403" t="str">
            <v>Brian</v>
          </cell>
          <cell r="F1403">
            <v>2022</v>
          </cell>
          <cell r="I1403">
            <v>57</v>
          </cell>
          <cell r="J1403">
            <v>-39</v>
          </cell>
          <cell r="K1403" t="str">
            <v>L</v>
          </cell>
        </row>
        <row r="1404">
          <cell r="A1404" t="str">
            <v>2022Brent4</v>
          </cell>
          <cell r="D1404" t="str">
            <v>Brent</v>
          </cell>
          <cell r="E1404" t="str">
            <v>David</v>
          </cell>
          <cell r="F1404">
            <v>2022</v>
          </cell>
          <cell r="I1404">
            <v>106</v>
          </cell>
          <cell r="J1404">
            <v>-10</v>
          </cell>
          <cell r="K1404" t="str">
            <v>L</v>
          </cell>
        </row>
        <row r="1405">
          <cell r="A1405" t="str">
            <v>2022David4</v>
          </cell>
          <cell r="D1405" t="str">
            <v>David</v>
          </cell>
          <cell r="E1405" t="str">
            <v>Brent</v>
          </cell>
          <cell r="F1405">
            <v>2022</v>
          </cell>
          <cell r="I1405">
            <v>116</v>
          </cell>
          <cell r="J1405">
            <v>10</v>
          </cell>
          <cell r="K1405" t="str">
            <v>W</v>
          </cell>
        </row>
        <row r="1406">
          <cell r="A1406" t="str">
            <v>2022Matt4</v>
          </cell>
          <cell r="D1406" t="str">
            <v>Matt</v>
          </cell>
          <cell r="E1406" t="str">
            <v>Emily</v>
          </cell>
          <cell r="F1406">
            <v>2022</v>
          </cell>
          <cell r="I1406">
            <v>100</v>
          </cell>
          <cell r="J1406">
            <v>27</v>
          </cell>
          <cell r="K1406" t="str">
            <v>W</v>
          </cell>
        </row>
        <row r="1407">
          <cell r="A1407" t="str">
            <v>2022Emily4</v>
          </cell>
          <cell r="D1407" t="str">
            <v>Emily</v>
          </cell>
          <cell r="E1407" t="str">
            <v>Matt</v>
          </cell>
          <cell r="F1407">
            <v>2022</v>
          </cell>
          <cell r="I1407">
            <v>73</v>
          </cell>
          <cell r="J1407">
            <v>-27</v>
          </cell>
          <cell r="K1407" t="str">
            <v>L</v>
          </cell>
        </row>
        <row r="1408">
          <cell r="A1408" t="str">
            <v>2022BR4</v>
          </cell>
          <cell r="D1408" t="str">
            <v>BR</v>
          </cell>
          <cell r="E1408" t="str">
            <v>Watty</v>
          </cell>
          <cell r="F1408">
            <v>2022</v>
          </cell>
          <cell r="I1408">
            <v>72</v>
          </cell>
          <cell r="J1408">
            <v>-24</v>
          </cell>
          <cell r="K1408" t="str">
            <v>L</v>
          </cell>
        </row>
        <row r="1409">
          <cell r="A1409" t="str">
            <v>2022Watty4</v>
          </cell>
          <cell r="D1409" t="str">
            <v>Watty</v>
          </cell>
          <cell r="E1409" t="str">
            <v>BR</v>
          </cell>
          <cell r="F1409">
            <v>2022</v>
          </cell>
          <cell r="I1409">
            <v>96</v>
          </cell>
          <cell r="J1409">
            <v>24</v>
          </cell>
          <cell r="K1409" t="str">
            <v>W</v>
          </cell>
        </row>
        <row r="1410">
          <cell r="A1410" t="str">
            <v>2022Charles4</v>
          </cell>
          <cell r="D1410" t="str">
            <v>Charles</v>
          </cell>
          <cell r="E1410" t="str">
            <v>Mark</v>
          </cell>
          <cell r="F1410">
            <v>2022</v>
          </cell>
          <cell r="I1410">
            <v>90</v>
          </cell>
          <cell r="J1410">
            <v>13</v>
          </cell>
          <cell r="K1410" t="str">
            <v>W</v>
          </cell>
        </row>
        <row r="1411">
          <cell r="A1411" t="str">
            <v>2022Mark4</v>
          </cell>
          <cell r="D1411" t="str">
            <v>Mark</v>
          </cell>
          <cell r="E1411" t="str">
            <v>Charles</v>
          </cell>
          <cell r="F1411">
            <v>2022</v>
          </cell>
          <cell r="I1411">
            <v>77</v>
          </cell>
          <cell r="J1411">
            <v>-13</v>
          </cell>
          <cell r="K1411" t="str">
            <v>L</v>
          </cell>
        </row>
        <row r="1412">
          <cell r="A1412" t="str">
            <v>2022Michael4</v>
          </cell>
          <cell r="D1412" t="str">
            <v>Michael</v>
          </cell>
          <cell r="E1412" t="str">
            <v>Arnold</v>
          </cell>
          <cell r="F1412">
            <v>2022</v>
          </cell>
          <cell r="I1412">
            <v>131</v>
          </cell>
          <cell r="J1412">
            <v>29</v>
          </cell>
          <cell r="K1412" t="str">
            <v>W</v>
          </cell>
        </row>
        <row r="1413">
          <cell r="A1413" t="str">
            <v>2022Arnold4</v>
          </cell>
          <cell r="D1413" t="str">
            <v>Arnold</v>
          </cell>
          <cell r="E1413" t="str">
            <v>Michael</v>
          </cell>
          <cell r="F1413">
            <v>2022</v>
          </cell>
          <cell r="I1413">
            <v>102</v>
          </cell>
          <cell r="J1413">
            <v>-29</v>
          </cell>
          <cell r="K1413" t="str">
            <v>L</v>
          </cell>
        </row>
        <row r="1414">
          <cell r="A1414" t="str">
            <v>2022Russell5</v>
          </cell>
          <cell r="D1414" t="str">
            <v>Russell</v>
          </cell>
          <cell r="E1414" t="str">
            <v>Matt</v>
          </cell>
          <cell r="F1414">
            <v>2022</v>
          </cell>
          <cell r="I1414">
            <v>67</v>
          </cell>
          <cell r="J1414">
            <v>-37</v>
          </cell>
          <cell r="K1414" t="str">
            <v>L</v>
          </cell>
        </row>
        <row r="1415">
          <cell r="A1415" t="str">
            <v>2022Matt5</v>
          </cell>
          <cell r="D1415" t="str">
            <v>Matt</v>
          </cell>
          <cell r="E1415" t="str">
            <v>Russell</v>
          </cell>
          <cell r="F1415">
            <v>2022</v>
          </cell>
          <cell r="I1415">
            <v>104</v>
          </cell>
          <cell r="J1415">
            <v>37</v>
          </cell>
          <cell r="K1415" t="str">
            <v>W</v>
          </cell>
        </row>
        <row r="1416">
          <cell r="A1416" t="str">
            <v>2022Brian5</v>
          </cell>
          <cell r="D1416" t="str">
            <v>Brian</v>
          </cell>
          <cell r="E1416" t="str">
            <v>David</v>
          </cell>
          <cell r="F1416">
            <v>2022</v>
          </cell>
          <cell r="I1416">
            <v>124</v>
          </cell>
          <cell r="J1416">
            <v>65</v>
          </cell>
          <cell r="K1416" t="str">
            <v>W</v>
          </cell>
        </row>
        <row r="1417">
          <cell r="A1417" t="str">
            <v>2022David5</v>
          </cell>
          <cell r="D1417" t="str">
            <v>David</v>
          </cell>
          <cell r="E1417" t="str">
            <v>Brian</v>
          </cell>
          <cell r="F1417">
            <v>2022</v>
          </cell>
          <cell r="I1417">
            <v>59</v>
          </cell>
          <cell r="J1417">
            <v>-65</v>
          </cell>
          <cell r="K1417" t="str">
            <v>L</v>
          </cell>
        </row>
        <row r="1418">
          <cell r="A1418" t="str">
            <v>2022Emily5</v>
          </cell>
          <cell r="D1418" t="str">
            <v>Emily</v>
          </cell>
          <cell r="E1418" t="str">
            <v>Brent</v>
          </cell>
          <cell r="F1418">
            <v>2022</v>
          </cell>
          <cell r="I1418">
            <v>79</v>
          </cell>
          <cell r="J1418">
            <v>-10</v>
          </cell>
          <cell r="K1418" t="str">
            <v>L</v>
          </cell>
        </row>
        <row r="1419">
          <cell r="A1419" t="str">
            <v>2022Brent5</v>
          </cell>
          <cell r="D1419" t="str">
            <v>Brent</v>
          </cell>
          <cell r="E1419" t="str">
            <v>Emily</v>
          </cell>
          <cell r="F1419">
            <v>2022</v>
          </cell>
          <cell r="I1419">
            <v>89</v>
          </cell>
          <cell r="J1419">
            <v>10</v>
          </cell>
          <cell r="K1419" t="str">
            <v>W</v>
          </cell>
        </row>
        <row r="1420">
          <cell r="A1420" t="str">
            <v>2022Arnold5</v>
          </cell>
          <cell r="D1420" t="str">
            <v>Arnold</v>
          </cell>
          <cell r="E1420" t="str">
            <v>Watty</v>
          </cell>
          <cell r="F1420">
            <v>2022</v>
          </cell>
          <cell r="I1420">
            <v>73</v>
          </cell>
          <cell r="J1420">
            <v>-16</v>
          </cell>
          <cell r="K1420" t="str">
            <v>L</v>
          </cell>
        </row>
        <row r="1421">
          <cell r="A1421" t="str">
            <v>2022Watty5</v>
          </cell>
          <cell r="D1421" t="str">
            <v>Watty</v>
          </cell>
          <cell r="E1421" t="str">
            <v>Arnold</v>
          </cell>
          <cell r="F1421">
            <v>2022</v>
          </cell>
          <cell r="I1421">
            <v>89</v>
          </cell>
          <cell r="J1421">
            <v>16</v>
          </cell>
          <cell r="K1421" t="str">
            <v>W</v>
          </cell>
        </row>
        <row r="1422">
          <cell r="A1422" t="str">
            <v>2022Mark5</v>
          </cell>
          <cell r="D1422" t="str">
            <v>Mark</v>
          </cell>
          <cell r="E1422" t="str">
            <v>BR</v>
          </cell>
          <cell r="F1422">
            <v>2022</v>
          </cell>
          <cell r="I1422">
            <v>100</v>
          </cell>
          <cell r="J1422">
            <v>-22</v>
          </cell>
          <cell r="K1422" t="str">
            <v>L</v>
          </cell>
        </row>
        <row r="1423">
          <cell r="A1423" t="str">
            <v>2022BR5</v>
          </cell>
          <cell r="D1423" t="str">
            <v>BR</v>
          </cell>
          <cell r="E1423" t="str">
            <v>Mark</v>
          </cell>
          <cell r="F1423">
            <v>2022</v>
          </cell>
          <cell r="I1423">
            <v>122</v>
          </cell>
          <cell r="J1423">
            <v>22</v>
          </cell>
          <cell r="K1423" t="str">
            <v>W</v>
          </cell>
        </row>
        <row r="1424">
          <cell r="A1424" t="str">
            <v>2022Michael5</v>
          </cell>
          <cell r="D1424" t="str">
            <v>Michael</v>
          </cell>
          <cell r="E1424" t="str">
            <v>Charles</v>
          </cell>
          <cell r="F1424">
            <v>2022</v>
          </cell>
          <cell r="I1424">
            <v>97</v>
          </cell>
          <cell r="J1424">
            <v>14</v>
          </cell>
          <cell r="K1424" t="str">
            <v>W</v>
          </cell>
        </row>
        <row r="1425">
          <cell r="A1425" t="str">
            <v>2022Charles5</v>
          </cell>
          <cell r="D1425" t="str">
            <v>Charles</v>
          </cell>
          <cell r="E1425" t="str">
            <v>Michael</v>
          </cell>
          <cell r="F1425">
            <v>2022</v>
          </cell>
          <cell r="I1425">
            <v>83</v>
          </cell>
          <cell r="J1425">
            <v>-14</v>
          </cell>
          <cell r="K1425" t="str">
            <v>L</v>
          </cell>
        </row>
        <row r="1426">
          <cell r="A1426" t="str">
            <v>2022Russell6</v>
          </cell>
          <cell r="D1426" t="str">
            <v>Russell</v>
          </cell>
          <cell r="E1426" t="str">
            <v>Brent</v>
          </cell>
          <cell r="F1426">
            <v>2022</v>
          </cell>
          <cell r="I1426">
            <v>77</v>
          </cell>
          <cell r="J1426">
            <v>8</v>
          </cell>
          <cell r="K1426" t="str">
            <v>W</v>
          </cell>
        </row>
        <row r="1427">
          <cell r="A1427" t="str">
            <v>2022Brent6</v>
          </cell>
          <cell r="D1427" t="str">
            <v>Brent</v>
          </cell>
          <cell r="E1427" t="str">
            <v>Russell</v>
          </cell>
          <cell r="F1427">
            <v>2022</v>
          </cell>
          <cell r="I1427">
            <v>69</v>
          </cell>
          <cell r="J1427">
            <v>-8</v>
          </cell>
          <cell r="K1427" t="str">
            <v>L</v>
          </cell>
        </row>
        <row r="1428">
          <cell r="A1428" t="str">
            <v>2022Emily6</v>
          </cell>
          <cell r="D1428" t="str">
            <v>Emily</v>
          </cell>
          <cell r="E1428" t="str">
            <v>David</v>
          </cell>
          <cell r="F1428">
            <v>2022</v>
          </cell>
          <cell r="I1428">
            <v>76</v>
          </cell>
          <cell r="J1428">
            <v>26</v>
          </cell>
          <cell r="K1428" t="str">
            <v>W</v>
          </cell>
        </row>
        <row r="1429">
          <cell r="A1429" t="str">
            <v>2022David6</v>
          </cell>
          <cell r="D1429" t="str">
            <v>David</v>
          </cell>
          <cell r="E1429" t="str">
            <v>Emily</v>
          </cell>
          <cell r="F1429">
            <v>2022</v>
          </cell>
          <cell r="I1429">
            <v>50</v>
          </cell>
          <cell r="J1429">
            <v>-26</v>
          </cell>
          <cell r="K1429" t="str">
            <v>L</v>
          </cell>
        </row>
        <row r="1430">
          <cell r="A1430" t="str">
            <v>2022Matt6</v>
          </cell>
          <cell r="D1430" t="str">
            <v>Matt</v>
          </cell>
          <cell r="E1430" t="str">
            <v>Brian</v>
          </cell>
          <cell r="F1430">
            <v>2022</v>
          </cell>
          <cell r="I1430">
            <v>60</v>
          </cell>
          <cell r="J1430">
            <v>-22</v>
          </cell>
          <cell r="K1430" t="str">
            <v>L</v>
          </cell>
        </row>
        <row r="1431">
          <cell r="A1431" t="str">
            <v>2022Brian6</v>
          </cell>
          <cell r="D1431" t="str">
            <v>Brian</v>
          </cell>
          <cell r="E1431" t="str">
            <v>Matt</v>
          </cell>
          <cell r="F1431">
            <v>2022</v>
          </cell>
          <cell r="I1431">
            <v>82</v>
          </cell>
          <cell r="J1431">
            <v>22</v>
          </cell>
          <cell r="K1431" t="str">
            <v>W</v>
          </cell>
        </row>
        <row r="1432">
          <cell r="A1432" t="str">
            <v>2022Charles6</v>
          </cell>
          <cell r="D1432" t="str">
            <v>Charles</v>
          </cell>
          <cell r="E1432" t="str">
            <v>Watty</v>
          </cell>
          <cell r="F1432">
            <v>2022</v>
          </cell>
          <cell r="I1432">
            <v>65</v>
          </cell>
          <cell r="J1432">
            <v>13</v>
          </cell>
          <cell r="K1432" t="str">
            <v>W</v>
          </cell>
        </row>
        <row r="1433">
          <cell r="A1433" t="str">
            <v>2022Watty6</v>
          </cell>
          <cell r="D1433" t="str">
            <v>Watty</v>
          </cell>
          <cell r="E1433" t="str">
            <v>Charles</v>
          </cell>
          <cell r="F1433">
            <v>2022</v>
          </cell>
          <cell r="I1433">
            <v>52</v>
          </cell>
          <cell r="J1433">
            <v>-13</v>
          </cell>
          <cell r="K1433" t="str">
            <v>L</v>
          </cell>
        </row>
        <row r="1434">
          <cell r="A1434" t="str">
            <v>2022Michael6</v>
          </cell>
          <cell r="D1434" t="str">
            <v>Michael</v>
          </cell>
          <cell r="E1434" t="str">
            <v>Mark</v>
          </cell>
          <cell r="F1434">
            <v>2022</v>
          </cell>
          <cell r="I1434">
            <v>101</v>
          </cell>
          <cell r="J1434">
            <v>-22</v>
          </cell>
          <cell r="K1434" t="str">
            <v>L</v>
          </cell>
        </row>
        <row r="1435">
          <cell r="A1435" t="str">
            <v>2022Mark6</v>
          </cell>
          <cell r="D1435" t="str">
            <v>Mark</v>
          </cell>
          <cell r="E1435" t="str">
            <v>Michael</v>
          </cell>
          <cell r="F1435">
            <v>2022</v>
          </cell>
          <cell r="I1435">
            <v>123</v>
          </cell>
          <cell r="J1435">
            <v>22</v>
          </cell>
          <cell r="K1435" t="str">
            <v>W</v>
          </cell>
        </row>
        <row r="1436">
          <cell r="A1436" t="str">
            <v>2022BR6</v>
          </cell>
          <cell r="D1436" t="str">
            <v>BR</v>
          </cell>
          <cell r="E1436" t="str">
            <v>Arnold</v>
          </cell>
          <cell r="F1436">
            <v>2022</v>
          </cell>
          <cell r="I1436">
            <v>99</v>
          </cell>
          <cell r="J1436">
            <v>34</v>
          </cell>
          <cell r="K1436" t="str">
            <v>W</v>
          </cell>
        </row>
        <row r="1437">
          <cell r="A1437" t="str">
            <v>2022Arnold6</v>
          </cell>
          <cell r="D1437" t="str">
            <v>Arnold</v>
          </cell>
          <cell r="E1437" t="str">
            <v>BR</v>
          </cell>
          <cell r="F1437">
            <v>2022</v>
          </cell>
          <cell r="I1437">
            <v>65</v>
          </cell>
          <cell r="J1437">
            <v>-34</v>
          </cell>
          <cell r="K1437" t="str">
            <v>L</v>
          </cell>
        </row>
        <row r="1438">
          <cell r="A1438" t="str">
            <v>2022Watty7</v>
          </cell>
          <cell r="D1438" t="str">
            <v>Watty</v>
          </cell>
          <cell r="E1438" t="str">
            <v>Russell</v>
          </cell>
          <cell r="F1438">
            <v>2022</v>
          </cell>
          <cell r="I1438">
            <v>97</v>
          </cell>
          <cell r="J1438">
            <v>34</v>
          </cell>
          <cell r="K1438" t="str">
            <v>W</v>
          </cell>
        </row>
        <row r="1439">
          <cell r="A1439" t="str">
            <v>2022Russell7</v>
          </cell>
          <cell r="D1439" t="str">
            <v>Russell</v>
          </cell>
          <cell r="E1439" t="str">
            <v>Watty</v>
          </cell>
          <cell r="F1439">
            <v>2022</v>
          </cell>
          <cell r="I1439">
            <v>63</v>
          </cell>
          <cell r="J1439">
            <v>-34</v>
          </cell>
          <cell r="K1439" t="str">
            <v>L</v>
          </cell>
        </row>
        <row r="1440">
          <cell r="A1440" t="str">
            <v>2022Mark7</v>
          </cell>
          <cell r="D1440" t="str">
            <v>Mark</v>
          </cell>
          <cell r="E1440" t="str">
            <v>David</v>
          </cell>
          <cell r="F1440">
            <v>2022</v>
          </cell>
          <cell r="I1440">
            <v>85</v>
          </cell>
          <cell r="J1440">
            <v>8</v>
          </cell>
          <cell r="K1440" t="str">
            <v>W</v>
          </cell>
        </row>
        <row r="1441">
          <cell r="A1441" t="str">
            <v>2022David7</v>
          </cell>
          <cell r="D1441" t="str">
            <v>David</v>
          </cell>
          <cell r="E1441" t="str">
            <v>Mark</v>
          </cell>
          <cell r="F1441">
            <v>2022</v>
          </cell>
          <cell r="I1441">
            <v>77</v>
          </cell>
          <cell r="J1441">
            <v>-8</v>
          </cell>
          <cell r="K1441" t="str">
            <v>L</v>
          </cell>
        </row>
        <row r="1442">
          <cell r="A1442" t="str">
            <v>2022Michael7</v>
          </cell>
          <cell r="D1442" t="str">
            <v>Michael</v>
          </cell>
          <cell r="E1442" t="str">
            <v>Emily</v>
          </cell>
          <cell r="F1442">
            <v>2022</v>
          </cell>
          <cell r="I1442">
            <v>105</v>
          </cell>
          <cell r="J1442">
            <v>42</v>
          </cell>
          <cell r="K1442" t="str">
            <v>W</v>
          </cell>
        </row>
        <row r="1443">
          <cell r="A1443" t="str">
            <v>2022Emily7</v>
          </cell>
          <cell r="D1443" t="str">
            <v>Emily</v>
          </cell>
          <cell r="E1443" t="str">
            <v>Michael</v>
          </cell>
          <cell r="F1443">
            <v>2022</v>
          </cell>
          <cell r="I1443">
            <v>63</v>
          </cell>
          <cell r="J1443">
            <v>-42</v>
          </cell>
          <cell r="K1443" t="str">
            <v>L</v>
          </cell>
        </row>
        <row r="1444">
          <cell r="A1444" t="str">
            <v>2022BR7</v>
          </cell>
          <cell r="D1444" t="str">
            <v>BR</v>
          </cell>
          <cell r="E1444" t="str">
            <v>Brian</v>
          </cell>
          <cell r="F1444">
            <v>2022</v>
          </cell>
          <cell r="I1444">
            <v>69</v>
          </cell>
          <cell r="J1444">
            <v>-40</v>
          </cell>
          <cell r="K1444" t="str">
            <v>L</v>
          </cell>
        </row>
        <row r="1445">
          <cell r="A1445" t="str">
            <v>2022Brian7</v>
          </cell>
          <cell r="D1445" t="str">
            <v>Brian</v>
          </cell>
          <cell r="E1445" t="str">
            <v>BR</v>
          </cell>
          <cell r="F1445">
            <v>2022</v>
          </cell>
          <cell r="I1445">
            <v>109</v>
          </cell>
          <cell r="J1445">
            <v>40</v>
          </cell>
          <cell r="K1445" t="str">
            <v>W</v>
          </cell>
        </row>
        <row r="1446">
          <cell r="A1446" t="str">
            <v>2022Arnold7</v>
          </cell>
          <cell r="D1446" t="str">
            <v>Arnold</v>
          </cell>
          <cell r="E1446" t="str">
            <v>Matt</v>
          </cell>
          <cell r="F1446">
            <v>2022</v>
          </cell>
          <cell r="I1446">
            <v>84</v>
          </cell>
          <cell r="J1446">
            <v>28</v>
          </cell>
          <cell r="K1446" t="str">
            <v>W</v>
          </cell>
        </row>
        <row r="1447">
          <cell r="A1447" t="str">
            <v>2022Matt7</v>
          </cell>
          <cell r="D1447" t="str">
            <v>Matt</v>
          </cell>
          <cell r="E1447" t="str">
            <v>Arnold</v>
          </cell>
          <cell r="F1447">
            <v>2022</v>
          </cell>
          <cell r="I1447">
            <v>56</v>
          </cell>
          <cell r="J1447">
            <v>-28</v>
          </cell>
          <cell r="K1447" t="str">
            <v>L</v>
          </cell>
        </row>
        <row r="1448">
          <cell r="A1448" t="str">
            <v>2022Charles7</v>
          </cell>
          <cell r="D1448" t="str">
            <v>Charles</v>
          </cell>
          <cell r="E1448" t="str">
            <v>Brent</v>
          </cell>
          <cell r="F1448">
            <v>2022</v>
          </cell>
          <cell r="I1448">
            <v>54</v>
          </cell>
          <cell r="J1448">
            <v>-38</v>
          </cell>
          <cell r="K1448" t="str">
            <v>L</v>
          </cell>
        </row>
        <row r="1449">
          <cell r="A1449" t="str">
            <v>2022Brent7</v>
          </cell>
          <cell r="D1449" t="str">
            <v>Brent</v>
          </cell>
          <cell r="E1449" t="str">
            <v>Charles</v>
          </cell>
          <cell r="F1449">
            <v>2022</v>
          </cell>
          <cell r="I1449">
            <v>92</v>
          </cell>
          <cell r="J1449">
            <v>38</v>
          </cell>
          <cell r="K1449" t="str">
            <v>W</v>
          </cell>
        </row>
        <row r="1450">
          <cell r="A1450" t="str">
            <v>2022Russell8</v>
          </cell>
          <cell r="D1450" t="str">
            <v>Russell</v>
          </cell>
          <cell r="E1450" t="str">
            <v>Mark</v>
          </cell>
          <cell r="F1450">
            <v>2022</v>
          </cell>
          <cell r="I1450">
            <v>104</v>
          </cell>
          <cell r="J1450">
            <v>32</v>
          </cell>
          <cell r="K1450" t="str">
            <v>W</v>
          </cell>
        </row>
        <row r="1451">
          <cell r="A1451" t="str">
            <v>2022Mark8</v>
          </cell>
          <cell r="D1451" t="str">
            <v>Mark</v>
          </cell>
          <cell r="E1451" t="str">
            <v>Russell</v>
          </cell>
          <cell r="F1451">
            <v>2022</v>
          </cell>
          <cell r="I1451">
            <v>72</v>
          </cell>
          <cell r="J1451">
            <v>-32</v>
          </cell>
          <cell r="K1451" t="str">
            <v>L</v>
          </cell>
        </row>
        <row r="1452">
          <cell r="A1452" t="str">
            <v>2022David8</v>
          </cell>
          <cell r="D1452" t="str">
            <v>David</v>
          </cell>
          <cell r="E1452" t="str">
            <v>Watty</v>
          </cell>
          <cell r="F1452">
            <v>2022</v>
          </cell>
          <cell r="I1452">
            <v>108</v>
          </cell>
          <cell r="J1452">
            <v>2</v>
          </cell>
          <cell r="K1452" t="str">
            <v>W</v>
          </cell>
        </row>
        <row r="1453">
          <cell r="A1453" t="str">
            <v>2022Watty8</v>
          </cell>
          <cell r="D1453" t="str">
            <v>Watty</v>
          </cell>
          <cell r="E1453" t="str">
            <v>David</v>
          </cell>
          <cell r="F1453">
            <v>2022</v>
          </cell>
          <cell r="I1453">
            <v>106</v>
          </cell>
          <cell r="J1453">
            <v>-2</v>
          </cell>
          <cell r="K1453" t="str">
            <v>L</v>
          </cell>
        </row>
        <row r="1454">
          <cell r="A1454" t="str">
            <v>2022Emily8</v>
          </cell>
          <cell r="D1454" t="str">
            <v>Emily</v>
          </cell>
          <cell r="E1454" t="str">
            <v>BR</v>
          </cell>
          <cell r="F1454">
            <v>2022</v>
          </cell>
          <cell r="I1454">
            <v>102</v>
          </cell>
          <cell r="J1454">
            <v>20</v>
          </cell>
          <cell r="K1454" t="str">
            <v>W</v>
          </cell>
        </row>
        <row r="1455">
          <cell r="A1455" t="str">
            <v>2022BR8</v>
          </cell>
          <cell r="D1455" t="str">
            <v>BR</v>
          </cell>
          <cell r="E1455" t="str">
            <v>Emily</v>
          </cell>
          <cell r="F1455">
            <v>2022</v>
          </cell>
          <cell r="I1455">
            <v>82</v>
          </cell>
          <cell r="J1455">
            <v>-20</v>
          </cell>
          <cell r="K1455" t="str">
            <v>L</v>
          </cell>
        </row>
        <row r="1456">
          <cell r="A1456" t="str">
            <v>2022Brian8</v>
          </cell>
          <cell r="D1456" t="str">
            <v>Brian</v>
          </cell>
          <cell r="E1456" t="str">
            <v>Arnold</v>
          </cell>
          <cell r="F1456">
            <v>2022</v>
          </cell>
          <cell r="I1456">
            <v>91</v>
          </cell>
          <cell r="J1456">
            <v>-14</v>
          </cell>
          <cell r="K1456" t="str">
            <v>L</v>
          </cell>
        </row>
        <row r="1457">
          <cell r="A1457" t="str">
            <v>2022Arnold8</v>
          </cell>
          <cell r="D1457" t="str">
            <v>Arnold</v>
          </cell>
          <cell r="E1457" t="str">
            <v>Brian</v>
          </cell>
          <cell r="F1457">
            <v>2022</v>
          </cell>
          <cell r="I1457">
            <v>105</v>
          </cell>
          <cell r="J1457">
            <v>14</v>
          </cell>
          <cell r="K1457" t="str">
            <v>W</v>
          </cell>
        </row>
        <row r="1458">
          <cell r="A1458" t="str">
            <v>2022Matt8</v>
          </cell>
          <cell r="D1458" t="str">
            <v>Matt</v>
          </cell>
          <cell r="E1458" t="str">
            <v>Charles</v>
          </cell>
          <cell r="F1458">
            <v>2022</v>
          </cell>
          <cell r="I1458">
            <v>102</v>
          </cell>
          <cell r="J1458">
            <v>6</v>
          </cell>
          <cell r="K1458" t="str">
            <v>W</v>
          </cell>
        </row>
        <row r="1459">
          <cell r="A1459" t="str">
            <v>2022Charles8</v>
          </cell>
          <cell r="D1459" t="str">
            <v>Charles</v>
          </cell>
          <cell r="E1459" t="str">
            <v>Matt</v>
          </cell>
          <cell r="F1459">
            <v>2022</v>
          </cell>
          <cell r="I1459">
            <v>96</v>
          </cell>
          <cell r="J1459">
            <v>-6</v>
          </cell>
          <cell r="K1459" t="str">
            <v>L</v>
          </cell>
        </row>
        <row r="1460">
          <cell r="A1460" t="str">
            <v>2022Brent8</v>
          </cell>
          <cell r="D1460" t="str">
            <v>Brent</v>
          </cell>
          <cell r="E1460" t="str">
            <v>Michael</v>
          </cell>
          <cell r="F1460">
            <v>2022</v>
          </cell>
          <cell r="I1460">
            <v>142</v>
          </cell>
          <cell r="J1460">
            <v>62</v>
          </cell>
          <cell r="K1460" t="str">
            <v>W</v>
          </cell>
        </row>
        <row r="1461">
          <cell r="A1461" t="str">
            <v>2022Michael8</v>
          </cell>
          <cell r="D1461" t="str">
            <v>Michael</v>
          </cell>
          <cell r="E1461" t="str">
            <v>Brent</v>
          </cell>
          <cell r="F1461">
            <v>2022</v>
          </cell>
          <cell r="I1461">
            <v>80</v>
          </cell>
          <cell r="J1461">
            <v>-62</v>
          </cell>
          <cell r="K1461" t="str">
            <v>L</v>
          </cell>
        </row>
        <row r="1462">
          <cell r="A1462" t="str">
            <v>2022Michael9</v>
          </cell>
          <cell r="D1462" t="str">
            <v>Michael</v>
          </cell>
          <cell r="E1462" t="str">
            <v>Russell</v>
          </cell>
          <cell r="F1462">
            <v>2022</v>
          </cell>
          <cell r="I1462">
            <v>99</v>
          </cell>
          <cell r="J1462">
            <v>23</v>
          </cell>
          <cell r="K1462" t="str">
            <v>W</v>
          </cell>
        </row>
        <row r="1463">
          <cell r="A1463" t="str">
            <v>2022Russell9</v>
          </cell>
          <cell r="D1463" t="str">
            <v>Russell</v>
          </cell>
          <cell r="E1463" t="str">
            <v>Michael</v>
          </cell>
          <cell r="F1463">
            <v>2022</v>
          </cell>
          <cell r="I1463">
            <v>76</v>
          </cell>
          <cell r="J1463">
            <v>-23</v>
          </cell>
          <cell r="K1463" t="str">
            <v>L</v>
          </cell>
        </row>
        <row r="1464">
          <cell r="A1464" t="str">
            <v>2022BR9</v>
          </cell>
          <cell r="D1464" t="str">
            <v>BR</v>
          </cell>
          <cell r="E1464" t="str">
            <v>David</v>
          </cell>
          <cell r="F1464">
            <v>2022</v>
          </cell>
          <cell r="I1464">
            <v>59</v>
          </cell>
          <cell r="J1464">
            <v>-15</v>
          </cell>
          <cell r="K1464" t="str">
            <v>L</v>
          </cell>
        </row>
        <row r="1465">
          <cell r="A1465" t="str">
            <v>2022David9</v>
          </cell>
          <cell r="D1465" t="str">
            <v>David</v>
          </cell>
          <cell r="E1465" t="str">
            <v>BR</v>
          </cell>
          <cell r="F1465">
            <v>2022</v>
          </cell>
          <cell r="I1465">
            <v>74</v>
          </cell>
          <cell r="J1465">
            <v>15</v>
          </cell>
          <cell r="K1465" t="str">
            <v>W</v>
          </cell>
        </row>
        <row r="1466">
          <cell r="A1466" t="str">
            <v>2022Arnold9</v>
          </cell>
          <cell r="D1466" t="str">
            <v>Arnold</v>
          </cell>
          <cell r="E1466" t="str">
            <v>Emily</v>
          </cell>
          <cell r="F1466">
            <v>2022</v>
          </cell>
          <cell r="I1466">
            <v>85</v>
          </cell>
          <cell r="J1466">
            <v>15</v>
          </cell>
          <cell r="K1466" t="str">
            <v>W</v>
          </cell>
        </row>
        <row r="1467">
          <cell r="A1467" t="str">
            <v>2022Emily9</v>
          </cell>
          <cell r="D1467" t="str">
            <v>Emily</v>
          </cell>
          <cell r="E1467" t="str">
            <v>Arnold</v>
          </cell>
          <cell r="F1467">
            <v>2022</v>
          </cell>
          <cell r="I1467">
            <v>70</v>
          </cell>
          <cell r="J1467">
            <v>-15</v>
          </cell>
          <cell r="K1467" t="str">
            <v>L</v>
          </cell>
        </row>
        <row r="1468">
          <cell r="A1468" t="str">
            <v>2022Charles9</v>
          </cell>
          <cell r="D1468" t="str">
            <v>Charles</v>
          </cell>
          <cell r="E1468" t="str">
            <v>Brian</v>
          </cell>
          <cell r="F1468">
            <v>2022</v>
          </cell>
          <cell r="I1468">
            <v>84</v>
          </cell>
          <cell r="J1468">
            <v>-58</v>
          </cell>
          <cell r="K1468" t="str">
            <v>L</v>
          </cell>
        </row>
        <row r="1469">
          <cell r="A1469" t="str">
            <v>2022Brian9</v>
          </cell>
          <cell r="D1469" t="str">
            <v>Brian</v>
          </cell>
          <cell r="E1469" t="str">
            <v>Charles</v>
          </cell>
          <cell r="F1469">
            <v>2022</v>
          </cell>
          <cell r="I1469">
            <v>142</v>
          </cell>
          <cell r="J1469">
            <v>58</v>
          </cell>
          <cell r="K1469" t="str">
            <v>W</v>
          </cell>
        </row>
        <row r="1470">
          <cell r="A1470" t="str">
            <v>2022Watty9</v>
          </cell>
          <cell r="D1470" t="str">
            <v>Watty</v>
          </cell>
          <cell r="E1470" t="str">
            <v>Matt</v>
          </cell>
          <cell r="F1470">
            <v>2022</v>
          </cell>
          <cell r="I1470">
            <v>97</v>
          </cell>
          <cell r="J1470">
            <v>35</v>
          </cell>
          <cell r="K1470" t="str">
            <v>W</v>
          </cell>
        </row>
        <row r="1471">
          <cell r="A1471" t="str">
            <v>2022Matt9</v>
          </cell>
          <cell r="D1471" t="str">
            <v>Matt</v>
          </cell>
          <cell r="E1471" t="str">
            <v>Watty</v>
          </cell>
          <cell r="F1471">
            <v>2022</v>
          </cell>
          <cell r="I1471">
            <v>62</v>
          </cell>
          <cell r="J1471">
            <v>-35</v>
          </cell>
          <cell r="K1471" t="str">
            <v>L</v>
          </cell>
        </row>
        <row r="1472">
          <cell r="A1472" t="str">
            <v>2022Mark9</v>
          </cell>
          <cell r="D1472" t="str">
            <v>Mark</v>
          </cell>
          <cell r="E1472" t="str">
            <v>Brent</v>
          </cell>
          <cell r="F1472">
            <v>2022</v>
          </cell>
          <cell r="I1472">
            <v>82</v>
          </cell>
          <cell r="J1472">
            <v>-31</v>
          </cell>
          <cell r="K1472" t="str">
            <v>L</v>
          </cell>
        </row>
        <row r="1473">
          <cell r="A1473" t="str">
            <v>2022Brent9</v>
          </cell>
          <cell r="D1473" t="str">
            <v>Brent</v>
          </cell>
          <cell r="E1473" t="str">
            <v>Mark</v>
          </cell>
          <cell r="F1473">
            <v>2022</v>
          </cell>
          <cell r="I1473">
            <v>113</v>
          </cell>
          <cell r="J1473">
            <v>31</v>
          </cell>
          <cell r="K1473" t="str">
            <v>W</v>
          </cell>
        </row>
        <row r="1474">
          <cell r="A1474" t="str">
            <v>2022Russell10</v>
          </cell>
          <cell r="D1474" t="str">
            <v>Russell</v>
          </cell>
          <cell r="E1474" t="str">
            <v>BR</v>
          </cell>
          <cell r="F1474">
            <v>2022</v>
          </cell>
          <cell r="I1474">
            <v>105</v>
          </cell>
          <cell r="J1474">
            <v>36</v>
          </cell>
          <cell r="K1474" t="str">
            <v>W</v>
          </cell>
        </row>
        <row r="1475">
          <cell r="A1475" t="str">
            <v>2022BR10</v>
          </cell>
          <cell r="D1475" t="str">
            <v>BR</v>
          </cell>
          <cell r="E1475" t="str">
            <v>Russell</v>
          </cell>
          <cell r="F1475">
            <v>2022</v>
          </cell>
          <cell r="I1475">
            <v>69</v>
          </cell>
          <cell r="J1475">
            <v>-36</v>
          </cell>
          <cell r="K1475" t="str">
            <v>L</v>
          </cell>
        </row>
        <row r="1476">
          <cell r="A1476" t="str">
            <v>2022David10</v>
          </cell>
          <cell r="D1476" t="str">
            <v>David</v>
          </cell>
          <cell r="E1476" t="str">
            <v>Michael</v>
          </cell>
          <cell r="F1476">
            <v>2022</v>
          </cell>
          <cell r="I1476">
            <v>76</v>
          </cell>
          <cell r="J1476">
            <v>7</v>
          </cell>
          <cell r="K1476" t="str">
            <v>W</v>
          </cell>
        </row>
        <row r="1477">
          <cell r="A1477" t="str">
            <v>2022Michael10</v>
          </cell>
          <cell r="D1477" t="str">
            <v>Michael</v>
          </cell>
          <cell r="E1477" t="str">
            <v>David</v>
          </cell>
          <cell r="F1477">
            <v>2022</v>
          </cell>
          <cell r="I1477">
            <v>69</v>
          </cell>
          <cell r="J1477">
            <v>-7</v>
          </cell>
          <cell r="K1477" t="str">
            <v>L</v>
          </cell>
        </row>
        <row r="1478">
          <cell r="A1478" t="str">
            <v>2022Emily10</v>
          </cell>
          <cell r="D1478" t="str">
            <v>Emily</v>
          </cell>
          <cell r="E1478" t="str">
            <v>Charles</v>
          </cell>
          <cell r="F1478">
            <v>2022</v>
          </cell>
          <cell r="I1478">
            <v>75</v>
          </cell>
          <cell r="J1478">
            <v>-8</v>
          </cell>
          <cell r="K1478" t="str">
            <v>L</v>
          </cell>
        </row>
        <row r="1479">
          <cell r="A1479" t="str">
            <v>2022Charles10</v>
          </cell>
          <cell r="D1479" t="str">
            <v>Charles</v>
          </cell>
          <cell r="E1479" t="str">
            <v>Emily</v>
          </cell>
          <cell r="F1479">
            <v>2022</v>
          </cell>
          <cell r="I1479">
            <v>83</v>
          </cell>
          <cell r="J1479">
            <v>8</v>
          </cell>
          <cell r="K1479" t="str">
            <v>W</v>
          </cell>
        </row>
        <row r="1480">
          <cell r="A1480" t="str">
            <v>2022Brian10</v>
          </cell>
          <cell r="D1480" t="str">
            <v>Brian</v>
          </cell>
          <cell r="E1480" t="str">
            <v>Watty</v>
          </cell>
          <cell r="F1480">
            <v>2022</v>
          </cell>
          <cell r="I1480">
            <v>91</v>
          </cell>
          <cell r="J1480">
            <v>-6</v>
          </cell>
          <cell r="K1480" t="str">
            <v>L</v>
          </cell>
        </row>
        <row r="1481">
          <cell r="A1481" t="str">
            <v>2022Watty10</v>
          </cell>
          <cell r="D1481" t="str">
            <v>Watty</v>
          </cell>
          <cell r="E1481" t="str">
            <v>Brian</v>
          </cell>
          <cell r="F1481">
            <v>2022</v>
          </cell>
          <cell r="I1481">
            <v>97</v>
          </cell>
          <cell r="J1481">
            <v>6</v>
          </cell>
          <cell r="K1481" t="str">
            <v>W</v>
          </cell>
        </row>
        <row r="1482">
          <cell r="A1482" t="str">
            <v>2022Matt10</v>
          </cell>
          <cell r="D1482" t="str">
            <v>Matt</v>
          </cell>
          <cell r="E1482" t="str">
            <v>Mark</v>
          </cell>
          <cell r="F1482">
            <v>2022</v>
          </cell>
          <cell r="I1482">
            <v>73</v>
          </cell>
          <cell r="J1482">
            <v>-1</v>
          </cell>
          <cell r="K1482" t="str">
            <v>L</v>
          </cell>
        </row>
        <row r="1483">
          <cell r="A1483" t="str">
            <v>2022Mark10</v>
          </cell>
          <cell r="D1483" t="str">
            <v>Mark</v>
          </cell>
          <cell r="E1483" t="str">
            <v>Matt</v>
          </cell>
          <cell r="F1483">
            <v>2022</v>
          </cell>
          <cell r="I1483">
            <v>74</v>
          </cell>
          <cell r="J1483">
            <v>1</v>
          </cell>
          <cell r="K1483" t="str">
            <v>W</v>
          </cell>
        </row>
        <row r="1484">
          <cell r="A1484" t="str">
            <v>2022Brent10</v>
          </cell>
          <cell r="D1484" t="str">
            <v>Brent</v>
          </cell>
          <cell r="E1484" t="str">
            <v>Arnold</v>
          </cell>
          <cell r="F1484">
            <v>2022</v>
          </cell>
          <cell r="I1484">
            <v>115</v>
          </cell>
          <cell r="J1484">
            <v>23</v>
          </cell>
          <cell r="K1484" t="str">
            <v>W</v>
          </cell>
        </row>
        <row r="1485">
          <cell r="A1485" t="str">
            <v>2022Arnold10</v>
          </cell>
          <cell r="D1485" t="str">
            <v>Arnold</v>
          </cell>
          <cell r="E1485" t="str">
            <v>Brent</v>
          </cell>
          <cell r="F1485">
            <v>2022</v>
          </cell>
          <cell r="I1485">
            <v>92</v>
          </cell>
          <cell r="J1485">
            <v>-23</v>
          </cell>
          <cell r="K1485" t="str">
            <v>L</v>
          </cell>
        </row>
        <row r="1486">
          <cell r="A1486" t="str">
            <v>2022Arnold11</v>
          </cell>
          <cell r="D1486" t="str">
            <v>Arnold</v>
          </cell>
          <cell r="E1486" t="str">
            <v>Russell</v>
          </cell>
          <cell r="F1486">
            <v>2022</v>
          </cell>
          <cell r="I1486">
            <v>117</v>
          </cell>
          <cell r="J1486">
            <v>29</v>
          </cell>
          <cell r="K1486" t="str">
            <v>W</v>
          </cell>
        </row>
        <row r="1487">
          <cell r="A1487" t="str">
            <v>2022Russell11</v>
          </cell>
          <cell r="D1487" t="str">
            <v>Russell</v>
          </cell>
          <cell r="E1487" t="str">
            <v>Arnold</v>
          </cell>
          <cell r="F1487">
            <v>2022</v>
          </cell>
          <cell r="I1487">
            <v>88</v>
          </cell>
          <cell r="J1487">
            <v>-29</v>
          </cell>
          <cell r="K1487" t="str">
            <v>L</v>
          </cell>
        </row>
        <row r="1488">
          <cell r="A1488" t="str">
            <v>2022Charles11</v>
          </cell>
          <cell r="D1488" t="str">
            <v>Charles</v>
          </cell>
          <cell r="E1488" t="str">
            <v>David</v>
          </cell>
          <cell r="F1488">
            <v>2022</v>
          </cell>
          <cell r="I1488">
            <v>104</v>
          </cell>
          <cell r="J1488">
            <v>31</v>
          </cell>
          <cell r="K1488" t="str">
            <v>W</v>
          </cell>
        </row>
        <row r="1489">
          <cell r="A1489" t="str">
            <v>2022David11</v>
          </cell>
          <cell r="D1489" t="str">
            <v>David</v>
          </cell>
          <cell r="E1489" t="str">
            <v>Charles</v>
          </cell>
          <cell r="F1489">
            <v>2022</v>
          </cell>
          <cell r="I1489">
            <v>73</v>
          </cell>
          <cell r="J1489">
            <v>-31</v>
          </cell>
          <cell r="K1489" t="str">
            <v>L</v>
          </cell>
        </row>
        <row r="1490">
          <cell r="A1490" t="str">
            <v>2022Watty11</v>
          </cell>
          <cell r="D1490" t="str">
            <v>Watty</v>
          </cell>
          <cell r="E1490" t="str">
            <v>Emily</v>
          </cell>
          <cell r="F1490">
            <v>2022</v>
          </cell>
          <cell r="I1490">
            <v>102</v>
          </cell>
          <cell r="J1490">
            <v>24</v>
          </cell>
          <cell r="K1490" t="str">
            <v>W</v>
          </cell>
        </row>
        <row r="1491">
          <cell r="A1491" t="str">
            <v>2022Emily11</v>
          </cell>
          <cell r="D1491" t="str">
            <v>Emily</v>
          </cell>
          <cell r="E1491" t="str">
            <v>Watty</v>
          </cell>
          <cell r="F1491">
            <v>2022</v>
          </cell>
          <cell r="I1491">
            <v>78</v>
          </cell>
          <cell r="J1491">
            <v>-24</v>
          </cell>
          <cell r="K1491" t="str">
            <v>L</v>
          </cell>
        </row>
        <row r="1492">
          <cell r="A1492" t="str">
            <v>2022Mark11</v>
          </cell>
          <cell r="D1492" t="str">
            <v>Mark</v>
          </cell>
          <cell r="E1492" t="str">
            <v>Brian</v>
          </cell>
          <cell r="F1492">
            <v>2022</v>
          </cell>
          <cell r="I1492">
            <v>102</v>
          </cell>
          <cell r="J1492">
            <v>23</v>
          </cell>
          <cell r="K1492" t="str">
            <v>W</v>
          </cell>
        </row>
        <row r="1493">
          <cell r="A1493" t="str">
            <v>2022Brian11</v>
          </cell>
          <cell r="D1493" t="str">
            <v>Brian</v>
          </cell>
          <cell r="E1493" t="str">
            <v>Mark</v>
          </cell>
          <cell r="F1493">
            <v>2022</v>
          </cell>
          <cell r="I1493">
            <v>79</v>
          </cell>
          <cell r="J1493">
            <v>-23</v>
          </cell>
          <cell r="K1493" t="str">
            <v>L</v>
          </cell>
        </row>
        <row r="1494">
          <cell r="A1494" t="str">
            <v>2022Michael11</v>
          </cell>
          <cell r="D1494" t="str">
            <v>Michael</v>
          </cell>
          <cell r="E1494" t="str">
            <v>Matt</v>
          </cell>
          <cell r="F1494">
            <v>2022</v>
          </cell>
          <cell r="I1494">
            <v>71</v>
          </cell>
          <cell r="J1494">
            <v>-13</v>
          </cell>
          <cell r="K1494" t="str">
            <v>L</v>
          </cell>
        </row>
        <row r="1495">
          <cell r="A1495" t="str">
            <v>2022Matt11</v>
          </cell>
          <cell r="D1495" t="str">
            <v>Matt</v>
          </cell>
          <cell r="E1495" t="str">
            <v>Michael</v>
          </cell>
          <cell r="F1495">
            <v>2022</v>
          </cell>
          <cell r="I1495">
            <v>84</v>
          </cell>
          <cell r="J1495">
            <v>13</v>
          </cell>
          <cell r="K1495" t="str">
            <v>W</v>
          </cell>
        </row>
        <row r="1496">
          <cell r="A1496" t="str">
            <v>2022BR11</v>
          </cell>
          <cell r="D1496" t="str">
            <v>BR</v>
          </cell>
          <cell r="E1496" t="str">
            <v>Brent</v>
          </cell>
          <cell r="F1496">
            <v>2022</v>
          </cell>
          <cell r="I1496">
            <v>73</v>
          </cell>
          <cell r="J1496">
            <v>-8</v>
          </cell>
          <cell r="K1496" t="str">
            <v>L</v>
          </cell>
        </row>
        <row r="1497">
          <cell r="A1497" t="str">
            <v>2022Brent11</v>
          </cell>
          <cell r="D1497" t="str">
            <v>Brent</v>
          </cell>
          <cell r="E1497" t="str">
            <v>BR</v>
          </cell>
          <cell r="F1497">
            <v>2022</v>
          </cell>
          <cell r="I1497">
            <v>81</v>
          </cell>
          <cell r="J1497">
            <v>8</v>
          </cell>
          <cell r="K1497" t="str">
            <v>W</v>
          </cell>
        </row>
        <row r="1498">
          <cell r="A1498" t="str">
            <v>2022Russell12</v>
          </cell>
          <cell r="D1498" t="str">
            <v>Russell</v>
          </cell>
          <cell r="E1498" t="str">
            <v>Charles</v>
          </cell>
          <cell r="F1498">
            <v>2022</v>
          </cell>
          <cell r="I1498">
            <v>88</v>
          </cell>
          <cell r="J1498">
            <v>-4</v>
          </cell>
          <cell r="K1498" t="str">
            <v>L</v>
          </cell>
        </row>
        <row r="1499">
          <cell r="A1499" t="str">
            <v>2022Charles12</v>
          </cell>
          <cell r="D1499" t="str">
            <v>Charles</v>
          </cell>
          <cell r="E1499" t="str">
            <v>Russell</v>
          </cell>
          <cell r="F1499">
            <v>2022</v>
          </cell>
          <cell r="I1499">
            <v>92</v>
          </cell>
          <cell r="J1499">
            <v>4</v>
          </cell>
          <cell r="K1499" t="str">
            <v>W</v>
          </cell>
        </row>
        <row r="1500">
          <cell r="A1500" t="str">
            <v>2022David12</v>
          </cell>
          <cell r="D1500" t="str">
            <v>David</v>
          </cell>
          <cell r="E1500" t="str">
            <v>Arnold</v>
          </cell>
          <cell r="F1500">
            <v>2022</v>
          </cell>
          <cell r="I1500">
            <v>95</v>
          </cell>
          <cell r="J1500">
            <v>-1</v>
          </cell>
          <cell r="K1500" t="str">
            <v>L</v>
          </cell>
        </row>
        <row r="1501">
          <cell r="A1501" t="str">
            <v>2022Arnold12</v>
          </cell>
          <cell r="D1501" t="str">
            <v>Arnold</v>
          </cell>
          <cell r="E1501" t="str">
            <v>David</v>
          </cell>
          <cell r="F1501">
            <v>2022</v>
          </cell>
          <cell r="I1501">
            <v>96</v>
          </cell>
          <cell r="J1501">
            <v>1</v>
          </cell>
          <cell r="K1501" t="str">
            <v>W</v>
          </cell>
        </row>
        <row r="1502">
          <cell r="A1502" t="str">
            <v>2022Emily12</v>
          </cell>
          <cell r="D1502" t="str">
            <v>Emily</v>
          </cell>
          <cell r="E1502" t="str">
            <v>Mark</v>
          </cell>
          <cell r="F1502">
            <v>2022</v>
          </cell>
          <cell r="I1502">
            <v>105</v>
          </cell>
          <cell r="J1502">
            <v>9</v>
          </cell>
          <cell r="K1502" t="str">
            <v>W</v>
          </cell>
        </row>
        <row r="1503">
          <cell r="A1503" t="str">
            <v>2022Mark12</v>
          </cell>
          <cell r="D1503" t="str">
            <v>Mark</v>
          </cell>
          <cell r="E1503" t="str">
            <v>Emily</v>
          </cell>
          <cell r="F1503">
            <v>2022</v>
          </cell>
          <cell r="I1503">
            <v>96</v>
          </cell>
          <cell r="J1503">
            <v>-9</v>
          </cell>
          <cell r="K1503" t="str">
            <v>L</v>
          </cell>
        </row>
        <row r="1504">
          <cell r="A1504" t="str">
            <v>2022Brian12</v>
          </cell>
          <cell r="D1504" t="str">
            <v>Brian</v>
          </cell>
          <cell r="E1504" t="str">
            <v>Michael</v>
          </cell>
          <cell r="F1504">
            <v>2022</v>
          </cell>
          <cell r="I1504">
            <v>102</v>
          </cell>
          <cell r="J1504">
            <v>9</v>
          </cell>
          <cell r="K1504" t="str">
            <v>W</v>
          </cell>
        </row>
        <row r="1505">
          <cell r="A1505" t="str">
            <v>2022Michael12</v>
          </cell>
          <cell r="D1505" t="str">
            <v>Michael</v>
          </cell>
          <cell r="E1505" t="str">
            <v>Brian</v>
          </cell>
          <cell r="F1505">
            <v>2022</v>
          </cell>
          <cell r="I1505">
            <v>93</v>
          </cell>
          <cell r="J1505">
            <v>-9</v>
          </cell>
          <cell r="K1505" t="str">
            <v>L</v>
          </cell>
        </row>
        <row r="1506">
          <cell r="A1506" t="str">
            <v>2022Matt12</v>
          </cell>
          <cell r="D1506" t="str">
            <v>Matt</v>
          </cell>
          <cell r="E1506" t="str">
            <v>BR</v>
          </cell>
          <cell r="F1506">
            <v>2022</v>
          </cell>
          <cell r="I1506">
            <v>60</v>
          </cell>
          <cell r="J1506">
            <v>-21</v>
          </cell>
          <cell r="K1506" t="str">
            <v>L</v>
          </cell>
        </row>
        <row r="1507">
          <cell r="A1507" t="str">
            <v>2022BR12</v>
          </cell>
          <cell r="D1507" t="str">
            <v>BR</v>
          </cell>
          <cell r="E1507" t="str">
            <v>Matt</v>
          </cell>
          <cell r="F1507">
            <v>2022</v>
          </cell>
          <cell r="I1507">
            <v>81</v>
          </cell>
          <cell r="J1507">
            <v>21</v>
          </cell>
          <cell r="K1507" t="str">
            <v>W</v>
          </cell>
        </row>
        <row r="1508">
          <cell r="A1508" t="str">
            <v>2022Brent12</v>
          </cell>
          <cell r="D1508" t="str">
            <v>Brent</v>
          </cell>
          <cell r="E1508" t="str">
            <v>Watty</v>
          </cell>
          <cell r="F1508">
            <v>2022</v>
          </cell>
          <cell r="I1508">
            <v>93</v>
          </cell>
          <cell r="J1508">
            <v>27</v>
          </cell>
          <cell r="K1508" t="str">
            <v>W</v>
          </cell>
        </row>
        <row r="1509">
          <cell r="A1509" t="str">
            <v>2022Watty12</v>
          </cell>
          <cell r="D1509" t="str">
            <v>Watty</v>
          </cell>
          <cell r="E1509" t="str">
            <v>Brent</v>
          </cell>
          <cell r="F1509">
            <v>2022</v>
          </cell>
          <cell r="I1509">
            <v>66</v>
          </cell>
          <cell r="J1509">
            <v>-27</v>
          </cell>
          <cell r="K1509" t="str">
            <v>L</v>
          </cell>
        </row>
        <row r="1510">
          <cell r="A1510" t="str">
            <v>2022Brian13</v>
          </cell>
          <cell r="D1510" t="str">
            <v>Brian</v>
          </cell>
          <cell r="E1510" t="str">
            <v>David</v>
          </cell>
          <cell r="F1510">
            <v>2022</v>
          </cell>
          <cell r="I1510">
            <v>130</v>
          </cell>
          <cell r="J1510">
            <v>44</v>
          </cell>
          <cell r="K1510" t="str">
            <v>W</v>
          </cell>
        </row>
        <row r="1511">
          <cell r="A1511" t="str">
            <v>2022David13</v>
          </cell>
          <cell r="D1511" t="str">
            <v>David</v>
          </cell>
          <cell r="E1511" t="str">
            <v>Brian</v>
          </cell>
          <cell r="F1511">
            <v>2022</v>
          </cell>
          <cell r="I1511">
            <v>86</v>
          </cell>
          <cell r="J1511">
            <v>-44</v>
          </cell>
          <cell r="K1511" t="str">
            <v>L</v>
          </cell>
        </row>
        <row r="1512">
          <cell r="A1512" t="str">
            <v>2022Emily13</v>
          </cell>
          <cell r="D1512" t="str">
            <v>Emily</v>
          </cell>
          <cell r="E1512" t="str">
            <v>Russell</v>
          </cell>
          <cell r="F1512">
            <v>2022</v>
          </cell>
          <cell r="I1512">
            <v>60</v>
          </cell>
          <cell r="J1512">
            <v>-28</v>
          </cell>
          <cell r="K1512" t="str">
            <v>L</v>
          </cell>
        </row>
        <row r="1513">
          <cell r="A1513" t="str">
            <v>2022Russell13</v>
          </cell>
          <cell r="D1513" t="str">
            <v>Russell</v>
          </cell>
          <cell r="E1513" t="str">
            <v>Emily</v>
          </cell>
          <cell r="F1513">
            <v>2022</v>
          </cell>
          <cell r="I1513">
            <v>88</v>
          </cell>
          <cell r="J1513">
            <v>28</v>
          </cell>
          <cell r="K1513" t="str">
            <v>W</v>
          </cell>
        </row>
        <row r="1514">
          <cell r="A1514" t="str">
            <v>2022Matt13</v>
          </cell>
          <cell r="D1514" t="str">
            <v>Matt</v>
          </cell>
          <cell r="E1514" t="str">
            <v>Brent</v>
          </cell>
          <cell r="F1514">
            <v>2022</v>
          </cell>
          <cell r="I1514">
            <v>69</v>
          </cell>
          <cell r="J1514">
            <v>-28</v>
          </cell>
          <cell r="K1514" t="str">
            <v>L</v>
          </cell>
        </row>
        <row r="1515">
          <cell r="A1515" t="str">
            <v>2022Brent13</v>
          </cell>
          <cell r="D1515" t="str">
            <v>Brent</v>
          </cell>
          <cell r="E1515" t="str">
            <v>Matt</v>
          </cell>
          <cell r="F1515">
            <v>2022</v>
          </cell>
          <cell r="I1515">
            <v>97</v>
          </cell>
          <cell r="J1515">
            <v>28</v>
          </cell>
          <cell r="K1515" t="str">
            <v>W</v>
          </cell>
        </row>
        <row r="1516">
          <cell r="A1516" t="str">
            <v>2022Charles13</v>
          </cell>
          <cell r="D1516" t="str">
            <v>Charles</v>
          </cell>
          <cell r="E1516" t="str">
            <v>BR</v>
          </cell>
          <cell r="F1516">
            <v>2022</v>
          </cell>
          <cell r="I1516">
            <v>117</v>
          </cell>
          <cell r="J1516">
            <v>23</v>
          </cell>
          <cell r="K1516" t="str">
            <v>W</v>
          </cell>
        </row>
        <row r="1517">
          <cell r="A1517" t="str">
            <v>2022BR13</v>
          </cell>
          <cell r="D1517" t="str">
            <v>BR</v>
          </cell>
          <cell r="E1517" t="str">
            <v>Charles</v>
          </cell>
          <cell r="F1517">
            <v>2022</v>
          </cell>
          <cell r="I1517">
            <v>94</v>
          </cell>
          <cell r="J1517">
            <v>-23</v>
          </cell>
          <cell r="K1517" t="str">
            <v>L</v>
          </cell>
        </row>
        <row r="1518">
          <cell r="A1518" t="str">
            <v>2022Michael13</v>
          </cell>
          <cell r="D1518" t="str">
            <v>Michael</v>
          </cell>
          <cell r="E1518" t="str">
            <v>Watty</v>
          </cell>
          <cell r="F1518">
            <v>2022</v>
          </cell>
          <cell r="I1518">
            <v>70</v>
          </cell>
          <cell r="J1518">
            <v>1</v>
          </cell>
          <cell r="K1518" t="str">
            <v>W</v>
          </cell>
        </row>
        <row r="1519">
          <cell r="A1519" t="str">
            <v>2022Watty13</v>
          </cell>
          <cell r="D1519" t="str">
            <v>Watty</v>
          </cell>
          <cell r="E1519" t="str">
            <v>Michael</v>
          </cell>
          <cell r="F1519">
            <v>2022</v>
          </cell>
          <cell r="I1519">
            <v>69</v>
          </cell>
          <cell r="J1519">
            <v>-1</v>
          </cell>
          <cell r="K1519" t="str">
            <v>L</v>
          </cell>
        </row>
        <row r="1520">
          <cell r="A1520" t="str">
            <v>2022Arnold13</v>
          </cell>
          <cell r="D1520" t="str">
            <v>Arnold</v>
          </cell>
          <cell r="E1520" t="str">
            <v>Mark</v>
          </cell>
          <cell r="F1520">
            <v>2022</v>
          </cell>
          <cell r="I1520">
            <v>64</v>
          </cell>
          <cell r="J1520">
            <v>-25</v>
          </cell>
          <cell r="K1520" t="str">
            <v>L</v>
          </cell>
        </row>
        <row r="1521">
          <cell r="A1521" t="str">
            <v>2022Mark13</v>
          </cell>
          <cell r="D1521" t="str">
            <v>Mark</v>
          </cell>
          <cell r="E1521" t="str">
            <v>Arnold</v>
          </cell>
          <cell r="F1521">
            <v>2022</v>
          </cell>
          <cell r="I1521">
            <v>89</v>
          </cell>
          <cell r="J1521">
            <v>25</v>
          </cell>
          <cell r="K1521" t="str">
            <v>W</v>
          </cell>
        </row>
        <row r="1522">
          <cell r="A1522" t="str">
            <v>2022Russell14</v>
          </cell>
          <cell r="D1522" t="str">
            <v>Russell</v>
          </cell>
          <cell r="E1522" t="str">
            <v>David</v>
          </cell>
          <cell r="F1522">
            <v>2022</v>
          </cell>
          <cell r="I1522">
            <v>102</v>
          </cell>
          <cell r="J1522">
            <v>56</v>
          </cell>
          <cell r="K1522" t="str">
            <v>W</v>
          </cell>
        </row>
        <row r="1523">
          <cell r="A1523" t="str">
            <v>2022David14</v>
          </cell>
          <cell r="D1523" t="str">
            <v>David</v>
          </cell>
          <cell r="E1523" t="str">
            <v>Russell</v>
          </cell>
          <cell r="F1523">
            <v>2022</v>
          </cell>
          <cell r="I1523">
            <v>46</v>
          </cell>
          <cell r="J1523">
            <v>-56</v>
          </cell>
          <cell r="K1523" t="str">
            <v>L</v>
          </cell>
        </row>
        <row r="1524">
          <cell r="A1524" t="str">
            <v>2022Matt14</v>
          </cell>
          <cell r="D1524" t="str">
            <v>Matt</v>
          </cell>
          <cell r="E1524" t="str">
            <v>Brian</v>
          </cell>
          <cell r="F1524">
            <v>2022</v>
          </cell>
          <cell r="I1524">
            <v>72</v>
          </cell>
          <cell r="J1524">
            <v>-23</v>
          </cell>
          <cell r="K1524" t="str">
            <v>L</v>
          </cell>
        </row>
        <row r="1525">
          <cell r="A1525" t="str">
            <v>2022Brian14</v>
          </cell>
          <cell r="D1525" t="str">
            <v>Brian</v>
          </cell>
          <cell r="E1525" t="str">
            <v>Matt</v>
          </cell>
          <cell r="F1525">
            <v>2022</v>
          </cell>
          <cell r="I1525">
            <v>95</v>
          </cell>
          <cell r="J1525">
            <v>23</v>
          </cell>
          <cell r="K1525" t="str">
            <v>W</v>
          </cell>
        </row>
        <row r="1526">
          <cell r="A1526" t="str">
            <v>2022Emily14</v>
          </cell>
          <cell r="D1526" t="str">
            <v>Emily</v>
          </cell>
          <cell r="E1526" t="str">
            <v>Brent</v>
          </cell>
          <cell r="F1526">
            <v>2022</v>
          </cell>
          <cell r="I1526">
            <v>76</v>
          </cell>
          <cell r="J1526">
            <v>2</v>
          </cell>
          <cell r="K1526" t="str">
            <v>W</v>
          </cell>
        </row>
        <row r="1527">
          <cell r="A1527" t="str">
            <v>2022Brent14</v>
          </cell>
          <cell r="D1527" t="str">
            <v>Brent</v>
          </cell>
          <cell r="E1527" t="str">
            <v>Emily</v>
          </cell>
          <cell r="F1527">
            <v>2022</v>
          </cell>
          <cell r="I1527">
            <v>74</v>
          </cell>
          <cell r="J1527">
            <v>-2</v>
          </cell>
          <cell r="K1527" t="str">
            <v>L</v>
          </cell>
        </row>
        <row r="1528">
          <cell r="A1528" t="str">
            <v>2022Charles14</v>
          </cell>
          <cell r="D1528" t="str">
            <v>Charles</v>
          </cell>
          <cell r="E1528" t="str">
            <v>Watty</v>
          </cell>
          <cell r="F1528">
            <v>2022</v>
          </cell>
          <cell r="I1528">
            <v>95</v>
          </cell>
          <cell r="J1528">
            <v>-1</v>
          </cell>
          <cell r="K1528" t="str">
            <v>L</v>
          </cell>
        </row>
        <row r="1529">
          <cell r="A1529" t="str">
            <v>2022Watty14</v>
          </cell>
          <cell r="D1529" t="str">
            <v>Watty</v>
          </cell>
          <cell r="E1529" t="str">
            <v>Charles</v>
          </cell>
          <cell r="F1529">
            <v>2022</v>
          </cell>
          <cell r="I1529">
            <v>96</v>
          </cell>
          <cell r="J1529">
            <v>1</v>
          </cell>
          <cell r="K1529" t="str">
            <v>W</v>
          </cell>
        </row>
        <row r="1530">
          <cell r="A1530" t="str">
            <v>2022Arnold14</v>
          </cell>
          <cell r="D1530" t="str">
            <v>Arnold</v>
          </cell>
          <cell r="E1530" t="str">
            <v>Michael</v>
          </cell>
          <cell r="F1530">
            <v>2022</v>
          </cell>
          <cell r="I1530">
            <v>111</v>
          </cell>
          <cell r="J1530">
            <v>-15</v>
          </cell>
          <cell r="K1530" t="str">
            <v>L</v>
          </cell>
        </row>
        <row r="1531">
          <cell r="A1531" t="str">
            <v>2022Michael14</v>
          </cell>
          <cell r="D1531" t="str">
            <v>Michael</v>
          </cell>
          <cell r="E1531" t="str">
            <v>Arnold</v>
          </cell>
          <cell r="F1531">
            <v>2022</v>
          </cell>
          <cell r="I1531">
            <v>126</v>
          </cell>
          <cell r="J1531">
            <v>15</v>
          </cell>
          <cell r="K1531" t="str">
            <v>W</v>
          </cell>
        </row>
        <row r="1532">
          <cell r="A1532" t="str">
            <v>2022Mark14</v>
          </cell>
          <cell r="D1532" t="str">
            <v>Mark</v>
          </cell>
          <cell r="E1532" t="str">
            <v>BR</v>
          </cell>
          <cell r="F1532">
            <v>2022</v>
          </cell>
          <cell r="I1532">
            <v>62</v>
          </cell>
          <cell r="J1532">
            <v>-14</v>
          </cell>
          <cell r="K1532" t="str">
            <v>L</v>
          </cell>
        </row>
        <row r="1533">
          <cell r="A1533" t="str">
            <v>2022BR14</v>
          </cell>
          <cell r="D1533" t="str">
            <v>BR</v>
          </cell>
          <cell r="E1533" t="str">
            <v>Mark</v>
          </cell>
          <cell r="F1533">
            <v>2022</v>
          </cell>
          <cell r="I1533">
            <v>76</v>
          </cell>
          <cell r="J1533">
            <v>14</v>
          </cell>
          <cell r="K1533" t="str">
            <v>W</v>
          </cell>
        </row>
        <row r="1534">
          <cell r="A1534" t="str">
            <v>2023Brian1</v>
          </cell>
          <cell r="D1534" t="str">
            <v>Brian</v>
          </cell>
          <cell r="E1534" t="str">
            <v>Michael</v>
          </cell>
          <cell r="F1534">
            <v>2023</v>
          </cell>
          <cell r="I1534">
            <v>53</v>
          </cell>
          <cell r="J1534">
            <v>-51</v>
          </cell>
          <cell r="K1534" t="str">
            <v>L</v>
          </cell>
        </row>
        <row r="1535">
          <cell r="A1535" t="str">
            <v>2023Michael1</v>
          </cell>
          <cell r="D1535" t="str">
            <v>Michael</v>
          </cell>
          <cell r="E1535" t="str">
            <v>Brian</v>
          </cell>
          <cell r="F1535">
            <v>2023</v>
          </cell>
          <cell r="I1535">
            <v>104</v>
          </cell>
          <cell r="J1535">
            <v>51</v>
          </cell>
          <cell r="K1535" t="str">
            <v>W</v>
          </cell>
        </row>
        <row r="1536">
          <cell r="A1536" t="str">
            <v>2023Brent1</v>
          </cell>
          <cell r="D1536" t="str">
            <v>Brent</v>
          </cell>
          <cell r="E1536" t="str">
            <v>Mark</v>
          </cell>
          <cell r="F1536">
            <v>2023</v>
          </cell>
          <cell r="I1536">
            <v>106</v>
          </cell>
          <cell r="J1536">
            <v>39</v>
          </cell>
          <cell r="K1536" t="str">
            <v>W</v>
          </cell>
        </row>
        <row r="1537">
          <cell r="A1537" t="str">
            <v>2023Mark1</v>
          </cell>
          <cell r="D1537" t="str">
            <v>Mark</v>
          </cell>
          <cell r="E1537" t="str">
            <v>Brent</v>
          </cell>
          <cell r="F1537">
            <v>2023</v>
          </cell>
          <cell r="I1537">
            <v>67</v>
          </cell>
          <cell r="J1537">
            <v>-39</v>
          </cell>
          <cell r="K1537" t="str">
            <v>L</v>
          </cell>
        </row>
        <row r="1538">
          <cell r="A1538" t="str">
            <v>2023Matt1</v>
          </cell>
          <cell r="D1538" t="str">
            <v>Matt</v>
          </cell>
          <cell r="E1538" t="str">
            <v>BR</v>
          </cell>
          <cell r="F1538">
            <v>2023</v>
          </cell>
          <cell r="I1538">
            <v>82</v>
          </cell>
          <cell r="J1538">
            <v>8</v>
          </cell>
          <cell r="K1538" t="str">
            <v>W</v>
          </cell>
        </row>
        <row r="1539">
          <cell r="A1539" t="str">
            <v>2023BR1</v>
          </cell>
          <cell r="D1539" t="str">
            <v>BR</v>
          </cell>
          <cell r="E1539" t="str">
            <v>Matt</v>
          </cell>
          <cell r="F1539">
            <v>2023</v>
          </cell>
          <cell r="I1539">
            <v>74</v>
          </cell>
          <cell r="J1539">
            <v>-8</v>
          </cell>
          <cell r="K1539" t="str">
            <v>L</v>
          </cell>
        </row>
        <row r="1540">
          <cell r="A1540" t="str">
            <v>2023Russell1</v>
          </cell>
          <cell r="D1540" t="str">
            <v>Russell</v>
          </cell>
          <cell r="E1540" t="str">
            <v>Watty</v>
          </cell>
          <cell r="F1540">
            <v>2023</v>
          </cell>
          <cell r="I1540">
            <v>104</v>
          </cell>
          <cell r="J1540">
            <v>43</v>
          </cell>
          <cell r="K1540" t="str">
            <v>W</v>
          </cell>
        </row>
        <row r="1541">
          <cell r="A1541" t="str">
            <v>2023Watty1</v>
          </cell>
          <cell r="D1541" t="str">
            <v>Watty</v>
          </cell>
          <cell r="E1541" t="str">
            <v>Russell</v>
          </cell>
          <cell r="F1541">
            <v>2023</v>
          </cell>
          <cell r="I1541">
            <v>61</v>
          </cell>
          <cell r="J1541">
            <v>-43</v>
          </cell>
          <cell r="K1541" t="str">
            <v>L</v>
          </cell>
        </row>
        <row r="1542">
          <cell r="A1542" t="str">
            <v>2023David1</v>
          </cell>
          <cell r="D1542" t="str">
            <v>David</v>
          </cell>
          <cell r="E1542" t="str">
            <v>Charles</v>
          </cell>
          <cell r="F1542">
            <v>2023</v>
          </cell>
          <cell r="I1542">
            <v>63</v>
          </cell>
          <cell r="J1542">
            <v>-15</v>
          </cell>
          <cell r="K1542" t="str">
            <v>L</v>
          </cell>
        </row>
        <row r="1543">
          <cell r="A1543" t="str">
            <v>2023Charles1</v>
          </cell>
          <cell r="D1543" t="str">
            <v>Charles</v>
          </cell>
          <cell r="E1543" t="str">
            <v>David</v>
          </cell>
          <cell r="F1543">
            <v>2023</v>
          </cell>
          <cell r="I1543">
            <v>78</v>
          </cell>
          <cell r="J1543">
            <v>15</v>
          </cell>
          <cell r="K1543" t="str">
            <v>W</v>
          </cell>
        </row>
        <row r="1544">
          <cell r="A1544" t="str">
            <v>2023Emily1</v>
          </cell>
          <cell r="D1544" t="str">
            <v>Emily</v>
          </cell>
          <cell r="E1544" t="str">
            <v>Arnold</v>
          </cell>
          <cell r="F1544">
            <v>2023</v>
          </cell>
          <cell r="I1544">
            <v>63</v>
          </cell>
          <cell r="J1544">
            <v>-24</v>
          </cell>
          <cell r="K1544" t="str">
            <v>L</v>
          </cell>
        </row>
        <row r="1545">
          <cell r="A1545" t="str">
            <v>2023Arnold1</v>
          </cell>
          <cell r="D1545" t="str">
            <v>Arnold</v>
          </cell>
          <cell r="E1545" t="str">
            <v>Emily</v>
          </cell>
          <cell r="F1545">
            <v>2023</v>
          </cell>
          <cell r="I1545">
            <v>87</v>
          </cell>
          <cell r="J1545">
            <v>24</v>
          </cell>
          <cell r="K1545" t="str">
            <v>W</v>
          </cell>
        </row>
        <row r="1546">
          <cell r="A1546" t="str">
            <v>2023Michael2</v>
          </cell>
          <cell r="D1546" t="str">
            <v>Michael</v>
          </cell>
          <cell r="E1546" t="str">
            <v>BR</v>
          </cell>
          <cell r="F1546">
            <v>2023</v>
          </cell>
          <cell r="I1546">
            <v>97</v>
          </cell>
          <cell r="J1546">
            <v>-30</v>
          </cell>
          <cell r="K1546" t="str">
            <v>L</v>
          </cell>
        </row>
        <row r="1547">
          <cell r="A1547" t="str">
            <v>2023BR2</v>
          </cell>
          <cell r="D1547" t="str">
            <v>BR</v>
          </cell>
          <cell r="E1547" t="str">
            <v>Michael</v>
          </cell>
          <cell r="F1547">
            <v>2023</v>
          </cell>
          <cell r="I1547">
            <v>127</v>
          </cell>
          <cell r="J1547">
            <v>30</v>
          </cell>
          <cell r="K1547" t="str">
            <v>W</v>
          </cell>
        </row>
        <row r="1548">
          <cell r="A1548" t="str">
            <v>2023Russell2</v>
          </cell>
          <cell r="D1548" t="str">
            <v>Russell</v>
          </cell>
          <cell r="E1548" t="str">
            <v>David</v>
          </cell>
          <cell r="F1548">
            <v>2023</v>
          </cell>
          <cell r="I1548">
            <v>74</v>
          </cell>
          <cell r="J1548">
            <v>-11</v>
          </cell>
          <cell r="K1548" t="str">
            <v>L</v>
          </cell>
        </row>
        <row r="1549">
          <cell r="A1549" t="str">
            <v>2023David2</v>
          </cell>
          <cell r="D1549" t="str">
            <v>David</v>
          </cell>
          <cell r="E1549" t="str">
            <v>Russell</v>
          </cell>
          <cell r="F1549">
            <v>2023</v>
          </cell>
          <cell r="I1549">
            <v>85</v>
          </cell>
          <cell r="J1549">
            <v>11</v>
          </cell>
          <cell r="K1549" t="str">
            <v>W</v>
          </cell>
        </row>
        <row r="1550">
          <cell r="A1550" t="str">
            <v>2023Emily2</v>
          </cell>
          <cell r="D1550" t="str">
            <v>Emily</v>
          </cell>
          <cell r="E1550" t="str">
            <v>Brian</v>
          </cell>
          <cell r="F1550">
            <v>2023</v>
          </cell>
          <cell r="I1550">
            <v>76</v>
          </cell>
          <cell r="J1550">
            <v>-18</v>
          </cell>
          <cell r="K1550" t="str">
            <v>L</v>
          </cell>
        </row>
        <row r="1551">
          <cell r="A1551" t="str">
            <v>2023Brian2</v>
          </cell>
          <cell r="D1551" t="str">
            <v>Brian</v>
          </cell>
          <cell r="E1551" t="str">
            <v>Emily</v>
          </cell>
          <cell r="F1551">
            <v>2023</v>
          </cell>
          <cell r="I1551">
            <v>94</v>
          </cell>
          <cell r="J1551">
            <v>18</v>
          </cell>
          <cell r="K1551" t="str">
            <v>W</v>
          </cell>
        </row>
        <row r="1552">
          <cell r="A1552" t="str">
            <v>2023Matt2</v>
          </cell>
          <cell r="D1552" t="str">
            <v>Matt</v>
          </cell>
          <cell r="E1552" t="str">
            <v>Brent</v>
          </cell>
          <cell r="F1552">
            <v>2023</v>
          </cell>
          <cell r="I1552">
            <v>86</v>
          </cell>
          <cell r="J1552">
            <v>-1</v>
          </cell>
          <cell r="K1552" t="str">
            <v>L</v>
          </cell>
        </row>
        <row r="1553">
          <cell r="A1553" t="str">
            <v>2023Brent2</v>
          </cell>
          <cell r="D1553" t="str">
            <v>Brent</v>
          </cell>
          <cell r="E1553" t="str">
            <v>Matt</v>
          </cell>
          <cell r="F1553">
            <v>2023</v>
          </cell>
          <cell r="I1553">
            <v>87</v>
          </cell>
          <cell r="J1553">
            <v>1</v>
          </cell>
          <cell r="K1553" t="str">
            <v>W</v>
          </cell>
        </row>
        <row r="1554">
          <cell r="A1554" t="str">
            <v>2023Watty2</v>
          </cell>
          <cell r="D1554" t="str">
            <v>Watty</v>
          </cell>
          <cell r="E1554" t="str">
            <v>Mark</v>
          </cell>
          <cell r="F1554">
            <v>2023</v>
          </cell>
          <cell r="I1554">
            <v>83</v>
          </cell>
          <cell r="J1554">
            <v>-8</v>
          </cell>
          <cell r="K1554" t="str">
            <v>L</v>
          </cell>
        </row>
        <row r="1555">
          <cell r="A1555" t="str">
            <v>2023Mark2</v>
          </cell>
          <cell r="D1555" t="str">
            <v>Mark</v>
          </cell>
          <cell r="E1555" t="str">
            <v>Watty</v>
          </cell>
          <cell r="F1555">
            <v>2023</v>
          </cell>
          <cell r="I1555">
            <v>91</v>
          </cell>
          <cell r="J1555">
            <v>8</v>
          </cell>
          <cell r="K1555" t="str">
            <v>W</v>
          </cell>
        </row>
        <row r="1556">
          <cell r="A1556" t="str">
            <v>2023Charles2</v>
          </cell>
          <cell r="D1556" t="str">
            <v>Charles</v>
          </cell>
          <cell r="E1556" t="str">
            <v>Arnold</v>
          </cell>
          <cell r="F1556">
            <v>2023</v>
          </cell>
          <cell r="I1556">
            <v>88</v>
          </cell>
          <cell r="J1556">
            <v>5</v>
          </cell>
          <cell r="K1556" t="str">
            <v>W</v>
          </cell>
        </row>
        <row r="1557">
          <cell r="A1557" t="str">
            <v>2023Arnold2</v>
          </cell>
          <cell r="D1557" t="str">
            <v>Arnold</v>
          </cell>
          <cell r="E1557" t="str">
            <v>Charles</v>
          </cell>
          <cell r="F1557">
            <v>2023</v>
          </cell>
          <cell r="I1557">
            <v>83</v>
          </cell>
          <cell r="J1557">
            <v>-5</v>
          </cell>
          <cell r="K1557" t="str">
            <v>L</v>
          </cell>
        </row>
        <row r="1558">
          <cell r="A1558" t="str">
            <v>2023Michael3</v>
          </cell>
          <cell r="D1558" t="str">
            <v>Michael</v>
          </cell>
          <cell r="E1558" t="str">
            <v>Watty</v>
          </cell>
          <cell r="F1558">
            <v>2023</v>
          </cell>
          <cell r="I1558">
            <v>116</v>
          </cell>
          <cell r="J1558">
            <v>53</v>
          </cell>
          <cell r="K1558" t="str">
            <v>W</v>
          </cell>
        </row>
        <row r="1559">
          <cell r="A1559" t="str">
            <v>2023Watty3</v>
          </cell>
          <cell r="D1559" t="str">
            <v>Watty</v>
          </cell>
          <cell r="E1559" t="str">
            <v>Michael</v>
          </cell>
          <cell r="F1559">
            <v>2023</v>
          </cell>
          <cell r="I1559">
            <v>63</v>
          </cell>
          <cell r="J1559">
            <v>-53</v>
          </cell>
          <cell r="K1559" t="str">
            <v>L</v>
          </cell>
        </row>
        <row r="1560">
          <cell r="A1560" t="str">
            <v>2023Emily3</v>
          </cell>
          <cell r="D1560" t="str">
            <v>Emily</v>
          </cell>
          <cell r="E1560" t="str">
            <v>Russell</v>
          </cell>
          <cell r="F1560">
            <v>2023</v>
          </cell>
          <cell r="I1560">
            <v>88</v>
          </cell>
          <cell r="J1560">
            <v>13</v>
          </cell>
          <cell r="K1560" t="str">
            <v>W</v>
          </cell>
        </row>
        <row r="1561">
          <cell r="A1561" t="str">
            <v>2023Russell3</v>
          </cell>
          <cell r="D1561" t="str">
            <v>Russell</v>
          </cell>
          <cell r="E1561" t="str">
            <v>Emily</v>
          </cell>
          <cell r="F1561">
            <v>2023</v>
          </cell>
          <cell r="I1561">
            <v>75</v>
          </cell>
          <cell r="J1561">
            <v>-13</v>
          </cell>
          <cell r="K1561" t="str">
            <v>L</v>
          </cell>
        </row>
        <row r="1562">
          <cell r="A1562" t="str">
            <v>2023David3</v>
          </cell>
          <cell r="D1562" t="str">
            <v>David</v>
          </cell>
          <cell r="E1562" t="str">
            <v>Matt</v>
          </cell>
          <cell r="F1562">
            <v>2023</v>
          </cell>
          <cell r="I1562">
            <v>64</v>
          </cell>
          <cell r="J1562">
            <v>-11</v>
          </cell>
          <cell r="K1562" t="str">
            <v>L</v>
          </cell>
        </row>
        <row r="1563">
          <cell r="A1563" t="str">
            <v>2023Matt3</v>
          </cell>
          <cell r="D1563" t="str">
            <v>Matt</v>
          </cell>
          <cell r="E1563" t="str">
            <v>David</v>
          </cell>
          <cell r="F1563">
            <v>2023</v>
          </cell>
          <cell r="I1563">
            <v>75</v>
          </cell>
          <cell r="J1563">
            <v>11</v>
          </cell>
          <cell r="K1563" t="str">
            <v>W</v>
          </cell>
        </row>
        <row r="1564">
          <cell r="A1564" t="str">
            <v>2023Brent3</v>
          </cell>
          <cell r="D1564" t="str">
            <v>Brent</v>
          </cell>
          <cell r="E1564" t="str">
            <v>Brian</v>
          </cell>
          <cell r="F1564">
            <v>2023</v>
          </cell>
          <cell r="I1564">
            <v>124</v>
          </cell>
          <cell r="J1564">
            <v>8</v>
          </cell>
          <cell r="K1564" t="str">
            <v>W</v>
          </cell>
        </row>
        <row r="1565">
          <cell r="A1565" t="str">
            <v>2023Brian3</v>
          </cell>
          <cell r="D1565" t="str">
            <v>Brian</v>
          </cell>
          <cell r="E1565" t="str">
            <v>Brent</v>
          </cell>
          <cell r="F1565">
            <v>2023</v>
          </cell>
          <cell r="I1565">
            <v>116</v>
          </cell>
          <cell r="J1565">
            <v>-8</v>
          </cell>
          <cell r="K1565" t="str">
            <v>L</v>
          </cell>
        </row>
        <row r="1566">
          <cell r="A1566" t="str">
            <v>2023Mark3</v>
          </cell>
          <cell r="D1566" t="str">
            <v>Mark</v>
          </cell>
          <cell r="E1566" t="str">
            <v>Arnold</v>
          </cell>
          <cell r="F1566">
            <v>2023</v>
          </cell>
          <cell r="I1566">
            <v>122</v>
          </cell>
          <cell r="J1566">
            <v>21</v>
          </cell>
          <cell r="K1566" t="str">
            <v>W</v>
          </cell>
        </row>
        <row r="1567">
          <cell r="A1567" t="str">
            <v>2023Arnold3</v>
          </cell>
          <cell r="D1567" t="str">
            <v>Arnold</v>
          </cell>
          <cell r="E1567" t="str">
            <v>Mark</v>
          </cell>
          <cell r="F1567">
            <v>2023</v>
          </cell>
          <cell r="I1567">
            <v>101</v>
          </cell>
          <cell r="J1567">
            <v>-21</v>
          </cell>
          <cell r="K1567" t="str">
            <v>L</v>
          </cell>
        </row>
        <row r="1568">
          <cell r="A1568" t="str">
            <v>2023BR3</v>
          </cell>
          <cell r="D1568" t="str">
            <v>BR</v>
          </cell>
          <cell r="E1568" t="str">
            <v>Charles</v>
          </cell>
          <cell r="F1568">
            <v>2023</v>
          </cell>
          <cell r="I1568">
            <v>78</v>
          </cell>
          <cell r="J1568">
            <v>9</v>
          </cell>
          <cell r="K1568" t="str">
            <v>W</v>
          </cell>
        </row>
        <row r="1569">
          <cell r="A1569" t="str">
            <v>2023Charles3</v>
          </cell>
          <cell r="D1569" t="str">
            <v>Charles</v>
          </cell>
          <cell r="E1569" t="str">
            <v>BR</v>
          </cell>
          <cell r="F1569">
            <v>2023</v>
          </cell>
          <cell r="I1569">
            <v>69</v>
          </cell>
          <cell r="J1569">
            <v>-9</v>
          </cell>
          <cell r="K1569" t="str">
            <v>L</v>
          </cell>
        </row>
        <row r="1570">
          <cell r="A1570" t="str">
            <v>2023Arnold4</v>
          </cell>
          <cell r="D1570" t="str">
            <v>Arnold</v>
          </cell>
          <cell r="E1570" t="str">
            <v>Michael</v>
          </cell>
          <cell r="F1570">
            <v>2023</v>
          </cell>
          <cell r="I1570">
            <v>92</v>
          </cell>
          <cell r="J1570">
            <v>-36</v>
          </cell>
          <cell r="K1570" t="str">
            <v>L</v>
          </cell>
        </row>
        <row r="1571">
          <cell r="A1571" t="str">
            <v>2023Michael4</v>
          </cell>
          <cell r="D1571" t="str">
            <v>Michael</v>
          </cell>
          <cell r="E1571" t="str">
            <v>Arnold</v>
          </cell>
          <cell r="F1571">
            <v>2023</v>
          </cell>
          <cell r="I1571">
            <v>128</v>
          </cell>
          <cell r="J1571">
            <v>36</v>
          </cell>
          <cell r="K1571" t="str">
            <v>W</v>
          </cell>
        </row>
        <row r="1572">
          <cell r="A1572" t="str">
            <v>2023Russell4</v>
          </cell>
          <cell r="D1572" t="str">
            <v>Russell</v>
          </cell>
          <cell r="E1572" t="str">
            <v>Brian</v>
          </cell>
          <cell r="F1572">
            <v>2023</v>
          </cell>
          <cell r="I1572">
            <v>142</v>
          </cell>
          <cell r="J1572">
            <v>88</v>
          </cell>
          <cell r="K1572" t="str">
            <v>W</v>
          </cell>
        </row>
        <row r="1573">
          <cell r="A1573" t="str">
            <v>2023Brian4</v>
          </cell>
          <cell r="D1573" t="str">
            <v>Brian</v>
          </cell>
          <cell r="E1573" t="str">
            <v>Russell</v>
          </cell>
          <cell r="F1573">
            <v>2023</v>
          </cell>
          <cell r="I1573">
            <v>54</v>
          </cell>
          <cell r="J1573">
            <v>-88</v>
          </cell>
          <cell r="K1573" t="str">
            <v>L</v>
          </cell>
        </row>
        <row r="1574">
          <cell r="A1574" t="str">
            <v>2023David4</v>
          </cell>
          <cell r="D1574" t="str">
            <v>David</v>
          </cell>
          <cell r="E1574" t="str">
            <v>Brent</v>
          </cell>
          <cell r="F1574">
            <v>2023</v>
          </cell>
          <cell r="I1574">
            <v>95</v>
          </cell>
          <cell r="J1574">
            <v>-21</v>
          </cell>
          <cell r="K1574" t="str">
            <v>L</v>
          </cell>
        </row>
        <row r="1575">
          <cell r="A1575" t="str">
            <v>2023Brent4</v>
          </cell>
          <cell r="D1575" t="str">
            <v>Brent</v>
          </cell>
          <cell r="E1575" t="str">
            <v>David</v>
          </cell>
          <cell r="F1575">
            <v>2023</v>
          </cell>
          <cell r="I1575">
            <v>116</v>
          </cell>
          <cell r="J1575">
            <v>21</v>
          </cell>
          <cell r="K1575" t="str">
            <v>W</v>
          </cell>
        </row>
        <row r="1576">
          <cell r="A1576" t="str">
            <v>2023Emily4</v>
          </cell>
          <cell r="D1576" t="str">
            <v>Emily</v>
          </cell>
          <cell r="E1576" t="str">
            <v>Matt</v>
          </cell>
          <cell r="F1576">
            <v>2023</v>
          </cell>
          <cell r="I1576">
            <v>99</v>
          </cell>
          <cell r="J1576">
            <v>-14</v>
          </cell>
          <cell r="K1576" t="str">
            <v>L</v>
          </cell>
        </row>
        <row r="1577">
          <cell r="A1577" t="str">
            <v>2023Matt4</v>
          </cell>
          <cell r="D1577" t="str">
            <v>Matt</v>
          </cell>
          <cell r="E1577" t="str">
            <v>Emily</v>
          </cell>
          <cell r="F1577">
            <v>2023</v>
          </cell>
          <cell r="I1577">
            <v>113</v>
          </cell>
          <cell r="J1577">
            <v>14</v>
          </cell>
          <cell r="K1577" t="str">
            <v>W</v>
          </cell>
        </row>
        <row r="1578">
          <cell r="A1578" t="str">
            <v>2023Watty4</v>
          </cell>
          <cell r="D1578" t="str">
            <v>Watty</v>
          </cell>
          <cell r="E1578" t="str">
            <v>BR</v>
          </cell>
          <cell r="F1578">
            <v>2023</v>
          </cell>
          <cell r="I1578">
            <v>111</v>
          </cell>
          <cell r="J1578">
            <v>23</v>
          </cell>
          <cell r="K1578" t="str">
            <v>W</v>
          </cell>
        </row>
        <row r="1579">
          <cell r="A1579" t="str">
            <v>2023BR4</v>
          </cell>
          <cell r="D1579" t="str">
            <v>BR</v>
          </cell>
          <cell r="E1579" t="str">
            <v>Watty</v>
          </cell>
          <cell r="F1579">
            <v>2023</v>
          </cell>
          <cell r="I1579">
            <v>88</v>
          </cell>
          <cell r="J1579">
            <v>-23</v>
          </cell>
          <cell r="K1579" t="str">
            <v>L</v>
          </cell>
        </row>
        <row r="1580">
          <cell r="A1580" t="str">
            <v>2023Mark4</v>
          </cell>
          <cell r="D1580" t="str">
            <v>Mark</v>
          </cell>
          <cell r="E1580" t="str">
            <v>Charles</v>
          </cell>
          <cell r="F1580">
            <v>2023</v>
          </cell>
          <cell r="I1580">
            <v>48</v>
          </cell>
          <cell r="J1580">
            <v>-56</v>
          </cell>
          <cell r="K1580" t="str">
            <v>L</v>
          </cell>
        </row>
        <row r="1581">
          <cell r="A1581" t="str">
            <v>2023Charles4</v>
          </cell>
          <cell r="D1581" t="str">
            <v>Charles</v>
          </cell>
          <cell r="E1581" t="str">
            <v>Mark</v>
          </cell>
          <cell r="F1581">
            <v>2023</v>
          </cell>
          <cell r="I1581">
            <v>104</v>
          </cell>
          <cell r="J1581">
            <v>56</v>
          </cell>
          <cell r="K1581" t="str">
            <v>W</v>
          </cell>
        </row>
        <row r="1582">
          <cell r="A1582" t="str">
            <v>2023Charles5</v>
          </cell>
          <cell r="D1582" t="str">
            <v>Charles</v>
          </cell>
          <cell r="E1582" t="str">
            <v>Michael</v>
          </cell>
          <cell r="F1582">
            <v>2023</v>
          </cell>
          <cell r="I1582">
            <v>98</v>
          </cell>
          <cell r="J1582">
            <v>6</v>
          </cell>
          <cell r="K1582" t="str">
            <v>W</v>
          </cell>
        </row>
        <row r="1583">
          <cell r="A1583" t="str">
            <v>2023Michael5</v>
          </cell>
          <cell r="D1583" t="str">
            <v>Michael</v>
          </cell>
          <cell r="E1583" t="str">
            <v>Charles</v>
          </cell>
          <cell r="F1583">
            <v>2023</v>
          </cell>
          <cell r="I1583">
            <v>92</v>
          </cell>
          <cell r="J1583">
            <v>-6</v>
          </cell>
          <cell r="K1583" t="str">
            <v>L</v>
          </cell>
        </row>
        <row r="1584">
          <cell r="A1584" t="str">
            <v>2023Matt5</v>
          </cell>
          <cell r="D1584" t="str">
            <v>Matt</v>
          </cell>
          <cell r="E1584" t="str">
            <v>Russell</v>
          </cell>
          <cell r="F1584">
            <v>2023</v>
          </cell>
          <cell r="I1584">
            <v>126</v>
          </cell>
          <cell r="J1584">
            <v>65</v>
          </cell>
          <cell r="K1584" t="str">
            <v>W</v>
          </cell>
        </row>
        <row r="1585">
          <cell r="A1585" t="str">
            <v>2023Russell5</v>
          </cell>
          <cell r="D1585" t="str">
            <v>Russell</v>
          </cell>
          <cell r="E1585" t="str">
            <v>Matt</v>
          </cell>
          <cell r="F1585">
            <v>2023</v>
          </cell>
          <cell r="I1585">
            <v>61</v>
          </cell>
          <cell r="J1585">
            <v>-65</v>
          </cell>
          <cell r="K1585" t="str">
            <v>L</v>
          </cell>
        </row>
        <row r="1586">
          <cell r="A1586" t="str">
            <v>2023David5</v>
          </cell>
          <cell r="D1586" t="str">
            <v>David</v>
          </cell>
          <cell r="E1586" t="str">
            <v>Brian</v>
          </cell>
          <cell r="F1586">
            <v>2023</v>
          </cell>
          <cell r="I1586">
            <v>90</v>
          </cell>
          <cell r="J1586">
            <v>-19</v>
          </cell>
          <cell r="K1586" t="str">
            <v>L</v>
          </cell>
        </row>
        <row r="1587">
          <cell r="A1587" t="str">
            <v>2023Brian5</v>
          </cell>
          <cell r="D1587" t="str">
            <v>Brian</v>
          </cell>
          <cell r="E1587" t="str">
            <v>David</v>
          </cell>
          <cell r="F1587">
            <v>2023</v>
          </cell>
          <cell r="I1587">
            <v>109</v>
          </cell>
          <cell r="J1587">
            <v>19</v>
          </cell>
          <cell r="K1587" t="str">
            <v>W</v>
          </cell>
        </row>
        <row r="1588">
          <cell r="A1588" t="str">
            <v>2023Brent5</v>
          </cell>
          <cell r="D1588" t="str">
            <v>Brent</v>
          </cell>
          <cell r="E1588" t="str">
            <v>Emily</v>
          </cell>
          <cell r="F1588">
            <v>2023</v>
          </cell>
          <cell r="I1588">
            <v>96</v>
          </cell>
          <cell r="J1588">
            <v>45</v>
          </cell>
          <cell r="K1588" t="str">
            <v>W</v>
          </cell>
        </row>
        <row r="1589">
          <cell r="A1589" t="str">
            <v>2023Emily5</v>
          </cell>
          <cell r="D1589" t="str">
            <v>Emily</v>
          </cell>
          <cell r="E1589" t="str">
            <v>Brent</v>
          </cell>
          <cell r="F1589">
            <v>2023</v>
          </cell>
          <cell r="I1589">
            <v>51</v>
          </cell>
          <cell r="J1589">
            <v>-45</v>
          </cell>
          <cell r="K1589" t="str">
            <v>L</v>
          </cell>
        </row>
        <row r="1590">
          <cell r="A1590" t="str">
            <v>2023Watty5</v>
          </cell>
          <cell r="D1590" t="str">
            <v>Watty</v>
          </cell>
          <cell r="E1590" t="str">
            <v>Arnold</v>
          </cell>
          <cell r="F1590">
            <v>2023</v>
          </cell>
          <cell r="I1590">
            <v>109</v>
          </cell>
          <cell r="J1590">
            <v>39</v>
          </cell>
          <cell r="K1590" t="str">
            <v>W</v>
          </cell>
        </row>
        <row r="1591">
          <cell r="A1591" t="str">
            <v>2023Arnold5</v>
          </cell>
          <cell r="D1591" t="str">
            <v>Arnold</v>
          </cell>
          <cell r="E1591" t="str">
            <v>Watty</v>
          </cell>
          <cell r="F1591">
            <v>2023</v>
          </cell>
          <cell r="I1591">
            <v>70</v>
          </cell>
          <cell r="J1591">
            <v>-39</v>
          </cell>
          <cell r="K1591" t="str">
            <v>L</v>
          </cell>
        </row>
        <row r="1592">
          <cell r="A1592" t="str">
            <v>2023BR5</v>
          </cell>
          <cell r="D1592" t="str">
            <v>BR</v>
          </cell>
          <cell r="E1592" t="str">
            <v>Mark</v>
          </cell>
          <cell r="F1592">
            <v>2023</v>
          </cell>
          <cell r="I1592">
            <v>105</v>
          </cell>
          <cell r="J1592">
            <v>24</v>
          </cell>
          <cell r="K1592" t="str">
            <v>W</v>
          </cell>
        </row>
        <row r="1593">
          <cell r="A1593" t="str">
            <v>2023Mark5</v>
          </cell>
          <cell r="D1593" t="str">
            <v>Mark</v>
          </cell>
          <cell r="E1593" t="str">
            <v>BR</v>
          </cell>
          <cell r="F1593">
            <v>2023</v>
          </cell>
          <cell r="I1593">
            <v>81</v>
          </cell>
          <cell r="J1593">
            <v>-24</v>
          </cell>
          <cell r="K1593" t="str">
            <v>L</v>
          </cell>
        </row>
        <row r="1594">
          <cell r="A1594" t="str">
            <v>2023Mark6</v>
          </cell>
          <cell r="D1594" t="str">
            <v>Mark</v>
          </cell>
          <cell r="E1594" t="str">
            <v>Michael</v>
          </cell>
          <cell r="F1594">
            <v>2023</v>
          </cell>
          <cell r="I1594">
            <v>66</v>
          </cell>
          <cell r="J1594">
            <v>-43</v>
          </cell>
          <cell r="K1594" t="str">
            <v>L</v>
          </cell>
        </row>
        <row r="1595">
          <cell r="A1595" t="str">
            <v>2023Michael6</v>
          </cell>
          <cell r="D1595" t="str">
            <v>Michael</v>
          </cell>
          <cell r="E1595" t="str">
            <v>Mark</v>
          </cell>
          <cell r="F1595">
            <v>2023</v>
          </cell>
          <cell r="I1595">
            <v>109</v>
          </cell>
          <cell r="J1595">
            <v>43</v>
          </cell>
          <cell r="K1595" t="str">
            <v>W</v>
          </cell>
        </row>
        <row r="1596">
          <cell r="A1596" t="str">
            <v>2023Brent6</v>
          </cell>
          <cell r="D1596" t="str">
            <v>Brent</v>
          </cell>
          <cell r="E1596" t="str">
            <v>Russell</v>
          </cell>
          <cell r="F1596">
            <v>2023</v>
          </cell>
          <cell r="I1596">
            <v>86</v>
          </cell>
          <cell r="J1596">
            <v>23</v>
          </cell>
          <cell r="K1596" t="str">
            <v>W</v>
          </cell>
        </row>
        <row r="1597">
          <cell r="A1597" t="str">
            <v>2023Russell6</v>
          </cell>
          <cell r="D1597" t="str">
            <v>Russell</v>
          </cell>
          <cell r="E1597" t="str">
            <v>Brent</v>
          </cell>
          <cell r="F1597">
            <v>2023</v>
          </cell>
          <cell r="I1597">
            <v>63</v>
          </cell>
          <cell r="J1597">
            <v>-23</v>
          </cell>
          <cell r="K1597" t="str">
            <v>L</v>
          </cell>
        </row>
        <row r="1598">
          <cell r="A1598" t="str">
            <v>2023David6</v>
          </cell>
          <cell r="D1598" t="str">
            <v>David</v>
          </cell>
          <cell r="E1598" t="str">
            <v>Emily</v>
          </cell>
          <cell r="F1598">
            <v>2023</v>
          </cell>
          <cell r="I1598">
            <v>89</v>
          </cell>
          <cell r="J1598">
            <v>17</v>
          </cell>
          <cell r="K1598" t="str">
            <v>W</v>
          </cell>
        </row>
        <row r="1599">
          <cell r="A1599" t="str">
            <v>2023Emily6</v>
          </cell>
          <cell r="D1599" t="str">
            <v>Emily</v>
          </cell>
          <cell r="E1599" t="str">
            <v>David</v>
          </cell>
          <cell r="F1599">
            <v>2023</v>
          </cell>
          <cell r="I1599">
            <v>72</v>
          </cell>
          <cell r="J1599">
            <v>-17</v>
          </cell>
          <cell r="K1599" t="str">
            <v>L</v>
          </cell>
        </row>
        <row r="1600">
          <cell r="A1600" t="str">
            <v>2023Brian6</v>
          </cell>
          <cell r="D1600" t="str">
            <v>Brian</v>
          </cell>
          <cell r="E1600" t="str">
            <v>Matt</v>
          </cell>
          <cell r="F1600">
            <v>2023</v>
          </cell>
          <cell r="I1600">
            <v>68</v>
          </cell>
          <cell r="J1600">
            <v>-8</v>
          </cell>
          <cell r="K1600" t="str">
            <v>L</v>
          </cell>
        </row>
        <row r="1601">
          <cell r="A1601" t="str">
            <v>2023Matt6</v>
          </cell>
          <cell r="D1601" t="str">
            <v>Matt</v>
          </cell>
          <cell r="E1601" t="str">
            <v>Brian</v>
          </cell>
          <cell r="F1601">
            <v>2023</v>
          </cell>
          <cell r="I1601">
            <v>76</v>
          </cell>
          <cell r="J1601">
            <v>8</v>
          </cell>
          <cell r="K1601" t="str">
            <v>W</v>
          </cell>
        </row>
        <row r="1602">
          <cell r="A1602" t="str">
            <v>2023Watty6</v>
          </cell>
          <cell r="D1602" t="str">
            <v>Watty</v>
          </cell>
          <cell r="E1602" t="str">
            <v>Charles</v>
          </cell>
          <cell r="F1602">
            <v>2023</v>
          </cell>
          <cell r="I1602">
            <v>85</v>
          </cell>
          <cell r="J1602">
            <v>7</v>
          </cell>
          <cell r="K1602" t="str">
            <v>W</v>
          </cell>
        </row>
        <row r="1603">
          <cell r="A1603" t="str">
            <v>2023Charles6</v>
          </cell>
          <cell r="D1603" t="str">
            <v>Charles</v>
          </cell>
          <cell r="E1603" t="str">
            <v>Watty</v>
          </cell>
          <cell r="F1603">
            <v>2023</v>
          </cell>
          <cell r="I1603">
            <v>78</v>
          </cell>
          <cell r="J1603">
            <v>-7</v>
          </cell>
          <cell r="K1603" t="str">
            <v>L</v>
          </cell>
        </row>
        <row r="1604">
          <cell r="A1604" t="str">
            <v>2023Arnold6</v>
          </cell>
          <cell r="D1604" t="str">
            <v>Arnold</v>
          </cell>
          <cell r="E1604" t="str">
            <v>BR</v>
          </cell>
          <cell r="F1604">
            <v>2023</v>
          </cell>
          <cell r="I1604">
            <v>83</v>
          </cell>
          <cell r="J1604">
            <v>-6</v>
          </cell>
          <cell r="K1604" t="str">
            <v>L</v>
          </cell>
        </row>
        <row r="1605">
          <cell r="A1605" t="str">
            <v>2023BR6</v>
          </cell>
          <cell r="D1605" t="str">
            <v>BR</v>
          </cell>
          <cell r="E1605" t="str">
            <v>Arnold</v>
          </cell>
          <cell r="F1605">
            <v>2023</v>
          </cell>
          <cell r="I1605">
            <v>89</v>
          </cell>
          <cell r="J1605">
            <v>6</v>
          </cell>
          <cell r="K1605" t="str">
            <v>W</v>
          </cell>
        </row>
        <row r="1606">
          <cell r="A1606" t="str">
            <v>2023Emily7</v>
          </cell>
          <cell r="D1606" t="str">
            <v>Emily</v>
          </cell>
          <cell r="E1606" t="str">
            <v>Michael</v>
          </cell>
          <cell r="F1606">
            <v>2023</v>
          </cell>
          <cell r="I1606">
            <v>72</v>
          </cell>
          <cell r="J1606">
            <v>-6</v>
          </cell>
          <cell r="K1606" t="str">
            <v>L</v>
          </cell>
        </row>
        <row r="1607">
          <cell r="A1607" t="str">
            <v>2023Michael7</v>
          </cell>
          <cell r="D1607" t="str">
            <v>Michael</v>
          </cell>
          <cell r="E1607" t="str">
            <v>Emily</v>
          </cell>
          <cell r="F1607">
            <v>2023</v>
          </cell>
          <cell r="I1607">
            <v>78</v>
          </cell>
          <cell r="J1607">
            <v>6</v>
          </cell>
          <cell r="K1607" t="str">
            <v>W</v>
          </cell>
        </row>
        <row r="1608">
          <cell r="A1608" t="str">
            <v>2023Russell7</v>
          </cell>
          <cell r="D1608" t="str">
            <v>Russell</v>
          </cell>
          <cell r="E1608" t="str">
            <v>Watty</v>
          </cell>
          <cell r="F1608">
            <v>2023</v>
          </cell>
          <cell r="I1608">
            <v>42</v>
          </cell>
          <cell r="J1608">
            <v>-36</v>
          </cell>
          <cell r="K1608" t="str">
            <v>L</v>
          </cell>
        </row>
        <row r="1609">
          <cell r="A1609" t="str">
            <v>2023Watty7</v>
          </cell>
          <cell r="D1609" t="str">
            <v>Watty</v>
          </cell>
          <cell r="E1609" t="str">
            <v>Russell</v>
          </cell>
          <cell r="F1609">
            <v>2023</v>
          </cell>
          <cell r="I1609">
            <v>78</v>
          </cell>
          <cell r="J1609">
            <v>36</v>
          </cell>
          <cell r="K1609" t="str">
            <v>W</v>
          </cell>
        </row>
        <row r="1610">
          <cell r="A1610" t="str">
            <v>2023David7</v>
          </cell>
          <cell r="D1610" t="str">
            <v>David</v>
          </cell>
          <cell r="E1610" t="str">
            <v>Mark</v>
          </cell>
          <cell r="F1610">
            <v>2023</v>
          </cell>
          <cell r="I1610">
            <v>91</v>
          </cell>
          <cell r="J1610">
            <v>-15</v>
          </cell>
          <cell r="K1610" t="str">
            <v>L</v>
          </cell>
        </row>
        <row r="1611">
          <cell r="A1611" t="str">
            <v>2023Mark7</v>
          </cell>
          <cell r="D1611" t="str">
            <v>Mark</v>
          </cell>
          <cell r="E1611" t="str">
            <v>David</v>
          </cell>
          <cell r="F1611">
            <v>2023</v>
          </cell>
          <cell r="I1611">
            <v>106</v>
          </cell>
          <cell r="J1611">
            <v>15</v>
          </cell>
          <cell r="K1611" t="str">
            <v>W</v>
          </cell>
        </row>
        <row r="1612">
          <cell r="A1612" t="str">
            <v>2023Brian7</v>
          </cell>
          <cell r="D1612" t="str">
            <v>Brian</v>
          </cell>
          <cell r="E1612" t="str">
            <v>BR</v>
          </cell>
          <cell r="F1612">
            <v>2023</v>
          </cell>
          <cell r="I1612">
            <v>82</v>
          </cell>
          <cell r="J1612">
            <v>15</v>
          </cell>
          <cell r="K1612" t="str">
            <v>W</v>
          </cell>
        </row>
        <row r="1613">
          <cell r="A1613" t="str">
            <v>2023BR7</v>
          </cell>
          <cell r="D1613" t="str">
            <v>BR</v>
          </cell>
          <cell r="E1613" t="str">
            <v>Brian</v>
          </cell>
          <cell r="F1613">
            <v>2023</v>
          </cell>
          <cell r="I1613">
            <v>67</v>
          </cell>
          <cell r="J1613">
            <v>-15</v>
          </cell>
          <cell r="K1613" t="str">
            <v>L</v>
          </cell>
        </row>
        <row r="1614">
          <cell r="A1614" t="str">
            <v>2023Matt7</v>
          </cell>
          <cell r="D1614" t="str">
            <v>Matt</v>
          </cell>
          <cell r="E1614" t="str">
            <v>Arnold</v>
          </cell>
          <cell r="F1614">
            <v>2023</v>
          </cell>
          <cell r="I1614">
            <v>76</v>
          </cell>
          <cell r="J1614">
            <v>-36</v>
          </cell>
          <cell r="K1614" t="str">
            <v>L</v>
          </cell>
        </row>
        <row r="1615">
          <cell r="A1615" t="str">
            <v>2023Arnold7</v>
          </cell>
          <cell r="D1615" t="str">
            <v>Arnold</v>
          </cell>
          <cell r="E1615" t="str">
            <v>Matt</v>
          </cell>
          <cell r="F1615">
            <v>2023</v>
          </cell>
          <cell r="I1615">
            <v>112</v>
          </cell>
          <cell r="J1615">
            <v>36</v>
          </cell>
          <cell r="K1615" t="str">
            <v>W</v>
          </cell>
        </row>
        <row r="1616">
          <cell r="A1616" t="str">
            <v>2023Brent7</v>
          </cell>
          <cell r="D1616" t="str">
            <v>Brent</v>
          </cell>
          <cell r="E1616" t="str">
            <v>Charles</v>
          </cell>
          <cell r="F1616">
            <v>2023</v>
          </cell>
          <cell r="I1616">
            <v>97</v>
          </cell>
          <cell r="J1616">
            <v>27</v>
          </cell>
          <cell r="K1616" t="str">
            <v>W</v>
          </cell>
        </row>
        <row r="1617">
          <cell r="A1617" t="str">
            <v>2023Charles7</v>
          </cell>
          <cell r="D1617" t="str">
            <v>Charles</v>
          </cell>
          <cell r="E1617" t="str">
            <v>Brent</v>
          </cell>
          <cell r="F1617">
            <v>2023</v>
          </cell>
          <cell r="I1617">
            <v>70</v>
          </cell>
          <cell r="J1617">
            <v>-27</v>
          </cell>
          <cell r="K1617" t="str">
            <v>L</v>
          </cell>
        </row>
        <row r="1618">
          <cell r="A1618" t="str">
            <v>2023Michael8</v>
          </cell>
          <cell r="D1618" t="str">
            <v>Michael</v>
          </cell>
          <cell r="E1618" t="str">
            <v>Brent</v>
          </cell>
          <cell r="F1618">
            <v>2023</v>
          </cell>
          <cell r="I1618">
            <v>123</v>
          </cell>
          <cell r="J1618">
            <v>20</v>
          </cell>
          <cell r="K1618" t="str">
            <v>W</v>
          </cell>
        </row>
        <row r="1619">
          <cell r="A1619" t="str">
            <v>2023Brent8</v>
          </cell>
          <cell r="D1619" t="str">
            <v>Brent</v>
          </cell>
          <cell r="E1619" t="str">
            <v>Michael</v>
          </cell>
          <cell r="F1619">
            <v>2023</v>
          </cell>
          <cell r="I1619">
            <v>103</v>
          </cell>
          <cell r="J1619">
            <v>-20</v>
          </cell>
          <cell r="K1619" t="str">
            <v>L</v>
          </cell>
        </row>
        <row r="1620">
          <cell r="A1620" t="str">
            <v>2023Mark8</v>
          </cell>
          <cell r="D1620" t="str">
            <v>Mark</v>
          </cell>
          <cell r="E1620" t="str">
            <v>Russell</v>
          </cell>
          <cell r="F1620">
            <v>2023</v>
          </cell>
          <cell r="I1620">
            <v>55</v>
          </cell>
          <cell r="J1620">
            <v>-36</v>
          </cell>
          <cell r="K1620" t="str">
            <v>L</v>
          </cell>
        </row>
        <row r="1621">
          <cell r="A1621" t="str">
            <v>2023Russell8</v>
          </cell>
          <cell r="D1621" t="str">
            <v>Russell</v>
          </cell>
          <cell r="E1621" t="str">
            <v>Mark</v>
          </cell>
          <cell r="F1621">
            <v>2023</v>
          </cell>
          <cell r="I1621">
            <v>91</v>
          </cell>
          <cell r="J1621">
            <v>36</v>
          </cell>
          <cell r="K1621" t="str">
            <v>W</v>
          </cell>
        </row>
        <row r="1622">
          <cell r="A1622" t="str">
            <v>2023Watty8</v>
          </cell>
          <cell r="D1622" t="str">
            <v>Watty</v>
          </cell>
          <cell r="E1622" t="str">
            <v>David</v>
          </cell>
          <cell r="F1622">
            <v>2023</v>
          </cell>
          <cell r="I1622">
            <v>100</v>
          </cell>
          <cell r="J1622">
            <v>31</v>
          </cell>
          <cell r="K1622" t="str">
            <v>W</v>
          </cell>
        </row>
        <row r="1623">
          <cell r="A1623" t="str">
            <v>2023David8</v>
          </cell>
          <cell r="D1623" t="str">
            <v>David</v>
          </cell>
          <cell r="E1623" t="str">
            <v>Watty</v>
          </cell>
          <cell r="F1623">
            <v>2023</v>
          </cell>
          <cell r="I1623">
            <v>69</v>
          </cell>
          <cell r="J1623">
            <v>-31</v>
          </cell>
          <cell r="K1623" t="str">
            <v>L</v>
          </cell>
        </row>
        <row r="1624">
          <cell r="A1624" t="str">
            <v>2023BR8</v>
          </cell>
          <cell r="D1624" t="str">
            <v>BR</v>
          </cell>
          <cell r="E1624" t="str">
            <v>Emily</v>
          </cell>
          <cell r="F1624">
            <v>2023</v>
          </cell>
          <cell r="I1624">
            <v>86</v>
          </cell>
          <cell r="J1624">
            <v>1</v>
          </cell>
          <cell r="K1624" t="str">
            <v>W</v>
          </cell>
        </row>
        <row r="1625">
          <cell r="A1625" t="str">
            <v>2023Emily8</v>
          </cell>
          <cell r="D1625" t="str">
            <v>Emily</v>
          </cell>
          <cell r="E1625" t="str">
            <v>BR</v>
          </cell>
          <cell r="F1625">
            <v>2023</v>
          </cell>
          <cell r="I1625">
            <v>85</v>
          </cell>
          <cell r="J1625">
            <v>-1</v>
          </cell>
          <cell r="K1625" t="str">
            <v>L</v>
          </cell>
        </row>
        <row r="1626">
          <cell r="A1626" t="str">
            <v>2023Arnold8</v>
          </cell>
          <cell r="D1626" t="str">
            <v>Arnold</v>
          </cell>
          <cell r="E1626" t="str">
            <v>Brian</v>
          </cell>
          <cell r="F1626">
            <v>2023</v>
          </cell>
          <cell r="I1626">
            <v>93</v>
          </cell>
          <cell r="J1626">
            <v>-29</v>
          </cell>
          <cell r="K1626" t="str">
            <v>L</v>
          </cell>
        </row>
        <row r="1627">
          <cell r="A1627" t="str">
            <v>2023Brian8</v>
          </cell>
          <cell r="D1627" t="str">
            <v>Brian</v>
          </cell>
          <cell r="E1627" t="str">
            <v>Arnold</v>
          </cell>
          <cell r="F1627">
            <v>2023</v>
          </cell>
          <cell r="I1627">
            <v>122</v>
          </cell>
          <cell r="J1627">
            <v>29</v>
          </cell>
          <cell r="K1627" t="str">
            <v>W</v>
          </cell>
        </row>
        <row r="1628">
          <cell r="A1628" t="str">
            <v>2023Charles8</v>
          </cell>
          <cell r="D1628" t="str">
            <v>Charles</v>
          </cell>
          <cell r="E1628" t="str">
            <v>Matt</v>
          </cell>
          <cell r="F1628">
            <v>2023</v>
          </cell>
          <cell r="I1628">
            <v>48</v>
          </cell>
          <cell r="J1628">
            <v>-41</v>
          </cell>
          <cell r="K1628" t="str">
            <v>L</v>
          </cell>
        </row>
        <row r="1629">
          <cell r="A1629" t="str">
            <v>2023Matt8</v>
          </cell>
          <cell r="D1629" t="str">
            <v>Matt</v>
          </cell>
          <cell r="E1629" t="str">
            <v>Charles</v>
          </cell>
          <cell r="F1629">
            <v>2023</v>
          </cell>
          <cell r="I1629">
            <v>89</v>
          </cell>
          <cell r="J1629">
            <v>41</v>
          </cell>
          <cell r="K1629" t="str">
            <v>W</v>
          </cell>
        </row>
        <row r="1630">
          <cell r="A1630" t="str">
            <v>2023Russell9</v>
          </cell>
          <cell r="D1630" t="str">
            <v>Russell</v>
          </cell>
          <cell r="E1630" t="str">
            <v>Michael</v>
          </cell>
          <cell r="F1630">
            <v>2023</v>
          </cell>
          <cell r="I1630">
            <v>70</v>
          </cell>
          <cell r="J1630">
            <v>-39</v>
          </cell>
          <cell r="K1630" t="str">
            <v>L</v>
          </cell>
        </row>
        <row r="1631">
          <cell r="A1631" t="str">
            <v>2023Michael9</v>
          </cell>
          <cell r="D1631" t="str">
            <v>Michael</v>
          </cell>
          <cell r="E1631" t="str">
            <v>Russell</v>
          </cell>
          <cell r="F1631">
            <v>2023</v>
          </cell>
          <cell r="I1631">
            <v>109</v>
          </cell>
          <cell r="J1631">
            <v>39</v>
          </cell>
          <cell r="K1631" t="str">
            <v>W</v>
          </cell>
        </row>
        <row r="1632">
          <cell r="A1632" t="str">
            <v>2023David9</v>
          </cell>
          <cell r="D1632" t="str">
            <v>David</v>
          </cell>
          <cell r="E1632" t="str">
            <v>BR</v>
          </cell>
          <cell r="F1632">
            <v>2023</v>
          </cell>
          <cell r="I1632">
            <v>130</v>
          </cell>
          <cell r="J1632">
            <v>32</v>
          </cell>
          <cell r="K1632" t="str">
            <v>W</v>
          </cell>
        </row>
        <row r="1633">
          <cell r="A1633" t="str">
            <v>2023BR9</v>
          </cell>
          <cell r="D1633" t="str">
            <v>BR</v>
          </cell>
          <cell r="E1633" t="str">
            <v>David</v>
          </cell>
          <cell r="F1633">
            <v>2023</v>
          </cell>
          <cell r="I1633">
            <v>98</v>
          </cell>
          <cell r="J1633">
            <v>-32</v>
          </cell>
          <cell r="K1633" t="str">
            <v>L</v>
          </cell>
        </row>
        <row r="1634">
          <cell r="A1634" t="str">
            <v>2023Emily9</v>
          </cell>
          <cell r="D1634" t="str">
            <v>Emily</v>
          </cell>
          <cell r="E1634" t="str">
            <v>Arnold</v>
          </cell>
          <cell r="F1634">
            <v>2023</v>
          </cell>
          <cell r="I1634">
            <v>89</v>
          </cell>
          <cell r="J1634">
            <v>30</v>
          </cell>
          <cell r="K1634" t="str">
            <v>W</v>
          </cell>
        </row>
        <row r="1635">
          <cell r="A1635" t="str">
            <v>2023Arnold9</v>
          </cell>
          <cell r="D1635" t="str">
            <v>Arnold</v>
          </cell>
          <cell r="E1635" t="str">
            <v>Emily</v>
          </cell>
          <cell r="F1635">
            <v>2023</v>
          </cell>
          <cell r="I1635">
            <v>59</v>
          </cell>
          <cell r="J1635">
            <v>-30</v>
          </cell>
          <cell r="K1635" t="str">
            <v>L</v>
          </cell>
        </row>
        <row r="1636">
          <cell r="A1636" t="str">
            <v>2023Brian9</v>
          </cell>
          <cell r="D1636" t="str">
            <v>Brian</v>
          </cell>
          <cell r="E1636" t="str">
            <v>Charles</v>
          </cell>
          <cell r="F1636">
            <v>2023</v>
          </cell>
          <cell r="I1636">
            <v>91</v>
          </cell>
          <cell r="J1636">
            <v>23</v>
          </cell>
          <cell r="K1636" t="str">
            <v>W</v>
          </cell>
        </row>
        <row r="1637">
          <cell r="A1637" t="str">
            <v>2023Charles9</v>
          </cell>
          <cell r="D1637" t="str">
            <v>Charles</v>
          </cell>
          <cell r="E1637" t="str">
            <v>Brian</v>
          </cell>
          <cell r="F1637">
            <v>2023</v>
          </cell>
          <cell r="I1637">
            <v>68</v>
          </cell>
          <cell r="J1637">
            <v>-23</v>
          </cell>
          <cell r="K1637" t="str">
            <v>L</v>
          </cell>
        </row>
        <row r="1638">
          <cell r="A1638" t="str">
            <v>2023Matt9</v>
          </cell>
          <cell r="D1638" t="str">
            <v>Matt</v>
          </cell>
          <cell r="E1638" t="str">
            <v>Watty</v>
          </cell>
          <cell r="F1638">
            <v>2023</v>
          </cell>
          <cell r="I1638">
            <v>77</v>
          </cell>
          <cell r="J1638">
            <v>-37</v>
          </cell>
          <cell r="K1638" t="str">
            <v>L</v>
          </cell>
        </row>
        <row r="1639">
          <cell r="A1639" t="str">
            <v>2023Watty9</v>
          </cell>
          <cell r="D1639" t="str">
            <v>Watty</v>
          </cell>
          <cell r="E1639" t="str">
            <v>Matt</v>
          </cell>
          <cell r="F1639">
            <v>2023</v>
          </cell>
          <cell r="I1639">
            <v>114</v>
          </cell>
          <cell r="J1639">
            <v>37</v>
          </cell>
          <cell r="K1639" t="str">
            <v>W</v>
          </cell>
        </row>
        <row r="1640">
          <cell r="A1640" t="str">
            <v>2023Brent9</v>
          </cell>
          <cell r="D1640" t="str">
            <v>Brent</v>
          </cell>
          <cell r="E1640" t="str">
            <v>Mark</v>
          </cell>
          <cell r="F1640">
            <v>2023</v>
          </cell>
          <cell r="I1640">
            <v>88</v>
          </cell>
          <cell r="J1640">
            <v>16</v>
          </cell>
          <cell r="K1640" t="str">
            <v>W</v>
          </cell>
        </row>
        <row r="1641">
          <cell r="A1641" t="str">
            <v>2023Mark9</v>
          </cell>
          <cell r="D1641" t="str">
            <v>Mark</v>
          </cell>
          <cell r="E1641" t="str">
            <v>Brent</v>
          </cell>
          <cell r="F1641">
            <v>2023</v>
          </cell>
          <cell r="I1641">
            <v>72</v>
          </cell>
          <cell r="J1641">
            <v>-16</v>
          </cell>
          <cell r="K1641" t="str">
            <v>L</v>
          </cell>
        </row>
        <row r="1642">
          <cell r="A1642" t="str">
            <v>2023Michael10</v>
          </cell>
          <cell r="D1642" t="str">
            <v>Michael</v>
          </cell>
          <cell r="E1642" t="str">
            <v>David</v>
          </cell>
          <cell r="F1642">
            <v>2023</v>
          </cell>
          <cell r="I1642">
            <v>84</v>
          </cell>
          <cell r="J1642">
            <v>12</v>
          </cell>
          <cell r="K1642" t="str">
            <v>W</v>
          </cell>
        </row>
        <row r="1643">
          <cell r="A1643" t="str">
            <v>2023David10</v>
          </cell>
          <cell r="D1643" t="str">
            <v>David</v>
          </cell>
          <cell r="E1643" t="str">
            <v>Michael</v>
          </cell>
          <cell r="F1643">
            <v>2023</v>
          </cell>
          <cell r="I1643">
            <v>72</v>
          </cell>
          <cell r="J1643">
            <v>-12</v>
          </cell>
          <cell r="K1643" t="str">
            <v>L</v>
          </cell>
        </row>
        <row r="1644">
          <cell r="A1644" t="str">
            <v>2023BR10</v>
          </cell>
          <cell r="D1644" t="str">
            <v>BR</v>
          </cell>
          <cell r="E1644" t="str">
            <v>Russell</v>
          </cell>
          <cell r="F1644">
            <v>2023</v>
          </cell>
          <cell r="I1644">
            <v>100</v>
          </cell>
          <cell r="J1644">
            <v>38</v>
          </cell>
          <cell r="K1644" t="str">
            <v>W</v>
          </cell>
        </row>
        <row r="1645">
          <cell r="A1645" t="str">
            <v>2023Russell10</v>
          </cell>
          <cell r="D1645" t="str">
            <v>Russell</v>
          </cell>
          <cell r="E1645" t="str">
            <v>BR</v>
          </cell>
          <cell r="F1645">
            <v>2023</v>
          </cell>
          <cell r="I1645">
            <v>62</v>
          </cell>
          <cell r="J1645">
            <v>-38</v>
          </cell>
          <cell r="K1645" t="str">
            <v>L</v>
          </cell>
        </row>
        <row r="1646">
          <cell r="A1646" t="str">
            <v>2023Charles10</v>
          </cell>
          <cell r="D1646" t="str">
            <v>Charles</v>
          </cell>
          <cell r="E1646" t="str">
            <v>Emily</v>
          </cell>
          <cell r="F1646">
            <v>2023</v>
          </cell>
          <cell r="I1646">
            <v>53</v>
          </cell>
          <cell r="J1646">
            <v>-40</v>
          </cell>
          <cell r="K1646" t="str">
            <v>L</v>
          </cell>
        </row>
        <row r="1647">
          <cell r="A1647" t="str">
            <v>2023Emily10</v>
          </cell>
          <cell r="D1647" t="str">
            <v>Emily</v>
          </cell>
          <cell r="E1647" t="str">
            <v>Charles</v>
          </cell>
          <cell r="F1647">
            <v>2023</v>
          </cell>
          <cell r="I1647">
            <v>93</v>
          </cell>
          <cell r="J1647">
            <v>40</v>
          </cell>
          <cell r="K1647" t="str">
            <v>W</v>
          </cell>
        </row>
        <row r="1648">
          <cell r="A1648" t="str">
            <v>2023Watty10</v>
          </cell>
          <cell r="D1648" t="str">
            <v>Watty</v>
          </cell>
          <cell r="E1648" t="str">
            <v>Brian</v>
          </cell>
          <cell r="F1648">
            <v>2023</v>
          </cell>
          <cell r="I1648">
            <v>80</v>
          </cell>
          <cell r="J1648">
            <v>-41</v>
          </cell>
          <cell r="K1648" t="str">
            <v>L</v>
          </cell>
        </row>
        <row r="1649">
          <cell r="A1649" t="str">
            <v>2023Brian10</v>
          </cell>
          <cell r="D1649" t="str">
            <v>Brian</v>
          </cell>
          <cell r="E1649" t="str">
            <v>Watty</v>
          </cell>
          <cell r="F1649">
            <v>2023</v>
          </cell>
          <cell r="I1649">
            <v>121</v>
          </cell>
          <cell r="J1649">
            <v>41</v>
          </cell>
          <cell r="K1649" t="str">
            <v>W</v>
          </cell>
        </row>
        <row r="1650">
          <cell r="A1650" t="str">
            <v>2023Mark10</v>
          </cell>
          <cell r="D1650" t="str">
            <v>Mark</v>
          </cell>
          <cell r="E1650" t="str">
            <v>Matt</v>
          </cell>
          <cell r="F1650">
            <v>2023</v>
          </cell>
          <cell r="I1650">
            <v>100</v>
          </cell>
          <cell r="J1650">
            <v>15</v>
          </cell>
          <cell r="K1650" t="str">
            <v>W</v>
          </cell>
        </row>
        <row r="1651">
          <cell r="A1651" t="str">
            <v>2023Matt10</v>
          </cell>
          <cell r="D1651" t="str">
            <v>Matt</v>
          </cell>
          <cell r="E1651" t="str">
            <v>Mark</v>
          </cell>
          <cell r="F1651">
            <v>2023</v>
          </cell>
          <cell r="I1651">
            <v>85</v>
          </cell>
          <cell r="J1651">
            <v>-15</v>
          </cell>
          <cell r="K1651" t="str">
            <v>L</v>
          </cell>
        </row>
        <row r="1652">
          <cell r="A1652" t="str">
            <v>2023Arnold10</v>
          </cell>
          <cell r="D1652" t="str">
            <v>Arnold</v>
          </cell>
          <cell r="E1652" t="str">
            <v>Brent</v>
          </cell>
          <cell r="F1652">
            <v>2023</v>
          </cell>
          <cell r="I1652">
            <v>97</v>
          </cell>
          <cell r="J1652">
            <v>-47</v>
          </cell>
          <cell r="K1652" t="str">
            <v>L</v>
          </cell>
        </row>
        <row r="1653">
          <cell r="A1653" t="str">
            <v>2023Brent10</v>
          </cell>
          <cell r="D1653" t="str">
            <v>Brent</v>
          </cell>
          <cell r="E1653" t="str">
            <v>Arnold</v>
          </cell>
          <cell r="F1653">
            <v>2023</v>
          </cell>
          <cell r="I1653">
            <v>144</v>
          </cell>
          <cell r="J1653">
            <v>47</v>
          </cell>
          <cell r="K1653" t="str">
            <v>W</v>
          </cell>
        </row>
        <row r="1654">
          <cell r="A1654" t="str">
            <v>2023Matt11</v>
          </cell>
          <cell r="D1654" t="str">
            <v>Matt</v>
          </cell>
          <cell r="E1654" t="str">
            <v>Michael</v>
          </cell>
          <cell r="F1654">
            <v>2023</v>
          </cell>
          <cell r="I1654">
            <v>72</v>
          </cell>
          <cell r="J1654">
            <v>-10</v>
          </cell>
          <cell r="K1654" t="str">
            <v>L</v>
          </cell>
        </row>
        <row r="1655">
          <cell r="A1655" t="str">
            <v>2023Michael11</v>
          </cell>
          <cell r="D1655" t="str">
            <v>Michael</v>
          </cell>
          <cell r="E1655" t="str">
            <v>Matt</v>
          </cell>
          <cell r="F1655">
            <v>2023</v>
          </cell>
          <cell r="I1655">
            <v>82</v>
          </cell>
          <cell r="J1655">
            <v>10</v>
          </cell>
          <cell r="K1655" t="str">
            <v>W</v>
          </cell>
        </row>
        <row r="1656">
          <cell r="A1656" t="str">
            <v>2023Russell11</v>
          </cell>
          <cell r="D1656" t="str">
            <v>Russell</v>
          </cell>
          <cell r="E1656" t="str">
            <v>Arnold</v>
          </cell>
          <cell r="F1656">
            <v>2023</v>
          </cell>
          <cell r="I1656">
            <v>95</v>
          </cell>
          <cell r="J1656">
            <v>3</v>
          </cell>
          <cell r="K1656" t="str">
            <v>W</v>
          </cell>
        </row>
        <row r="1657">
          <cell r="A1657" t="str">
            <v>2023Arnold11</v>
          </cell>
          <cell r="D1657" t="str">
            <v>Arnold</v>
          </cell>
          <cell r="E1657" t="str">
            <v>Russell</v>
          </cell>
          <cell r="F1657">
            <v>2023</v>
          </cell>
          <cell r="I1657">
            <v>92</v>
          </cell>
          <cell r="J1657">
            <v>-3</v>
          </cell>
          <cell r="K1657" t="str">
            <v>L</v>
          </cell>
        </row>
        <row r="1658">
          <cell r="A1658" t="str">
            <v>2023David11</v>
          </cell>
          <cell r="D1658" t="str">
            <v>David</v>
          </cell>
          <cell r="E1658" t="str">
            <v>Charles</v>
          </cell>
          <cell r="F1658">
            <v>2023</v>
          </cell>
          <cell r="I1658">
            <v>59</v>
          </cell>
          <cell r="J1658">
            <v>-38</v>
          </cell>
          <cell r="K1658" t="str">
            <v>L</v>
          </cell>
        </row>
        <row r="1659">
          <cell r="A1659" t="str">
            <v>2023Charles11</v>
          </cell>
          <cell r="D1659" t="str">
            <v>Charles</v>
          </cell>
          <cell r="E1659" t="str">
            <v>David</v>
          </cell>
          <cell r="F1659">
            <v>2023</v>
          </cell>
          <cell r="I1659">
            <v>97</v>
          </cell>
          <cell r="J1659">
            <v>38</v>
          </cell>
          <cell r="K1659" t="str">
            <v>W</v>
          </cell>
        </row>
        <row r="1660">
          <cell r="A1660" t="str">
            <v>2023Emily11</v>
          </cell>
          <cell r="D1660" t="str">
            <v>Emily</v>
          </cell>
          <cell r="E1660" t="str">
            <v>Watty</v>
          </cell>
          <cell r="F1660">
            <v>2023</v>
          </cell>
          <cell r="I1660">
            <v>72</v>
          </cell>
          <cell r="J1660">
            <v>-23</v>
          </cell>
          <cell r="K1660" t="str">
            <v>L</v>
          </cell>
        </row>
        <row r="1661">
          <cell r="A1661" t="str">
            <v>2023Watty11</v>
          </cell>
          <cell r="D1661" t="str">
            <v>Watty</v>
          </cell>
          <cell r="E1661" t="str">
            <v>Emily</v>
          </cell>
          <cell r="F1661">
            <v>2023</v>
          </cell>
          <cell r="I1661">
            <v>95</v>
          </cell>
          <cell r="J1661">
            <v>23</v>
          </cell>
          <cell r="K1661" t="str">
            <v>W</v>
          </cell>
        </row>
        <row r="1662">
          <cell r="A1662" t="str">
            <v>2023Brian11</v>
          </cell>
          <cell r="D1662" t="str">
            <v>Brian</v>
          </cell>
          <cell r="E1662" t="str">
            <v>Mark</v>
          </cell>
          <cell r="F1662">
            <v>2023</v>
          </cell>
          <cell r="I1662">
            <v>103</v>
          </cell>
          <cell r="J1662">
            <v>25</v>
          </cell>
          <cell r="K1662" t="str">
            <v>W</v>
          </cell>
        </row>
        <row r="1663">
          <cell r="A1663" t="str">
            <v>2023Mark11</v>
          </cell>
          <cell r="D1663" t="str">
            <v>Mark</v>
          </cell>
          <cell r="E1663" t="str">
            <v>Brian</v>
          </cell>
          <cell r="F1663">
            <v>2023</v>
          </cell>
          <cell r="I1663">
            <v>78</v>
          </cell>
          <cell r="J1663">
            <v>-25</v>
          </cell>
          <cell r="K1663" t="str">
            <v>L</v>
          </cell>
        </row>
        <row r="1664">
          <cell r="A1664" t="str">
            <v>2023Brent11</v>
          </cell>
          <cell r="D1664" t="str">
            <v>Brent</v>
          </cell>
          <cell r="E1664" t="str">
            <v>BR</v>
          </cell>
          <cell r="F1664">
            <v>2023</v>
          </cell>
          <cell r="I1664">
            <v>127</v>
          </cell>
          <cell r="J1664">
            <v>26</v>
          </cell>
          <cell r="K1664" t="str">
            <v>W</v>
          </cell>
        </row>
        <row r="1665">
          <cell r="A1665" t="str">
            <v>2023BR11</v>
          </cell>
          <cell r="D1665" t="str">
            <v>BR</v>
          </cell>
          <cell r="E1665" t="str">
            <v>Brent</v>
          </cell>
          <cell r="F1665">
            <v>2023</v>
          </cell>
          <cell r="I1665">
            <v>101</v>
          </cell>
          <cell r="J1665">
            <v>-26</v>
          </cell>
          <cell r="K1665" t="str">
            <v>L</v>
          </cell>
        </row>
        <row r="1666">
          <cell r="A1666" t="str">
            <v>2023Michael12</v>
          </cell>
          <cell r="D1666" t="str">
            <v>Michael</v>
          </cell>
          <cell r="E1666" t="str">
            <v>Brian</v>
          </cell>
          <cell r="F1666">
            <v>2023</v>
          </cell>
          <cell r="I1666">
            <v>109</v>
          </cell>
          <cell r="J1666">
            <v>26</v>
          </cell>
          <cell r="K1666" t="str">
            <v>W</v>
          </cell>
        </row>
        <row r="1667">
          <cell r="A1667" t="str">
            <v>2023Brian12</v>
          </cell>
          <cell r="D1667" t="str">
            <v>Brian</v>
          </cell>
          <cell r="E1667" t="str">
            <v>Michael</v>
          </cell>
          <cell r="F1667">
            <v>2023</v>
          </cell>
          <cell r="I1667">
            <v>83</v>
          </cell>
          <cell r="J1667">
            <v>-26</v>
          </cell>
          <cell r="K1667" t="str">
            <v>L</v>
          </cell>
        </row>
        <row r="1668">
          <cell r="A1668" t="str">
            <v>2023Charles12</v>
          </cell>
          <cell r="D1668" t="str">
            <v>Charles</v>
          </cell>
          <cell r="E1668" t="str">
            <v>Russell</v>
          </cell>
          <cell r="F1668">
            <v>2023</v>
          </cell>
          <cell r="I1668">
            <v>81</v>
          </cell>
          <cell r="J1668">
            <v>-40</v>
          </cell>
          <cell r="K1668" t="str">
            <v>L</v>
          </cell>
        </row>
        <row r="1669">
          <cell r="A1669" t="str">
            <v>2023Russell12</v>
          </cell>
          <cell r="D1669" t="str">
            <v>Russell</v>
          </cell>
          <cell r="E1669" t="str">
            <v>Charles</v>
          </cell>
          <cell r="F1669">
            <v>2023</v>
          </cell>
          <cell r="I1669">
            <v>121</v>
          </cell>
          <cell r="J1669">
            <v>40</v>
          </cell>
          <cell r="K1669" t="str">
            <v>W</v>
          </cell>
        </row>
        <row r="1670">
          <cell r="A1670" t="str">
            <v>2023Arnold12</v>
          </cell>
          <cell r="D1670" t="str">
            <v>Arnold</v>
          </cell>
          <cell r="E1670" t="str">
            <v>David</v>
          </cell>
          <cell r="F1670">
            <v>2023</v>
          </cell>
          <cell r="I1670">
            <v>66</v>
          </cell>
          <cell r="J1670">
            <v>-39</v>
          </cell>
          <cell r="K1670" t="str">
            <v>L</v>
          </cell>
        </row>
        <row r="1671">
          <cell r="A1671" t="str">
            <v>2023David12</v>
          </cell>
          <cell r="D1671" t="str">
            <v>David</v>
          </cell>
          <cell r="E1671" t="str">
            <v>Arnold</v>
          </cell>
          <cell r="F1671">
            <v>2023</v>
          </cell>
          <cell r="I1671">
            <v>105</v>
          </cell>
          <cell r="J1671">
            <v>39</v>
          </cell>
          <cell r="K1671" t="str">
            <v>W</v>
          </cell>
        </row>
        <row r="1672">
          <cell r="A1672" t="str">
            <v>2023Mark12</v>
          </cell>
          <cell r="D1672" t="str">
            <v>Mark</v>
          </cell>
          <cell r="E1672" t="str">
            <v>Emily</v>
          </cell>
          <cell r="F1672">
            <v>2023</v>
          </cell>
          <cell r="I1672">
            <v>78</v>
          </cell>
          <cell r="J1672">
            <v>22</v>
          </cell>
          <cell r="K1672" t="str">
            <v>W</v>
          </cell>
        </row>
        <row r="1673">
          <cell r="A1673" t="str">
            <v>2023Emily12</v>
          </cell>
          <cell r="D1673" t="str">
            <v>Emily</v>
          </cell>
          <cell r="E1673" t="str">
            <v>Mark</v>
          </cell>
          <cell r="F1673">
            <v>2023</v>
          </cell>
          <cell r="I1673">
            <v>56</v>
          </cell>
          <cell r="J1673">
            <v>-22</v>
          </cell>
          <cell r="K1673" t="str">
            <v>L</v>
          </cell>
        </row>
        <row r="1674">
          <cell r="A1674" t="str">
            <v>2023BR12</v>
          </cell>
          <cell r="D1674" t="str">
            <v>BR</v>
          </cell>
          <cell r="E1674" t="str">
            <v>Matt</v>
          </cell>
          <cell r="F1674">
            <v>2023</v>
          </cell>
          <cell r="I1674">
            <v>96</v>
          </cell>
          <cell r="J1674">
            <v>-46</v>
          </cell>
          <cell r="K1674" t="str">
            <v>L</v>
          </cell>
        </row>
        <row r="1675">
          <cell r="A1675" t="str">
            <v>2023Matt12</v>
          </cell>
          <cell r="D1675" t="str">
            <v>Matt</v>
          </cell>
          <cell r="E1675" t="str">
            <v>BR</v>
          </cell>
          <cell r="F1675">
            <v>2023</v>
          </cell>
          <cell r="I1675">
            <v>142</v>
          </cell>
          <cell r="J1675">
            <v>46</v>
          </cell>
          <cell r="K1675" t="str">
            <v>W</v>
          </cell>
        </row>
        <row r="1676">
          <cell r="A1676" t="str">
            <v>2023Watty12</v>
          </cell>
          <cell r="D1676" t="str">
            <v>Watty</v>
          </cell>
          <cell r="E1676" t="str">
            <v>Brent</v>
          </cell>
          <cell r="F1676">
            <v>2023</v>
          </cell>
          <cell r="I1676">
            <v>106</v>
          </cell>
          <cell r="J1676">
            <v>22</v>
          </cell>
          <cell r="K1676" t="str">
            <v>W</v>
          </cell>
        </row>
        <row r="1677">
          <cell r="A1677" t="str">
            <v>2023Brent12</v>
          </cell>
          <cell r="D1677" t="str">
            <v>Brent</v>
          </cell>
          <cell r="E1677" t="str">
            <v>Watty</v>
          </cell>
          <cell r="F1677">
            <v>2023</v>
          </cell>
          <cell r="I1677">
            <v>84</v>
          </cell>
          <cell r="J1677">
            <v>-22</v>
          </cell>
          <cell r="K1677" t="str">
            <v>L</v>
          </cell>
        </row>
        <row r="1678">
          <cell r="A1678" t="str">
            <v>2023Watty13</v>
          </cell>
          <cell r="D1678" t="str">
            <v>Watty</v>
          </cell>
          <cell r="E1678" t="str">
            <v>Michael</v>
          </cell>
          <cell r="F1678">
            <v>2023</v>
          </cell>
          <cell r="I1678">
            <v>140</v>
          </cell>
          <cell r="J1678">
            <v>31</v>
          </cell>
          <cell r="K1678" t="str">
            <v>W</v>
          </cell>
        </row>
        <row r="1679">
          <cell r="A1679" t="str">
            <v>2023Michael13</v>
          </cell>
          <cell r="D1679" t="str">
            <v>Michael</v>
          </cell>
          <cell r="E1679" t="str">
            <v>Watty</v>
          </cell>
          <cell r="F1679">
            <v>2023</v>
          </cell>
          <cell r="I1679">
            <v>109</v>
          </cell>
          <cell r="J1679">
            <v>-31</v>
          </cell>
          <cell r="K1679" t="str">
            <v>L</v>
          </cell>
        </row>
        <row r="1680">
          <cell r="A1680" t="str">
            <v>2023David13</v>
          </cell>
          <cell r="D1680" t="str">
            <v>David</v>
          </cell>
          <cell r="E1680" t="str">
            <v>Brian</v>
          </cell>
          <cell r="F1680">
            <v>2023</v>
          </cell>
          <cell r="I1680">
            <v>100</v>
          </cell>
          <cell r="J1680">
            <v>5</v>
          </cell>
          <cell r="K1680" t="str">
            <v>W</v>
          </cell>
        </row>
        <row r="1681">
          <cell r="A1681" t="str">
            <v>2023Brian13</v>
          </cell>
          <cell r="D1681" t="str">
            <v>Brian</v>
          </cell>
          <cell r="E1681" t="str">
            <v>David</v>
          </cell>
          <cell r="F1681">
            <v>2023</v>
          </cell>
          <cell r="I1681">
            <v>95</v>
          </cell>
          <cell r="J1681">
            <v>-5</v>
          </cell>
          <cell r="K1681" t="str">
            <v>L</v>
          </cell>
        </row>
        <row r="1682">
          <cell r="A1682" t="str">
            <v>2023Russell13</v>
          </cell>
          <cell r="D1682" t="str">
            <v>Russell</v>
          </cell>
          <cell r="E1682" t="str">
            <v>Emily</v>
          </cell>
          <cell r="F1682">
            <v>2023</v>
          </cell>
          <cell r="I1682">
            <v>78</v>
          </cell>
          <cell r="J1682">
            <v>-6</v>
          </cell>
          <cell r="K1682" t="str">
            <v>L</v>
          </cell>
        </row>
        <row r="1683">
          <cell r="A1683" t="str">
            <v>2023Emily13</v>
          </cell>
          <cell r="D1683" t="str">
            <v>Emily</v>
          </cell>
          <cell r="E1683" t="str">
            <v>Russell</v>
          </cell>
          <cell r="F1683">
            <v>2023</v>
          </cell>
          <cell r="I1683">
            <v>84</v>
          </cell>
          <cell r="J1683">
            <v>6</v>
          </cell>
          <cell r="K1683" t="str">
            <v>W</v>
          </cell>
        </row>
        <row r="1684">
          <cell r="A1684" t="str">
            <v>2023Brent13</v>
          </cell>
          <cell r="D1684" t="str">
            <v>Brent</v>
          </cell>
          <cell r="E1684" t="str">
            <v>Matt</v>
          </cell>
          <cell r="F1684">
            <v>2023</v>
          </cell>
          <cell r="I1684">
            <v>74</v>
          </cell>
          <cell r="J1684">
            <v>-32</v>
          </cell>
          <cell r="K1684" t="str">
            <v>L</v>
          </cell>
        </row>
        <row r="1685">
          <cell r="A1685" t="str">
            <v>2023Matt13</v>
          </cell>
          <cell r="D1685" t="str">
            <v>Matt</v>
          </cell>
          <cell r="E1685" t="str">
            <v>Brent</v>
          </cell>
          <cell r="F1685">
            <v>2023</v>
          </cell>
          <cell r="I1685">
            <v>106</v>
          </cell>
          <cell r="J1685">
            <v>32</v>
          </cell>
          <cell r="K1685" t="str">
            <v>W</v>
          </cell>
        </row>
        <row r="1686">
          <cell r="A1686" t="str">
            <v>2023BR13</v>
          </cell>
          <cell r="D1686" t="str">
            <v>BR</v>
          </cell>
          <cell r="E1686" t="str">
            <v>Charles</v>
          </cell>
          <cell r="F1686">
            <v>2023</v>
          </cell>
          <cell r="I1686">
            <v>81</v>
          </cell>
          <cell r="J1686">
            <v>13</v>
          </cell>
          <cell r="K1686" t="str">
            <v>W</v>
          </cell>
        </row>
        <row r="1687">
          <cell r="A1687" t="str">
            <v>2023Charles13</v>
          </cell>
          <cell r="D1687" t="str">
            <v>Charles</v>
          </cell>
          <cell r="E1687" t="str">
            <v>BR</v>
          </cell>
          <cell r="F1687">
            <v>2023</v>
          </cell>
          <cell r="I1687">
            <v>68</v>
          </cell>
          <cell r="J1687">
            <v>-13</v>
          </cell>
          <cell r="K1687" t="str">
            <v>L</v>
          </cell>
        </row>
        <row r="1688">
          <cell r="A1688" t="str">
            <v>2023Mark13</v>
          </cell>
          <cell r="D1688" t="str">
            <v>Mark</v>
          </cell>
          <cell r="E1688" t="str">
            <v>Arnold</v>
          </cell>
          <cell r="F1688">
            <v>2023</v>
          </cell>
          <cell r="I1688">
            <v>110</v>
          </cell>
          <cell r="J1688">
            <v>22</v>
          </cell>
          <cell r="K1688" t="str">
            <v>W</v>
          </cell>
        </row>
        <row r="1689">
          <cell r="A1689" t="str">
            <v>2023Arnold13</v>
          </cell>
          <cell r="D1689" t="str">
            <v>Arnold</v>
          </cell>
          <cell r="E1689" t="str">
            <v>Mark</v>
          </cell>
          <cell r="F1689">
            <v>2023</v>
          </cell>
          <cell r="I1689">
            <v>88</v>
          </cell>
          <cell r="J1689">
            <v>-22</v>
          </cell>
          <cell r="K1689" t="str">
            <v>L</v>
          </cell>
        </row>
        <row r="1690">
          <cell r="A1690" t="str">
            <v>2023Michael14</v>
          </cell>
          <cell r="D1690" t="str">
            <v>Michael</v>
          </cell>
          <cell r="E1690" t="str">
            <v>Arnold</v>
          </cell>
          <cell r="F1690">
            <v>2023</v>
          </cell>
          <cell r="I1690">
            <v>115</v>
          </cell>
          <cell r="J1690">
            <v>57</v>
          </cell>
          <cell r="K1690" t="str">
            <v>W</v>
          </cell>
        </row>
        <row r="1691">
          <cell r="A1691" t="str">
            <v>2023Arnold14</v>
          </cell>
          <cell r="D1691" t="str">
            <v>Arnold</v>
          </cell>
          <cell r="E1691" t="str">
            <v>Michael</v>
          </cell>
          <cell r="F1691">
            <v>2023</v>
          </cell>
          <cell r="I1691">
            <v>58</v>
          </cell>
          <cell r="J1691">
            <v>-57</v>
          </cell>
          <cell r="K1691" t="str">
            <v>L</v>
          </cell>
        </row>
        <row r="1692">
          <cell r="A1692" t="str">
            <v>2023David14</v>
          </cell>
          <cell r="D1692" t="str">
            <v>David</v>
          </cell>
          <cell r="E1692" t="str">
            <v>Russell</v>
          </cell>
          <cell r="F1692">
            <v>2023</v>
          </cell>
          <cell r="I1692">
            <v>70</v>
          </cell>
          <cell r="J1692">
            <v>3</v>
          </cell>
          <cell r="K1692" t="str">
            <v>W</v>
          </cell>
        </row>
        <row r="1693">
          <cell r="A1693" t="str">
            <v>2023Russell14</v>
          </cell>
          <cell r="D1693" t="str">
            <v>Russell</v>
          </cell>
          <cell r="E1693" t="str">
            <v>David</v>
          </cell>
          <cell r="F1693">
            <v>2023</v>
          </cell>
          <cell r="I1693">
            <v>67</v>
          </cell>
          <cell r="J1693">
            <v>-3</v>
          </cell>
          <cell r="K1693" t="str">
            <v>L</v>
          </cell>
        </row>
        <row r="1694">
          <cell r="A1694" t="str">
            <v>2023Brian14</v>
          </cell>
          <cell r="D1694" t="str">
            <v>Brian</v>
          </cell>
          <cell r="E1694" t="str">
            <v>Matt</v>
          </cell>
          <cell r="F1694">
            <v>2023</v>
          </cell>
          <cell r="I1694">
            <v>80</v>
          </cell>
          <cell r="J1694">
            <v>1</v>
          </cell>
          <cell r="K1694" t="str">
            <v>W</v>
          </cell>
        </row>
        <row r="1695">
          <cell r="A1695" t="str">
            <v>2023Matt14</v>
          </cell>
          <cell r="D1695" t="str">
            <v>Matt</v>
          </cell>
          <cell r="E1695" t="str">
            <v>Brian</v>
          </cell>
          <cell r="F1695">
            <v>2023</v>
          </cell>
          <cell r="I1695">
            <v>79</v>
          </cell>
          <cell r="J1695">
            <v>-1</v>
          </cell>
          <cell r="K1695" t="str">
            <v>L</v>
          </cell>
        </row>
        <row r="1696">
          <cell r="A1696" t="str">
            <v>2023Brent14</v>
          </cell>
          <cell r="D1696" t="str">
            <v>Brent</v>
          </cell>
          <cell r="E1696" t="str">
            <v>Emily</v>
          </cell>
          <cell r="F1696">
            <v>2023</v>
          </cell>
          <cell r="I1696">
            <v>58</v>
          </cell>
          <cell r="J1696">
            <v>-30</v>
          </cell>
          <cell r="K1696" t="str">
            <v>L</v>
          </cell>
        </row>
        <row r="1697">
          <cell r="A1697" t="str">
            <v>2023Emily14</v>
          </cell>
          <cell r="D1697" t="str">
            <v>Emily</v>
          </cell>
          <cell r="E1697" t="str">
            <v>Brent</v>
          </cell>
          <cell r="F1697">
            <v>2023</v>
          </cell>
          <cell r="I1697">
            <v>88</v>
          </cell>
          <cell r="J1697">
            <v>30</v>
          </cell>
          <cell r="K1697" t="str">
            <v>W</v>
          </cell>
        </row>
        <row r="1698">
          <cell r="A1698" t="str">
            <v>2023Watty14</v>
          </cell>
          <cell r="D1698" t="str">
            <v>Watty</v>
          </cell>
          <cell r="E1698" t="str">
            <v>BR</v>
          </cell>
          <cell r="F1698">
            <v>2023</v>
          </cell>
          <cell r="I1698">
            <v>103</v>
          </cell>
          <cell r="J1698">
            <v>20</v>
          </cell>
          <cell r="K1698" t="str">
            <v>W</v>
          </cell>
        </row>
        <row r="1699">
          <cell r="A1699" t="str">
            <v>2023BR14</v>
          </cell>
          <cell r="D1699" t="str">
            <v>BR</v>
          </cell>
          <cell r="E1699" t="str">
            <v>Watty</v>
          </cell>
          <cell r="F1699">
            <v>2023</v>
          </cell>
          <cell r="I1699">
            <v>83</v>
          </cell>
          <cell r="J1699">
            <v>-20</v>
          </cell>
          <cell r="K1699" t="str">
            <v>L</v>
          </cell>
        </row>
        <row r="1700">
          <cell r="A1700" t="str">
            <v>2023Mark14</v>
          </cell>
          <cell r="D1700" t="str">
            <v>Mark</v>
          </cell>
          <cell r="E1700" t="str">
            <v>Charles</v>
          </cell>
          <cell r="F1700">
            <v>2023</v>
          </cell>
          <cell r="I1700">
            <v>87</v>
          </cell>
          <cell r="J1700">
            <v>-30</v>
          </cell>
          <cell r="K1700" t="str">
            <v>L</v>
          </cell>
        </row>
        <row r="1701">
          <cell r="A1701" t="str">
            <v>2023Charles14</v>
          </cell>
          <cell r="D1701" t="str">
            <v>Charles</v>
          </cell>
          <cell r="E1701" t="str">
            <v>Mark</v>
          </cell>
          <cell r="F1701">
            <v>2023</v>
          </cell>
          <cell r="I1701">
            <v>117</v>
          </cell>
          <cell r="J1701">
            <v>30</v>
          </cell>
          <cell r="K1701" t="str">
            <v>W</v>
          </cell>
        </row>
        <row r="1702">
          <cell r="A1702" t="str">
            <v>2024Michael1</v>
          </cell>
          <cell r="D1702" t="str">
            <v>Michael</v>
          </cell>
          <cell r="E1702" t="str">
            <v>Matt</v>
          </cell>
          <cell r="F1702">
            <v>2024</v>
          </cell>
          <cell r="I1702">
            <v>121</v>
          </cell>
          <cell r="J1702">
            <v>13</v>
          </cell>
          <cell r="K1702" t="str">
            <v>W</v>
          </cell>
        </row>
        <row r="1703">
          <cell r="A1703" t="str">
            <v>2024Matt1</v>
          </cell>
          <cell r="D1703" t="str">
            <v>Matt</v>
          </cell>
          <cell r="E1703" t="str">
            <v>Michael</v>
          </cell>
          <cell r="F1703">
            <v>2024</v>
          </cell>
          <cell r="I1703">
            <v>108</v>
          </cell>
          <cell r="J1703">
            <v>-13</v>
          </cell>
          <cell r="K1703" t="str">
            <v>L</v>
          </cell>
        </row>
        <row r="1704">
          <cell r="A1704" t="str">
            <v>2024Watty1</v>
          </cell>
          <cell r="D1704" t="str">
            <v>Watty</v>
          </cell>
          <cell r="E1704" t="str">
            <v>Brian</v>
          </cell>
          <cell r="F1704">
            <v>2024</v>
          </cell>
          <cell r="I1704">
            <v>140</v>
          </cell>
          <cell r="J1704">
            <v>21</v>
          </cell>
          <cell r="K1704" t="str">
            <v>W</v>
          </cell>
        </row>
        <row r="1705">
          <cell r="A1705" t="str">
            <v>2024Brian1</v>
          </cell>
          <cell r="D1705" t="str">
            <v>Brian</v>
          </cell>
          <cell r="E1705" t="str">
            <v>Watty</v>
          </cell>
          <cell r="F1705">
            <v>2024</v>
          </cell>
          <cell r="I1705">
            <v>119</v>
          </cell>
          <cell r="J1705">
            <v>-21</v>
          </cell>
          <cell r="K1705" t="str">
            <v>L</v>
          </cell>
        </row>
        <row r="1706">
          <cell r="A1706" t="str">
            <v>2024David1</v>
          </cell>
          <cell r="D1706" t="str">
            <v>David</v>
          </cell>
          <cell r="E1706" t="str">
            <v>Russell</v>
          </cell>
          <cell r="F1706">
            <v>2024</v>
          </cell>
          <cell r="I1706">
            <v>99</v>
          </cell>
          <cell r="J1706">
            <v>-2</v>
          </cell>
          <cell r="K1706" t="str">
            <v>L</v>
          </cell>
        </row>
        <row r="1707">
          <cell r="A1707" t="str">
            <v>2024Russell1</v>
          </cell>
          <cell r="D1707" t="str">
            <v>Russell</v>
          </cell>
          <cell r="E1707" t="str">
            <v>David</v>
          </cell>
          <cell r="F1707">
            <v>2024</v>
          </cell>
          <cell r="I1707">
            <v>101</v>
          </cell>
          <cell r="J1707">
            <v>2</v>
          </cell>
          <cell r="K1707" t="str">
            <v>W</v>
          </cell>
        </row>
        <row r="1708">
          <cell r="A1708" t="str">
            <v>2024Mark1</v>
          </cell>
          <cell r="D1708" t="str">
            <v>Mark</v>
          </cell>
          <cell r="E1708" t="str">
            <v>Jordan</v>
          </cell>
          <cell r="F1708">
            <v>2024</v>
          </cell>
          <cell r="I1708">
            <v>125</v>
          </cell>
          <cell r="J1708">
            <v>13</v>
          </cell>
          <cell r="K1708" t="str">
            <v>W</v>
          </cell>
        </row>
        <row r="1709">
          <cell r="A1709" t="str">
            <v>2024Jordan1</v>
          </cell>
          <cell r="D1709" t="str">
            <v>Jordan</v>
          </cell>
          <cell r="E1709" t="str">
            <v>Mark</v>
          </cell>
          <cell r="F1709">
            <v>2024</v>
          </cell>
          <cell r="I1709">
            <v>112</v>
          </cell>
          <cell r="J1709">
            <v>-13</v>
          </cell>
          <cell r="K1709" t="str">
            <v>L</v>
          </cell>
        </row>
        <row r="1710">
          <cell r="A1710" t="str">
            <v>2024Charles1</v>
          </cell>
          <cell r="D1710" t="str">
            <v>Charles</v>
          </cell>
          <cell r="E1710" t="str">
            <v>BR</v>
          </cell>
          <cell r="F1710">
            <v>2024</v>
          </cell>
          <cell r="I1710">
            <v>80</v>
          </cell>
          <cell r="J1710">
            <v>4</v>
          </cell>
          <cell r="K1710" t="str">
            <v>W</v>
          </cell>
        </row>
        <row r="1711">
          <cell r="A1711" t="str">
            <v>2024BR1</v>
          </cell>
          <cell r="D1711" t="str">
            <v>BR</v>
          </cell>
          <cell r="E1711" t="str">
            <v>Charles</v>
          </cell>
          <cell r="F1711">
            <v>2024</v>
          </cell>
          <cell r="I1711">
            <v>76</v>
          </cell>
          <cell r="J1711">
            <v>-4</v>
          </cell>
          <cell r="K1711" t="str">
            <v>L</v>
          </cell>
        </row>
        <row r="1712">
          <cell r="A1712" t="str">
            <v>2024Brent1</v>
          </cell>
          <cell r="D1712" t="str">
            <v>Brent</v>
          </cell>
          <cell r="E1712" t="str">
            <v>Arnold</v>
          </cell>
          <cell r="F1712">
            <v>2024</v>
          </cell>
          <cell r="I1712">
            <v>108</v>
          </cell>
          <cell r="J1712">
            <v>20</v>
          </cell>
          <cell r="K1712" t="str">
            <v>W</v>
          </cell>
        </row>
        <row r="1713">
          <cell r="A1713" t="str">
            <v>2024Arnold1</v>
          </cell>
          <cell r="D1713" t="str">
            <v>Arnold</v>
          </cell>
          <cell r="E1713" t="str">
            <v>Brent</v>
          </cell>
          <cell r="F1713">
            <v>2024</v>
          </cell>
          <cell r="I1713">
            <v>88</v>
          </cell>
          <cell r="J1713">
            <v>-20</v>
          </cell>
          <cell r="K1713" t="str">
            <v>L</v>
          </cell>
        </row>
        <row r="1714">
          <cell r="A1714" t="str">
            <v>2024Grayson1</v>
          </cell>
          <cell r="D1714" t="str">
            <v>Grayson</v>
          </cell>
          <cell r="E1714" t="str">
            <v>Emily</v>
          </cell>
          <cell r="F1714">
            <v>2024</v>
          </cell>
          <cell r="I1714">
            <v>99</v>
          </cell>
          <cell r="J1714">
            <v>-8</v>
          </cell>
          <cell r="K1714" t="str">
            <v>L</v>
          </cell>
        </row>
        <row r="1715">
          <cell r="A1715" t="str">
            <v>2024Emily1</v>
          </cell>
          <cell r="D1715" t="str">
            <v>Emily</v>
          </cell>
          <cell r="E1715" t="str">
            <v>Grayson</v>
          </cell>
          <cell r="F1715">
            <v>2024</v>
          </cell>
          <cell r="I1715">
            <v>107</v>
          </cell>
          <cell r="J1715">
            <v>8</v>
          </cell>
          <cell r="K1715" t="str">
            <v>W</v>
          </cell>
        </row>
        <row r="1716">
          <cell r="A1716" t="str">
            <v>2024Michael2</v>
          </cell>
          <cell r="D1716" t="str">
            <v>Michael</v>
          </cell>
          <cell r="E1716" t="str">
            <v>David</v>
          </cell>
          <cell r="F1716">
            <v>2024</v>
          </cell>
          <cell r="I1716">
            <v>96</v>
          </cell>
          <cell r="J1716">
            <v>-48</v>
          </cell>
          <cell r="K1716" t="str">
            <v>L</v>
          </cell>
        </row>
        <row r="1717">
          <cell r="A1717" t="str">
            <v>2024David2</v>
          </cell>
          <cell r="D1717" t="str">
            <v>David</v>
          </cell>
          <cell r="E1717" t="str">
            <v>Michael</v>
          </cell>
          <cell r="F1717">
            <v>2024</v>
          </cell>
          <cell r="I1717">
            <v>144</v>
          </cell>
          <cell r="J1717">
            <v>48</v>
          </cell>
          <cell r="K1717" t="str">
            <v>W</v>
          </cell>
        </row>
        <row r="1718">
          <cell r="A1718" t="str">
            <v>2024Russell2</v>
          </cell>
          <cell r="D1718" t="str">
            <v>Russell</v>
          </cell>
          <cell r="E1718" t="str">
            <v>Mark</v>
          </cell>
          <cell r="F1718">
            <v>2024</v>
          </cell>
          <cell r="I1718">
            <v>143</v>
          </cell>
          <cell r="J1718">
            <v>52</v>
          </cell>
          <cell r="K1718" t="str">
            <v>W</v>
          </cell>
        </row>
        <row r="1719">
          <cell r="A1719" t="str">
            <v>2024Mark2</v>
          </cell>
          <cell r="D1719" t="str">
            <v>Mark</v>
          </cell>
          <cell r="E1719" t="str">
            <v>Russell</v>
          </cell>
          <cell r="F1719">
            <v>2024</v>
          </cell>
          <cell r="I1719">
            <v>91</v>
          </cell>
          <cell r="J1719">
            <v>-52</v>
          </cell>
          <cell r="K1719" t="str">
            <v>L</v>
          </cell>
        </row>
        <row r="1720">
          <cell r="A1720" t="str">
            <v>2024Matt2</v>
          </cell>
          <cell r="D1720" t="str">
            <v>Matt</v>
          </cell>
          <cell r="E1720" t="str">
            <v>Brent</v>
          </cell>
          <cell r="F1720">
            <v>2024</v>
          </cell>
          <cell r="I1720">
            <v>86</v>
          </cell>
          <cell r="J1720">
            <v>-17</v>
          </cell>
          <cell r="K1720" t="str">
            <v>L</v>
          </cell>
        </row>
        <row r="1721">
          <cell r="A1721" t="str">
            <v>2024Brent2</v>
          </cell>
          <cell r="D1721" t="str">
            <v>Brent</v>
          </cell>
          <cell r="E1721" t="str">
            <v>Matt</v>
          </cell>
          <cell r="F1721">
            <v>2024</v>
          </cell>
          <cell r="I1721">
            <v>103</v>
          </cell>
          <cell r="J1721">
            <v>17</v>
          </cell>
          <cell r="K1721" t="str">
            <v>W</v>
          </cell>
        </row>
        <row r="1722">
          <cell r="A1722" t="str">
            <v>2024Jordan2</v>
          </cell>
          <cell r="D1722" t="str">
            <v>Jordan</v>
          </cell>
          <cell r="E1722" t="str">
            <v>Grayson</v>
          </cell>
          <cell r="F1722">
            <v>2024</v>
          </cell>
          <cell r="I1722">
            <v>165</v>
          </cell>
          <cell r="J1722">
            <v>36</v>
          </cell>
          <cell r="K1722" t="str">
            <v>W</v>
          </cell>
        </row>
        <row r="1723">
          <cell r="A1723" t="str">
            <v>2024Grayson2</v>
          </cell>
          <cell r="D1723" t="str">
            <v>Grayson</v>
          </cell>
          <cell r="E1723" t="str">
            <v>Jordan</v>
          </cell>
          <cell r="F1723">
            <v>2024</v>
          </cell>
          <cell r="I1723">
            <v>129</v>
          </cell>
          <cell r="J1723">
            <v>-36</v>
          </cell>
          <cell r="K1723" t="str">
            <v>L</v>
          </cell>
        </row>
        <row r="1724">
          <cell r="A1724" t="str">
            <v>2024BR2</v>
          </cell>
          <cell r="D1724" t="str">
            <v>BR</v>
          </cell>
          <cell r="E1724" t="str">
            <v>Watty</v>
          </cell>
          <cell r="F1724">
            <v>2024</v>
          </cell>
          <cell r="I1724">
            <v>86</v>
          </cell>
          <cell r="J1724">
            <v>-33</v>
          </cell>
          <cell r="K1724" t="str">
            <v>L</v>
          </cell>
        </row>
        <row r="1725">
          <cell r="A1725" t="str">
            <v>2024Watty2</v>
          </cell>
          <cell r="D1725" t="str">
            <v>Watty</v>
          </cell>
          <cell r="E1725" t="str">
            <v>BR</v>
          </cell>
          <cell r="F1725">
            <v>2024</v>
          </cell>
          <cell r="I1725">
            <v>119</v>
          </cell>
          <cell r="J1725">
            <v>33</v>
          </cell>
          <cell r="K1725" t="str">
            <v>W</v>
          </cell>
        </row>
        <row r="1726">
          <cell r="A1726" t="str">
            <v>2024Arnold2</v>
          </cell>
          <cell r="D1726" t="str">
            <v>Arnold</v>
          </cell>
          <cell r="E1726" t="str">
            <v>Charles</v>
          </cell>
          <cell r="F1726">
            <v>2024</v>
          </cell>
          <cell r="I1726">
            <v>100</v>
          </cell>
          <cell r="J1726">
            <v>-3</v>
          </cell>
          <cell r="K1726" t="str">
            <v>L</v>
          </cell>
        </row>
        <row r="1727">
          <cell r="A1727" t="str">
            <v>2024Charles2</v>
          </cell>
          <cell r="D1727" t="str">
            <v>Charles</v>
          </cell>
          <cell r="E1727" t="str">
            <v>Arnold</v>
          </cell>
          <cell r="F1727">
            <v>2024</v>
          </cell>
          <cell r="I1727">
            <v>103</v>
          </cell>
          <cell r="J1727">
            <v>3</v>
          </cell>
          <cell r="K1727" t="str">
            <v>W</v>
          </cell>
        </row>
        <row r="1728">
          <cell r="A1728" t="str">
            <v>2024Emily2</v>
          </cell>
          <cell r="D1728" t="str">
            <v>Emily</v>
          </cell>
          <cell r="E1728" t="str">
            <v>Brian</v>
          </cell>
          <cell r="F1728">
            <v>2024</v>
          </cell>
          <cell r="I1728">
            <v>94</v>
          </cell>
          <cell r="J1728">
            <v>10</v>
          </cell>
          <cell r="K1728" t="str">
            <v>W</v>
          </cell>
        </row>
        <row r="1729">
          <cell r="A1729" t="str">
            <v>2024Brian2</v>
          </cell>
          <cell r="D1729" t="str">
            <v>Brian</v>
          </cell>
          <cell r="E1729" t="str">
            <v>Emily</v>
          </cell>
          <cell r="F1729">
            <v>2024</v>
          </cell>
          <cell r="I1729">
            <v>84</v>
          </cell>
          <cell r="J1729">
            <v>-10</v>
          </cell>
          <cell r="K1729" t="str">
            <v>L</v>
          </cell>
        </row>
        <row r="1730">
          <cell r="A1730" t="str">
            <v>2024Mark3</v>
          </cell>
          <cell r="D1730" t="str">
            <v>Mark</v>
          </cell>
          <cell r="E1730" t="str">
            <v>Michael</v>
          </cell>
          <cell r="F1730">
            <v>2024</v>
          </cell>
          <cell r="I1730">
            <v>89</v>
          </cell>
          <cell r="J1730">
            <v>-63</v>
          </cell>
          <cell r="K1730" t="str">
            <v>L</v>
          </cell>
        </row>
        <row r="1731">
          <cell r="A1731" t="str">
            <v>2024Michael3</v>
          </cell>
          <cell r="D1731" t="str">
            <v>Michael</v>
          </cell>
          <cell r="E1731" t="str">
            <v>Mark</v>
          </cell>
          <cell r="F1731">
            <v>2024</v>
          </cell>
          <cell r="I1731">
            <v>152</v>
          </cell>
          <cell r="J1731">
            <v>63</v>
          </cell>
          <cell r="K1731" t="str">
            <v>W</v>
          </cell>
        </row>
        <row r="1732">
          <cell r="A1732" t="str">
            <v>2024David3</v>
          </cell>
          <cell r="D1732" t="str">
            <v>David</v>
          </cell>
          <cell r="E1732" t="str">
            <v>Brent</v>
          </cell>
          <cell r="F1732">
            <v>2024</v>
          </cell>
          <cell r="I1732">
            <v>133</v>
          </cell>
          <cell r="J1732">
            <v>47</v>
          </cell>
          <cell r="K1732" t="str">
            <v>W</v>
          </cell>
        </row>
        <row r="1733">
          <cell r="A1733" t="str">
            <v>2024Brent3</v>
          </cell>
          <cell r="D1733" t="str">
            <v>Brent</v>
          </cell>
          <cell r="E1733" t="str">
            <v>David</v>
          </cell>
          <cell r="F1733">
            <v>2024</v>
          </cell>
          <cell r="I1733">
            <v>86</v>
          </cell>
          <cell r="J1733">
            <v>-47</v>
          </cell>
          <cell r="K1733" t="str">
            <v>L</v>
          </cell>
        </row>
        <row r="1734">
          <cell r="A1734" t="str">
            <v>2024Watty3</v>
          </cell>
          <cell r="D1734" t="str">
            <v>Watty</v>
          </cell>
          <cell r="E1734" t="str">
            <v>Emily</v>
          </cell>
          <cell r="F1734">
            <v>2024</v>
          </cell>
          <cell r="I1734">
            <v>81</v>
          </cell>
          <cell r="J1734">
            <v>-23</v>
          </cell>
          <cell r="K1734" t="str">
            <v>L</v>
          </cell>
        </row>
        <row r="1735">
          <cell r="A1735" t="str">
            <v>2024Emily3</v>
          </cell>
          <cell r="D1735" t="str">
            <v>Emily</v>
          </cell>
          <cell r="E1735" t="str">
            <v>Watty</v>
          </cell>
          <cell r="F1735">
            <v>2024</v>
          </cell>
          <cell r="I1735">
            <v>104</v>
          </cell>
          <cell r="J1735">
            <v>23</v>
          </cell>
          <cell r="K1735" t="str">
            <v>W</v>
          </cell>
        </row>
        <row r="1736">
          <cell r="A1736" t="str">
            <v>2024BR3</v>
          </cell>
          <cell r="D1736" t="str">
            <v>BR</v>
          </cell>
          <cell r="E1736" t="str">
            <v>Arnold</v>
          </cell>
          <cell r="F1736">
            <v>2024</v>
          </cell>
          <cell r="I1736">
            <v>111</v>
          </cell>
          <cell r="J1736">
            <v>22</v>
          </cell>
          <cell r="K1736" t="str">
            <v>W</v>
          </cell>
        </row>
        <row r="1737">
          <cell r="A1737" t="str">
            <v>2024Arnold3</v>
          </cell>
          <cell r="D1737" t="str">
            <v>Arnold</v>
          </cell>
          <cell r="E1737" t="str">
            <v>BR</v>
          </cell>
          <cell r="F1737">
            <v>2024</v>
          </cell>
          <cell r="I1737">
            <v>89</v>
          </cell>
          <cell r="J1737">
            <v>-22</v>
          </cell>
          <cell r="K1737" t="str">
            <v>L</v>
          </cell>
        </row>
        <row r="1738">
          <cell r="A1738" t="str">
            <v>2024Brian3</v>
          </cell>
          <cell r="D1738" t="str">
            <v>Brian</v>
          </cell>
          <cell r="E1738" t="str">
            <v>Jordan</v>
          </cell>
          <cell r="F1738">
            <v>2024</v>
          </cell>
          <cell r="I1738">
            <v>115</v>
          </cell>
          <cell r="J1738">
            <v>34</v>
          </cell>
          <cell r="K1738" t="str">
            <v>W</v>
          </cell>
        </row>
        <row r="1739">
          <cell r="A1739" t="str">
            <v>2024Jordan3</v>
          </cell>
          <cell r="D1739" t="str">
            <v>Jordan</v>
          </cell>
          <cell r="E1739" t="str">
            <v>Brian</v>
          </cell>
          <cell r="F1739">
            <v>2024</v>
          </cell>
          <cell r="I1739">
            <v>81</v>
          </cell>
          <cell r="J1739">
            <v>-34</v>
          </cell>
          <cell r="K1739" t="str">
            <v>L</v>
          </cell>
        </row>
        <row r="1740">
          <cell r="A1740" t="str">
            <v>2024Charles3</v>
          </cell>
          <cell r="D1740" t="str">
            <v>Charles</v>
          </cell>
          <cell r="E1740" t="str">
            <v>Matt</v>
          </cell>
          <cell r="F1740">
            <v>2024</v>
          </cell>
          <cell r="I1740">
            <v>118</v>
          </cell>
          <cell r="J1740">
            <v>20</v>
          </cell>
          <cell r="K1740" t="str">
            <v>W</v>
          </cell>
        </row>
        <row r="1741">
          <cell r="A1741" t="str">
            <v>2024Matt3</v>
          </cell>
          <cell r="D1741" t="str">
            <v>Matt</v>
          </cell>
          <cell r="E1741" t="str">
            <v>Charles</v>
          </cell>
          <cell r="F1741">
            <v>2024</v>
          </cell>
          <cell r="I1741">
            <v>98</v>
          </cell>
          <cell r="J1741">
            <v>-20</v>
          </cell>
          <cell r="K1741" t="str">
            <v>L</v>
          </cell>
        </row>
        <row r="1742">
          <cell r="A1742" t="str">
            <v>2024Grayson3</v>
          </cell>
          <cell r="D1742" t="str">
            <v>Grayson</v>
          </cell>
          <cell r="E1742" t="str">
            <v>Russell</v>
          </cell>
          <cell r="F1742">
            <v>2024</v>
          </cell>
          <cell r="I1742">
            <v>82</v>
          </cell>
          <cell r="J1742">
            <v>-46</v>
          </cell>
          <cell r="K1742" t="str">
            <v>L</v>
          </cell>
        </row>
        <row r="1743">
          <cell r="A1743" t="str">
            <v>2024Russell3</v>
          </cell>
          <cell r="D1743" t="str">
            <v>Russell</v>
          </cell>
          <cell r="E1743" t="str">
            <v>Grayson</v>
          </cell>
          <cell r="F1743">
            <v>2024</v>
          </cell>
          <cell r="I1743">
            <v>128</v>
          </cell>
          <cell r="J1743">
            <v>46</v>
          </cell>
          <cell r="K1743" t="str">
            <v>W</v>
          </cell>
        </row>
        <row r="1744">
          <cell r="A1744" t="str">
            <v>2024Michael4</v>
          </cell>
          <cell r="D1744" t="str">
            <v>Michael</v>
          </cell>
          <cell r="E1744" t="str">
            <v>Grayson</v>
          </cell>
          <cell r="F1744">
            <v>2024</v>
          </cell>
          <cell r="I1744">
            <v>146</v>
          </cell>
          <cell r="J1744">
            <v>31</v>
          </cell>
          <cell r="K1744" t="str">
            <v>W</v>
          </cell>
        </row>
        <row r="1745">
          <cell r="A1745" t="str">
            <v>2024Grayson4</v>
          </cell>
          <cell r="D1745" t="str">
            <v>Grayson</v>
          </cell>
          <cell r="E1745" t="str">
            <v>Michael</v>
          </cell>
          <cell r="F1745">
            <v>2024</v>
          </cell>
          <cell r="I1745">
            <v>115</v>
          </cell>
          <cell r="J1745">
            <v>-31</v>
          </cell>
          <cell r="K1745" t="str">
            <v>L</v>
          </cell>
        </row>
        <row r="1746">
          <cell r="A1746" t="str">
            <v>2024Russell4</v>
          </cell>
          <cell r="D1746" t="str">
            <v>Russell</v>
          </cell>
          <cell r="E1746" t="str">
            <v>Brian</v>
          </cell>
          <cell r="F1746">
            <v>2024</v>
          </cell>
          <cell r="I1746">
            <v>80</v>
          </cell>
          <cell r="J1746">
            <v>12</v>
          </cell>
          <cell r="K1746" t="str">
            <v>W</v>
          </cell>
        </row>
        <row r="1747">
          <cell r="A1747" t="str">
            <v>2024Brian4</v>
          </cell>
          <cell r="D1747" t="str">
            <v>Brian</v>
          </cell>
          <cell r="E1747" t="str">
            <v>Russell</v>
          </cell>
          <cell r="F1747">
            <v>2024</v>
          </cell>
          <cell r="I1747">
            <v>68</v>
          </cell>
          <cell r="J1747">
            <v>-12</v>
          </cell>
          <cell r="K1747" t="str">
            <v>L</v>
          </cell>
        </row>
        <row r="1748">
          <cell r="A1748" t="str">
            <v>2024Arnold4</v>
          </cell>
          <cell r="D1748" t="str">
            <v>Arnold</v>
          </cell>
          <cell r="E1748" t="str">
            <v>Watty</v>
          </cell>
          <cell r="F1748">
            <v>2024</v>
          </cell>
          <cell r="I1748">
            <v>102</v>
          </cell>
          <cell r="J1748">
            <v>12</v>
          </cell>
          <cell r="K1748" t="str">
            <v>W</v>
          </cell>
        </row>
        <row r="1749">
          <cell r="A1749" t="str">
            <v>2024Watty4</v>
          </cell>
          <cell r="D1749" t="str">
            <v>Watty</v>
          </cell>
          <cell r="E1749" t="str">
            <v>Arnold</v>
          </cell>
          <cell r="F1749">
            <v>2024</v>
          </cell>
          <cell r="I1749">
            <v>90</v>
          </cell>
          <cell r="J1749">
            <v>-12</v>
          </cell>
          <cell r="K1749" t="str">
            <v>L</v>
          </cell>
        </row>
        <row r="1750">
          <cell r="A1750" t="str">
            <v>2024Matt4</v>
          </cell>
          <cell r="D1750" t="str">
            <v>Matt</v>
          </cell>
          <cell r="E1750" t="str">
            <v>BR</v>
          </cell>
          <cell r="F1750">
            <v>2024</v>
          </cell>
          <cell r="I1750">
            <v>119</v>
          </cell>
          <cell r="J1750">
            <v>-31</v>
          </cell>
          <cell r="K1750" t="str">
            <v>L</v>
          </cell>
        </row>
        <row r="1751">
          <cell r="A1751" t="str">
            <v>2024BR4</v>
          </cell>
          <cell r="D1751" t="str">
            <v>BR</v>
          </cell>
          <cell r="E1751" t="str">
            <v>Matt</v>
          </cell>
          <cell r="F1751">
            <v>2024</v>
          </cell>
          <cell r="I1751">
            <v>150</v>
          </cell>
          <cell r="J1751">
            <v>31</v>
          </cell>
          <cell r="K1751" t="str">
            <v>W</v>
          </cell>
        </row>
        <row r="1752">
          <cell r="A1752" t="str">
            <v>2024Charles4</v>
          </cell>
          <cell r="D1752" t="str">
            <v>Charles</v>
          </cell>
          <cell r="E1752" t="str">
            <v>David</v>
          </cell>
          <cell r="F1752">
            <v>2024</v>
          </cell>
          <cell r="I1752">
            <v>112</v>
          </cell>
          <cell r="J1752">
            <v>-2</v>
          </cell>
          <cell r="K1752" t="str">
            <v>L</v>
          </cell>
        </row>
        <row r="1753">
          <cell r="A1753" t="str">
            <v>2024David4</v>
          </cell>
          <cell r="D1753" t="str">
            <v>David</v>
          </cell>
          <cell r="E1753" t="str">
            <v>Charles</v>
          </cell>
          <cell r="F1753">
            <v>2024</v>
          </cell>
          <cell r="I1753">
            <v>114</v>
          </cell>
          <cell r="J1753">
            <v>2</v>
          </cell>
          <cell r="K1753" t="str">
            <v>W</v>
          </cell>
        </row>
        <row r="1754">
          <cell r="A1754" t="str">
            <v>2024Brent4</v>
          </cell>
          <cell r="D1754" t="str">
            <v>Brent</v>
          </cell>
          <cell r="E1754" t="str">
            <v>Mark</v>
          </cell>
          <cell r="F1754">
            <v>2024</v>
          </cell>
          <cell r="I1754">
            <v>116</v>
          </cell>
          <cell r="J1754">
            <v>4</v>
          </cell>
          <cell r="K1754" t="str">
            <v>W</v>
          </cell>
        </row>
        <row r="1755">
          <cell r="A1755" t="str">
            <v>2024Mark4</v>
          </cell>
          <cell r="D1755" t="str">
            <v>Mark</v>
          </cell>
          <cell r="E1755" t="str">
            <v>Brent</v>
          </cell>
          <cell r="F1755">
            <v>2024</v>
          </cell>
          <cell r="I1755">
            <v>112</v>
          </cell>
          <cell r="J1755">
            <v>-4</v>
          </cell>
          <cell r="K1755" t="str">
            <v>L</v>
          </cell>
        </row>
        <row r="1756">
          <cell r="A1756" t="str">
            <v>2024Jordan4</v>
          </cell>
          <cell r="D1756" t="str">
            <v>Jordan</v>
          </cell>
          <cell r="E1756" t="str">
            <v>Emily</v>
          </cell>
          <cell r="F1756">
            <v>2024</v>
          </cell>
          <cell r="I1756">
            <v>124</v>
          </cell>
          <cell r="J1756">
            <v>27</v>
          </cell>
          <cell r="K1756" t="str">
            <v>W</v>
          </cell>
        </row>
        <row r="1757">
          <cell r="A1757" t="str">
            <v>2024Emily4</v>
          </cell>
          <cell r="D1757" t="str">
            <v>Emily</v>
          </cell>
          <cell r="E1757" t="str">
            <v>Jordan</v>
          </cell>
          <cell r="F1757">
            <v>2024</v>
          </cell>
          <cell r="I1757">
            <v>97</v>
          </cell>
          <cell r="J1757">
            <v>-27</v>
          </cell>
          <cell r="K1757" t="str">
            <v>L</v>
          </cell>
        </row>
        <row r="1758">
          <cell r="A1758" t="str">
            <v>2024Brian5</v>
          </cell>
          <cell r="D1758" t="str">
            <v>Brian</v>
          </cell>
          <cell r="E1758" t="str">
            <v>Michael</v>
          </cell>
          <cell r="F1758">
            <v>2024</v>
          </cell>
          <cell r="I1758">
            <v>97</v>
          </cell>
          <cell r="J1758">
            <v>6</v>
          </cell>
          <cell r="K1758" t="str">
            <v>W</v>
          </cell>
        </row>
        <row r="1759">
          <cell r="A1759" t="str">
            <v>2024Michael5</v>
          </cell>
          <cell r="D1759" t="str">
            <v>Michael</v>
          </cell>
          <cell r="E1759" t="str">
            <v>Brian</v>
          </cell>
          <cell r="F1759">
            <v>2024</v>
          </cell>
          <cell r="I1759">
            <v>91</v>
          </cell>
          <cell r="J1759">
            <v>-6</v>
          </cell>
          <cell r="K1759" t="str">
            <v>L</v>
          </cell>
        </row>
        <row r="1760">
          <cell r="A1760" t="str">
            <v>2024Emily5</v>
          </cell>
          <cell r="D1760" t="str">
            <v>Emily</v>
          </cell>
          <cell r="E1760" t="str">
            <v>Russell</v>
          </cell>
          <cell r="F1760">
            <v>2024</v>
          </cell>
          <cell r="I1760">
            <v>105</v>
          </cell>
          <cell r="J1760">
            <v>7</v>
          </cell>
          <cell r="K1760" t="str">
            <v>W</v>
          </cell>
        </row>
        <row r="1761">
          <cell r="A1761" t="str">
            <v>2024Russell5</v>
          </cell>
          <cell r="D1761" t="str">
            <v>Russell</v>
          </cell>
          <cell r="E1761" t="str">
            <v>Emily</v>
          </cell>
          <cell r="F1761">
            <v>2024</v>
          </cell>
          <cell r="I1761">
            <v>98</v>
          </cell>
          <cell r="J1761">
            <v>-7</v>
          </cell>
          <cell r="K1761" t="str">
            <v>L</v>
          </cell>
        </row>
        <row r="1762">
          <cell r="A1762" t="str">
            <v>2024Grayson5</v>
          </cell>
          <cell r="D1762" t="str">
            <v>Grayson</v>
          </cell>
          <cell r="E1762" t="str">
            <v>Brent</v>
          </cell>
          <cell r="F1762">
            <v>2024</v>
          </cell>
          <cell r="I1762">
            <v>78</v>
          </cell>
          <cell r="J1762">
            <v>-60</v>
          </cell>
          <cell r="K1762" t="str">
            <v>L</v>
          </cell>
        </row>
        <row r="1763">
          <cell r="A1763" t="str">
            <v>2024Brent5</v>
          </cell>
          <cell r="D1763" t="str">
            <v>Brent</v>
          </cell>
          <cell r="E1763" t="str">
            <v>Grayson</v>
          </cell>
          <cell r="F1763">
            <v>2024</v>
          </cell>
          <cell r="I1763">
            <v>138</v>
          </cell>
          <cell r="J1763">
            <v>60</v>
          </cell>
          <cell r="K1763" t="str">
            <v>W</v>
          </cell>
        </row>
        <row r="1764">
          <cell r="A1764" t="str">
            <v>2024Mark5</v>
          </cell>
          <cell r="D1764" t="str">
            <v>Mark</v>
          </cell>
          <cell r="E1764" t="str">
            <v>Charles</v>
          </cell>
          <cell r="F1764">
            <v>2024</v>
          </cell>
          <cell r="I1764">
            <v>144</v>
          </cell>
          <cell r="J1764">
            <v>-4</v>
          </cell>
          <cell r="K1764" t="str">
            <v>L</v>
          </cell>
        </row>
        <row r="1765">
          <cell r="A1765" t="str">
            <v>2024Charles5</v>
          </cell>
          <cell r="D1765" t="str">
            <v>Charles</v>
          </cell>
          <cell r="E1765" t="str">
            <v>Mark</v>
          </cell>
          <cell r="F1765">
            <v>2024</v>
          </cell>
          <cell r="I1765">
            <v>148</v>
          </cell>
          <cell r="J1765">
            <v>4</v>
          </cell>
          <cell r="K1765" t="str">
            <v>W</v>
          </cell>
        </row>
        <row r="1766">
          <cell r="A1766" t="str">
            <v>2024David5</v>
          </cell>
          <cell r="D1766" t="str">
            <v>David</v>
          </cell>
          <cell r="E1766" t="str">
            <v>BR</v>
          </cell>
          <cell r="F1766">
            <v>2024</v>
          </cell>
          <cell r="I1766">
            <v>106</v>
          </cell>
          <cell r="J1766">
            <v>-5</v>
          </cell>
          <cell r="K1766" t="str">
            <v>L</v>
          </cell>
        </row>
        <row r="1767">
          <cell r="A1767" t="str">
            <v>2024BR5</v>
          </cell>
          <cell r="D1767" t="str">
            <v>BR</v>
          </cell>
          <cell r="E1767" t="str">
            <v>David</v>
          </cell>
          <cell r="F1767">
            <v>2024</v>
          </cell>
          <cell r="I1767">
            <v>111</v>
          </cell>
          <cell r="J1767">
            <v>5</v>
          </cell>
          <cell r="K1767" t="str">
            <v>W</v>
          </cell>
        </row>
        <row r="1768">
          <cell r="A1768" t="str">
            <v>2024Watty5</v>
          </cell>
          <cell r="D1768" t="str">
            <v>Watty</v>
          </cell>
          <cell r="E1768" t="str">
            <v>Jordan</v>
          </cell>
          <cell r="F1768">
            <v>2024</v>
          </cell>
          <cell r="I1768">
            <v>89</v>
          </cell>
          <cell r="J1768">
            <v>1</v>
          </cell>
          <cell r="K1768" t="str">
            <v>W</v>
          </cell>
        </row>
        <row r="1769">
          <cell r="A1769" t="str">
            <v>2024Jordan5</v>
          </cell>
          <cell r="D1769" t="str">
            <v>Jordan</v>
          </cell>
          <cell r="E1769" t="str">
            <v>Watty</v>
          </cell>
          <cell r="F1769">
            <v>2024</v>
          </cell>
          <cell r="I1769">
            <v>88</v>
          </cell>
          <cell r="J1769">
            <v>-1</v>
          </cell>
          <cell r="K1769" t="str">
            <v>L</v>
          </cell>
        </row>
        <row r="1770">
          <cell r="A1770" t="str">
            <v>2024Arnold5</v>
          </cell>
          <cell r="D1770" t="str">
            <v>Arnold</v>
          </cell>
          <cell r="E1770" t="str">
            <v>Matt</v>
          </cell>
          <cell r="F1770">
            <v>2024</v>
          </cell>
          <cell r="I1770">
            <v>161</v>
          </cell>
          <cell r="J1770">
            <v>44</v>
          </cell>
          <cell r="K1770" t="str">
            <v>W</v>
          </cell>
        </row>
        <row r="1771">
          <cell r="A1771" t="str">
            <v>2024Matt5</v>
          </cell>
          <cell r="D1771" t="str">
            <v>Matt</v>
          </cell>
          <cell r="E1771" t="str">
            <v>Arnold</v>
          </cell>
          <cell r="F1771">
            <v>2024</v>
          </cell>
          <cell r="I1771">
            <v>117</v>
          </cell>
          <cell r="J1771">
            <v>-44</v>
          </cell>
          <cell r="K1771" t="str">
            <v>L</v>
          </cell>
        </row>
        <row r="1772">
          <cell r="A1772" t="str">
            <v>2024Michael6</v>
          </cell>
          <cell r="D1772" t="str">
            <v>Michael</v>
          </cell>
          <cell r="E1772" t="str">
            <v>Emily</v>
          </cell>
          <cell r="F1772">
            <v>2024</v>
          </cell>
          <cell r="I1772">
            <v>100</v>
          </cell>
          <cell r="J1772">
            <v>15</v>
          </cell>
          <cell r="K1772" t="str">
            <v>W</v>
          </cell>
        </row>
        <row r="1773">
          <cell r="A1773" t="str">
            <v>2024Emily6</v>
          </cell>
          <cell r="D1773" t="str">
            <v>Emily</v>
          </cell>
          <cell r="E1773" t="str">
            <v>Michael</v>
          </cell>
          <cell r="F1773">
            <v>2024</v>
          </cell>
          <cell r="I1773">
            <v>85</v>
          </cell>
          <cell r="J1773">
            <v>-15</v>
          </cell>
          <cell r="K1773" t="str">
            <v>L</v>
          </cell>
        </row>
        <row r="1774">
          <cell r="A1774" t="str">
            <v>2024Matt6</v>
          </cell>
          <cell r="D1774" t="str">
            <v>Matt</v>
          </cell>
          <cell r="E1774" t="str">
            <v>Watty</v>
          </cell>
          <cell r="F1774">
            <v>2024</v>
          </cell>
          <cell r="I1774">
            <v>75</v>
          </cell>
          <cell r="J1774">
            <v>-48</v>
          </cell>
          <cell r="K1774" t="str">
            <v>L</v>
          </cell>
        </row>
        <row r="1775">
          <cell r="A1775" t="str">
            <v>2024Watty6</v>
          </cell>
          <cell r="D1775" t="str">
            <v>Watty</v>
          </cell>
          <cell r="E1775" t="str">
            <v>Matt</v>
          </cell>
          <cell r="F1775">
            <v>2024</v>
          </cell>
          <cell r="I1775">
            <v>123</v>
          </cell>
          <cell r="J1775">
            <v>48</v>
          </cell>
          <cell r="K1775" t="str">
            <v>W</v>
          </cell>
        </row>
        <row r="1776">
          <cell r="A1776" t="str">
            <v>2024Russell6</v>
          </cell>
          <cell r="D1776" t="str">
            <v>Russell</v>
          </cell>
          <cell r="E1776" t="str">
            <v>Jordan</v>
          </cell>
          <cell r="F1776">
            <v>2024</v>
          </cell>
          <cell r="I1776">
            <v>106</v>
          </cell>
          <cell r="J1776">
            <v>43</v>
          </cell>
          <cell r="K1776" t="str">
            <v>W</v>
          </cell>
        </row>
        <row r="1777">
          <cell r="A1777" t="str">
            <v>2024Jordan6</v>
          </cell>
          <cell r="D1777" t="str">
            <v>Jordan</v>
          </cell>
          <cell r="E1777" t="str">
            <v>Russell</v>
          </cell>
          <cell r="F1777">
            <v>2024</v>
          </cell>
          <cell r="I1777">
            <v>63</v>
          </cell>
          <cell r="J1777">
            <v>-43</v>
          </cell>
          <cell r="K1777" t="str">
            <v>L</v>
          </cell>
        </row>
        <row r="1778">
          <cell r="A1778" t="str">
            <v>2024Arnold6</v>
          </cell>
          <cell r="D1778" t="str">
            <v>Arnold</v>
          </cell>
          <cell r="E1778" t="str">
            <v>David</v>
          </cell>
          <cell r="F1778">
            <v>2024</v>
          </cell>
          <cell r="I1778">
            <v>114</v>
          </cell>
          <cell r="J1778">
            <v>2</v>
          </cell>
          <cell r="K1778" t="str">
            <v>W</v>
          </cell>
        </row>
        <row r="1779">
          <cell r="A1779" t="str">
            <v>2024David6</v>
          </cell>
          <cell r="D1779" t="str">
            <v>David</v>
          </cell>
          <cell r="E1779" t="str">
            <v>Arnold</v>
          </cell>
          <cell r="F1779">
            <v>2024</v>
          </cell>
          <cell r="I1779">
            <v>112</v>
          </cell>
          <cell r="J1779">
            <v>-2</v>
          </cell>
          <cell r="K1779" t="str">
            <v>L</v>
          </cell>
        </row>
        <row r="1780">
          <cell r="A1780" t="str">
            <v>2024Brent6</v>
          </cell>
          <cell r="D1780" t="str">
            <v>Brent</v>
          </cell>
          <cell r="E1780" t="str">
            <v>Brian</v>
          </cell>
          <cell r="F1780">
            <v>2024</v>
          </cell>
          <cell r="I1780">
            <v>96</v>
          </cell>
          <cell r="J1780">
            <v>-1</v>
          </cell>
          <cell r="K1780" t="str">
            <v>L</v>
          </cell>
        </row>
        <row r="1781">
          <cell r="A1781" t="str">
            <v>2024Brian6</v>
          </cell>
          <cell r="D1781" t="str">
            <v>Brian</v>
          </cell>
          <cell r="E1781" t="str">
            <v>Brent</v>
          </cell>
          <cell r="F1781">
            <v>2024</v>
          </cell>
          <cell r="I1781">
            <v>97</v>
          </cell>
          <cell r="J1781">
            <v>1</v>
          </cell>
          <cell r="K1781" t="str">
            <v>W</v>
          </cell>
        </row>
        <row r="1782">
          <cell r="A1782" t="str">
            <v>2024BR6</v>
          </cell>
          <cell r="D1782" t="str">
            <v>BR</v>
          </cell>
          <cell r="E1782" t="str">
            <v>Mark</v>
          </cell>
          <cell r="F1782">
            <v>2024</v>
          </cell>
          <cell r="I1782">
            <v>123</v>
          </cell>
          <cell r="J1782">
            <v>4</v>
          </cell>
          <cell r="K1782" t="str">
            <v>W</v>
          </cell>
        </row>
        <row r="1783">
          <cell r="A1783" t="str">
            <v>2024Mark6</v>
          </cell>
          <cell r="D1783" t="str">
            <v>Mark</v>
          </cell>
          <cell r="E1783" t="str">
            <v>BR</v>
          </cell>
          <cell r="F1783">
            <v>2024</v>
          </cell>
          <cell r="I1783">
            <v>119</v>
          </cell>
          <cell r="J1783">
            <v>-4</v>
          </cell>
          <cell r="K1783" t="str">
            <v>L</v>
          </cell>
        </row>
        <row r="1784">
          <cell r="A1784" t="str">
            <v>2024Charles6</v>
          </cell>
          <cell r="D1784" t="str">
            <v>Charles</v>
          </cell>
          <cell r="E1784" t="str">
            <v>Grayson</v>
          </cell>
          <cell r="F1784">
            <v>2024</v>
          </cell>
          <cell r="I1784">
            <v>99</v>
          </cell>
          <cell r="J1784">
            <v>-24</v>
          </cell>
          <cell r="K1784" t="str">
            <v>L</v>
          </cell>
        </row>
        <row r="1785">
          <cell r="A1785" t="str">
            <v>2024Grayson6</v>
          </cell>
          <cell r="D1785" t="str">
            <v>Grayson</v>
          </cell>
          <cell r="E1785" t="str">
            <v>Charles</v>
          </cell>
          <cell r="F1785">
            <v>2024</v>
          </cell>
          <cell r="I1785">
            <v>123</v>
          </cell>
          <cell r="J1785">
            <v>24</v>
          </cell>
          <cell r="K1785" t="str">
            <v>W</v>
          </cell>
        </row>
        <row r="1786">
          <cell r="A1786" t="str">
            <v>2024Jordan7</v>
          </cell>
          <cell r="D1786" t="str">
            <v>Jordan</v>
          </cell>
          <cell r="E1786" t="str">
            <v>Michael</v>
          </cell>
          <cell r="F1786">
            <v>2024</v>
          </cell>
          <cell r="I1786">
            <v>92</v>
          </cell>
          <cell r="J1786">
            <v>-19</v>
          </cell>
          <cell r="K1786" t="str">
            <v>L</v>
          </cell>
        </row>
        <row r="1787">
          <cell r="A1787" t="str">
            <v>2024Michael7</v>
          </cell>
          <cell r="D1787" t="str">
            <v>Michael</v>
          </cell>
          <cell r="E1787" t="str">
            <v>Jordan</v>
          </cell>
          <cell r="F1787">
            <v>2024</v>
          </cell>
          <cell r="I1787">
            <v>111</v>
          </cell>
          <cell r="J1787">
            <v>19</v>
          </cell>
          <cell r="K1787" t="str">
            <v>W</v>
          </cell>
        </row>
        <row r="1788">
          <cell r="A1788" t="str">
            <v>2024Emily7</v>
          </cell>
          <cell r="D1788" t="str">
            <v>Emily</v>
          </cell>
          <cell r="E1788" t="str">
            <v>Brent</v>
          </cell>
          <cell r="F1788">
            <v>2024</v>
          </cell>
          <cell r="I1788">
            <v>88</v>
          </cell>
          <cell r="J1788">
            <v>22</v>
          </cell>
          <cell r="K1788" t="str">
            <v>W</v>
          </cell>
        </row>
        <row r="1789">
          <cell r="A1789" t="str">
            <v>2024Brent7</v>
          </cell>
          <cell r="D1789" t="str">
            <v>Brent</v>
          </cell>
          <cell r="E1789" t="str">
            <v>Emily</v>
          </cell>
          <cell r="F1789">
            <v>2024</v>
          </cell>
          <cell r="I1789">
            <v>66</v>
          </cell>
          <cell r="J1789">
            <v>-22</v>
          </cell>
          <cell r="K1789" t="str">
            <v>L</v>
          </cell>
        </row>
        <row r="1790">
          <cell r="A1790" t="str">
            <v>2024Grayson7</v>
          </cell>
          <cell r="D1790" t="str">
            <v>Grayson</v>
          </cell>
          <cell r="E1790" t="str">
            <v>BR</v>
          </cell>
          <cell r="F1790">
            <v>2024</v>
          </cell>
          <cell r="I1790">
            <v>108</v>
          </cell>
          <cell r="J1790">
            <v>62</v>
          </cell>
          <cell r="K1790" t="str">
            <v>W</v>
          </cell>
        </row>
        <row r="1791">
          <cell r="A1791" t="str">
            <v>2024BR7</v>
          </cell>
          <cell r="D1791" t="str">
            <v>BR</v>
          </cell>
          <cell r="E1791" t="str">
            <v>Grayson</v>
          </cell>
          <cell r="F1791">
            <v>2024</v>
          </cell>
          <cell r="I1791">
            <v>46</v>
          </cell>
          <cell r="J1791">
            <v>-62</v>
          </cell>
          <cell r="K1791" t="str">
            <v>L</v>
          </cell>
        </row>
        <row r="1792">
          <cell r="A1792" t="str">
            <v>2024Brian7</v>
          </cell>
          <cell r="D1792" t="str">
            <v>Brian</v>
          </cell>
          <cell r="E1792" t="str">
            <v>Charles</v>
          </cell>
          <cell r="F1792">
            <v>2024</v>
          </cell>
          <cell r="I1792">
            <v>95</v>
          </cell>
          <cell r="J1792">
            <v>-18</v>
          </cell>
          <cell r="K1792" t="str">
            <v>L</v>
          </cell>
        </row>
        <row r="1793">
          <cell r="A1793" t="str">
            <v>2024Charles7</v>
          </cell>
          <cell r="D1793" t="str">
            <v>Charles</v>
          </cell>
          <cell r="E1793" t="str">
            <v>Brian</v>
          </cell>
          <cell r="F1793">
            <v>2024</v>
          </cell>
          <cell r="I1793">
            <v>113</v>
          </cell>
          <cell r="J1793">
            <v>18</v>
          </cell>
          <cell r="K1793" t="str">
            <v>W</v>
          </cell>
        </row>
        <row r="1794">
          <cell r="A1794" t="str">
            <v>2024David7</v>
          </cell>
          <cell r="D1794" t="str">
            <v>David</v>
          </cell>
          <cell r="E1794" t="str">
            <v>Matt</v>
          </cell>
          <cell r="F1794">
            <v>2024</v>
          </cell>
          <cell r="I1794">
            <v>114</v>
          </cell>
          <cell r="J1794">
            <v>1</v>
          </cell>
          <cell r="K1794" t="str">
            <v>W</v>
          </cell>
        </row>
        <row r="1795">
          <cell r="A1795" t="str">
            <v>2024Matt7</v>
          </cell>
          <cell r="D1795" t="str">
            <v>Matt</v>
          </cell>
          <cell r="E1795" t="str">
            <v>David</v>
          </cell>
          <cell r="F1795">
            <v>2024</v>
          </cell>
          <cell r="I1795">
            <v>113</v>
          </cell>
          <cell r="J1795">
            <v>-1</v>
          </cell>
          <cell r="K1795" t="str">
            <v>L</v>
          </cell>
        </row>
        <row r="1796">
          <cell r="A1796" t="str">
            <v>2024Watty7</v>
          </cell>
          <cell r="D1796" t="str">
            <v>Watty</v>
          </cell>
          <cell r="E1796" t="str">
            <v>Russell</v>
          </cell>
          <cell r="F1796">
            <v>2024</v>
          </cell>
          <cell r="I1796">
            <v>122</v>
          </cell>
          <cell r="J1796">
            <v>7</v>
          </cell>
          <cell r="K1796" t="str">
            <v>W</v>
          </cell>
        </row>
        <row r="1797">
          <cell r="A1797" t="str">
            <v>2024Russell7</v>
          </cell>
          <cell r="D1797" t="str">
            <v>Russell</v>
          </cell>
          <cell r="E1797" t="str">
            <v>Watty</v>
          </cell>
          <cell r="F1797">
            <v>2024</v>
          </cell>
          <cell r="I1797">
            <v>115</v>
          </cell>
          <cell r="J1797">
            <v>-7</v>
          </cell>
          <cell r="K1797" t="str">
            <v>L</v>
          </cell>
        </row>
        <row r="1798">
          <cell r="A1798" t="str">
            <v>2024Mark7</v>
          </cell>
          <cell r="D1798" t="str">
            <v>Mark</v>
          </cell>
          <cell r="E1798" t="str">
            <v>Arnold</v>
          </cell>
          <cell r="F1798">
            <v>2024</v>
          </cell>
          <cell r="I1798">
            <v>126</v>
          </cell>
          <cell r="J1798">
            <v>46</v>
          </cell>
          <cell r="K1798" t="str">
            <v>W</v>
          </cell>
        </row>
        <row r="1799">
          <cell r="A1799" t="str">
            <v>2024Arnold7</v>
          </cell>
          <cell r="D1799" t="str">
            <v>Arnold</v>
          </cell>
          <cell r="E1799" t="str">
            <v>Mark</v>
          </cell>
          <cell r="F1799">
            <v>2024</v>
          </cell>
          <cell r="I1799">
            <v>80</v>
          </cell>
          <cell r="J1799">
            <v>-46</v>
          </cell>
          <cell r="K1799" t="str">
            <v>L</v>
          </cell>
        </row>
        <row r="1800">
          <cell r="A1800" t="str">
            <v>2024Michael8</v>
          </cell>
          <cell r="D1800" t="str">
            <v>Michael</v>
          </cell>
          <cell r="E1800" t="str">
            <v>Russell</v>
          </cell>
          <cell r="F1800">
            <v>2024</v>
          </cell>
          <cell r="I1800">
            <v>121</v>
          </cell>
          <cell r="J1800">
            <v>-20</v>
          </cell>
          <cell r="K1800" t="str">
            <v>L</v>
          </cell>
        </row>
        <row r="1801">
          <cell r="A1801" t="str">
            <v>2024Russell8</v>
          </cell>
          <cell r="D1801" t="str">
            <v>Russell</v>
          </cell>
          <cell r="E1801" t="str">
            <v>Michael</v>
          </cell>
          <cell r="F1801">
            <v>2024</v>
          </cell>
          <cell r="I1801">
            <v>141</v>
          </cell>
          <cell r="J1801">
            <v>20</v>
          </cell>
          <cell r="K1801" t="str">
            <v>W</v>
          </cell>
        </row>
        <row r="1802">
          <cell r="A1802" t="str">
            <v>2024Brent8</v>
          </cell>
          <cell r="D1802" t="str">
            <v>Brent</v>
          </cell>
          <cell r="E1802" t="str">
            <v>Jordan</v>
          </cell>
          <cell r="F1802">
            <v>2024</v>
          </cell>
          <cell r="I1802">
            <v>100</v>
          </cell>
          <cell r="J1802">
            <v>6</v>
          </cell>
          <cell r="K1802" t="str">
            <v>W</v>
          </cell>
        </row>
        <row r="1803">
          <cell r="A1803" t="str">
            <v>2024Jordan8</v>
          </cell>
          <cell r="D1803" t="str">
            <v>Jordan</v>
          </cell>
          <cell r="E1803" t="str">
            <v>Brent</v>
          </cell>
          <cell r="F1803">
            <v>2024</v>
          </cell>
          <cell r="I1803">
            <v>94</v>
          </cell>
          <cell r="J1803">
            <v>-6</v>
          </cell>
          <cell r="K1803" t="str">
            <v>L</v>
          </cell>
        </row>
        <row r="1804">
          <cell r="A1804" t="str">
            <v>2024David8</v>
          </cell>
          <cell r="D1804" t="str">
            <v>David</v>
          </cell>
          <cell r="E1804" t="str">
            <v>Watty</v>
          </cell>
          <cell r="F1804">
            <v>2024</v>
          </cell>
          <cell r="I1804">
            <v>134</v>
          </cell>
          <cell r="J1804">
            <v>14</v>
          </cell>
          <cell r="K1804" t="str">
            <v>W</v>
          </cell>
        </row>
        <row r="1805">
          <cell r="A1805" t="str">
            <v>2024Watty8</v>
          </cell>
          <cell r="D1805" t="str">
            <v>Watty</v>
          </cell>
          <cell r="E1805" t="str">
            <v>David</v>
          </cell>
          <cell r="F1805">
            <v>2024</v>
          </cell>
          <cell r="I1805">
            <v>120</v>
          </cell>
          <cell r="J1805">
            <v>-14</v>
          </cell>
          <cell r="K1805" t="str">
            <v>L</v>
          </cell>
        </row>
        <row r="1806">
          <cell r="A1806" t="str">
            <v>2024Arnold8</v>
          </cell>
          <cell r="D1806" t="str">
            <v>Arnold</v>
          </cell>
          <cell r="E1806" t="str">
            <v>Grayson</v>
          </cell>
          <cell r="F1806">
            <v>2024</v>
          </cell>
          <cell r="I1806">
            <v>107</v>
          </cell>
          <cell r="J1806">
            <v>9</v>
          </cell>
          <cell r="K1806" t="str">
            <v>W</v>
          </cell>
        </row>
        <row r="1807">
          <cell r="A1807" t="str">
            <v>2024Grayson8</v>
          </cell>
          <cell r="D1807" t="str">
            <v>Grayson</v>
          </cell>
          <cell r="E1807" t="str">
            <v>Arnold</v>
          </cell>
          <cell r="F1807">
            <v>2024</v>
          </cell>
          <cell r="I1807">
            <v>98</v>
          </cell>
          <cell r="J1807">
            <v>-9</v>
          </cell>
          <cell r="K1807" t="str">
            <v>L</v>
          </cell>
        </row>
        <row r="1808">
          <cell r="A1808" t="str">
            <v>2024Charles8</v>
          </cell>
          <cell r="D1808" t="str">
            <v>Charles</v>
          </cell>
          <cell r="E1808" t="str">
            <v>Emily</v>
          </cell>
          <cell r="F1808">
            <v>2024</v>
          </cell>
          <cell r="I1808">
            <v>114</v>
          </cell>
          <cell r="J1808">
            <v>-6</v>
          </cell>
          <cell r="K1808" t="str">
            <v>L</v>
          </cell>
        </row>
        <row r="1809">
          <cell r="A1809" t="str">
            <v>2024Emily8</v>
          </cell>
          <cell r="D1809" t="str">
            <v>Emily</v>
          </cell>
          <cell r="E1809" t="str">
            <v>Charles</v>
          </cell>
          <cell r="F1809">
            <v>2024</v>
          </cell>
          <cell r="I1809">
            <v>120</v>
          </cell>
          <cell r="J1809">
            <v>6</v>
          </cell>
          <cell r="K1809" t="str">
            <v>W</v>
          </cell>
        </row>
        <row r="1810">
          <cell r="A1810" t="str">
            <v>2024BR8</v>
          </cell>
          <cell r="D1810" t="str">
            <v>BR</v>
          </cell>
          <cell r="E1810" t="str">
            <v>Brian</v>
          </cell>
          <cell r="F1810">
            <v>2024</v>
          </cell>
          <cell r="I1810">
            <v>169</v>
          </cell>
          <cell r="J1810">
            <v>60</v>
          </cell>
          <cell r="K1810" t="str">
            <v>W</v>
          </cell>
        </row>
        <row r="1811">
          <cell r="A1811" t="str">
            <v>2024Brian8</v>
          </cell>
          <cell r="D1811" t="str">
            <v>Brian</v>
          </cell>
          <cell r="E1811" t="str">
            <v>BR</v>
          </cell>
          <cell r="F1811">
            <v>2024</v>
          </cell>
          <cell r="I1811">
            <v>109</v>
          </cell>
          <cell r="J1811">
            <v>-60</v>
          </cell>
          <cell r="K1811" t="str">
            <v>L</v>
          </cell>
        </row>
        <row r="1812">
          <cell r="A1812" t="str">
            <v>2024Matt8</v>
          </cell>
          <cell r="D1812" t="str">
            <v>Matt</v>
          </cell>
          <cell r="E1812" t="str">
            <v>Mark</v>
          </cell>
          <cell r="F1812">
            <v>2024</v>
          </cell>
          <cell r="I1812">
            <v>104</v>
          </cell>
          <cell r="J1812">
            <v>-7</v>
          </cell>
          <cell r="K1812" t="str">
            <v>L</v>
          </cell>
        </row>
        <row r="1813">
          <cell r="A1813" t="str">
            <v>2024Mark8</v>
          </cell>
          <cell r="D1813" t="str">
            <v>Mark</v>
          </cell>
          <cell r="E1813" t="str">
            <v>Matt</v>
          </cell>
          <cell r="F1813">
            <v>2024</v>
          </cell>
          <cell r="I1813">
            <v>111</v>
          </cell>
          <cell r="J1813">
            <v>7</v>
          </cell>
          <cell r="K1813" t="str">
            <v>W</v>
          </cell>
        </row>
        <row r="1814">
          <cell r="A1814" t="str">
            <v>2024Watty9</v>
          </cell>
          <cell r="D1814" t="str">
            <v>Watty</v>
          </cell>
          <cell r="E1814" t="str">
            <v>Michael</v>
          </cell>
          <cell r="F1814">
            <v>2024</v>
          </cell>
          <cell r="I1814">
            <v>86</v>
          </cell>
          <cell r="J1814">
            <v>-17</v>
          </cell>
          <cell r="K1814" t="str">
            <v>L</v>
          </cell>
        </row>
        <row r="1815">
          <cell r="A1815" t="str">
            <v>2024Michael9</v>
          </cell>
          <cell r="D1815" t="str">
            <v>Michael</v>
          </cell>
          <cell r="E1815" t="str">
            <v>Watty</v>
          </cell>
          <cell r="F1815">
            <v>2024</v>
          </cell>
          <cell r="I1815">
            <v>103</v>
          </cell>
          <cell r="J1815">
            <v>17</v>
          </cell>
          <cell r="K1815" t="str">
            <v>W</v>
          </cell>
        </row>
        <row r="1816">
          <cell r="A1816" t="str">
            <v>2024Mark9</v>
          </cell>
          <cell r="D1816" t="str">
            <v>Mark</v>
          </cell>
          <cell r="E1816" t="str">
            <v>David</v>
          </cell>
          <cell r="F1816">
            <v>2024</v>
          </cell>
          <cell r="I1816">
            <v>94</v>
          </cell>
          <cell r="J1816">
            <v>-10</v>
          </cell>
          <cell r="K1816" t="str">
            <v>L</v>
          </cell>
        </row>
        <row r="1817">
          <cell r="A1817" t="str">
            <v>2024David9</v>
          </cell>
          <cell r="D1817" t="str">
            <v>David</v>
          </cell>
          <cell r="E1817" t="str">
            <v>Mark</v>
          </cell>
          <cell r="F1817">
            <v>2024</v>
          </cell>
          <cell r="I1817">
            <v>104</v>
          </cell>
          <cell r="J1817">
            <v>10</v>
          </cell>
          <cell r="K1817" t="str">
            <v>W</v>
          </cell>
        </row>
        <row r="1818">
          <cell r="A1818" t="str">
            <v>2024Jordan9</v>
          </cell>
          <cell r="D1818" t="str">
            <v>Jordan</v>
          </cell>
          <cell r="E1818" t="str">
            <v>Charles</v>
          </cell>
          <cell r="F1818">
            <v>2024</v>
          </cell>
          <cell r="I1818">
            <v>101</v>
          </cell>
          <cell r="J1818">
            <v>-13</v>
          </cell>
          <cell r="K1818" t="str">
            <v>L</v>
          </cell>
        </row>
        <row r="1819">
          <cell r="A1819" t="str">
            <v>2024Charles9</v>
          </cell>
          <cell r="D1819" t="str">
            <v>Charles</v>
          </cell>
          <cell r="E1819" t="str">
            <v>Jordan</v>
          </cell>
          <cell r="F1819">
            <v>2024</v>
          </cell>
          <cell r="I1819">
            <v>114</v>
          </cell>
          <cell r="J1819">
            <v>13</v>
          </cell>
          <cell r="K1819" t="str">
            <v>W</v>
          </cell>
        </row>
        <row r="1820">
          <cell r="A1820" t="str">
            <v>2024Brian9</v>
          </cell>
          <cell r="D1820" t="str">
            <v>Brian</v>
          </cell>
          <cell r="E1820" t="str">
            <v>Arnold</v>
          </cell>
          <cell r="F1820">
            <v>2024</v>
          </cell>
          <cell r="I1820">
            <v>75</v>
          </cell>
          <cell r="J1820">
            <v>-50</v>
          </cell>
          <cell r="K1820" t="str">
            <v>L</v>
          </cell>
        </row>
        <row r="1821">
          <cell r="A1821" t="str">
            <v>2024Arnold9</v>
          </cell>
          <cell r="D1821" t="str">
            <v>Arnold</v>
          </cell>
          <cell r="E1821" t="str">
            <v>Brian</v>
          </cell>
          <cell r="F1821">
            <v>2024</v>
          </cell>
          <cell r="I1821">
            <v>125</v>
          </cell>
          <cell r="J1821">
            <v>50</v>
          </cell>
          <cell r="K1821" t="str">
            <v>W</v>
          </cell>
        </row>
        <row r="1822">
          <cell r="A1822" t="str">
            <v>2024Russell9</v>
          </cell>
          <cell r="D1822" t="str">
            <v>Russell</v>
          </cell>
          <cell r="E1822" t="str">
            <v>Brent</v>
          </cell>
          <cell r="F1822">
            <v>2024</v>
          </cell>
          <cell r="I1822">
            <v>113</v>
          </cell>
          <cell r="J1822">
            <v>-10</v>
          </cell>
          <cell r="K1822" t="str">
            <v>L</v>
          </cell>
        </row>
        <row r="1823">
          <cell r="A1823" t="str">
            <v>2024Brent9</v>
          </cell>
          <cell r="D1823" t="str">
            <v>Brent</v>
          </cell>
          <cell r="E1823" t="str">
            <v>Russell</v>
          </cell>
          <cell r="F1823">
            <v>2024</v>
          </cell>
          <cell r="I1823">
            <v>123</v>
          </cell>
          <cell r="J1823">
            <v>10</v>
          </cell>
          <cell r="K1823" t="str">
            <v>W</v>
          </cell>
        </row>
        <row r="1824">
          <cell r="A1824" t="str">
            <v>2024Emily9</v>
          </cell>
          <cell r="D1824" t="str">
            <v>Emily</v>
          </cell>
          <cell r="E1824" t="str">
            <v>BR</v>
          </cell>
          <cell r="F1824">
            <v>2024</v>
          </cell>
          <cell r="I1824">
            <v>151</v>
          </cell>
          <cell r="J1824">
            <v>45</v>
          </cell>
          <cell r="K1824" t="str">
            <v>W</v>
          </cell>
        </row>
        <row r="1825">
          <cell r="A1825" t="str">
            <v>2024BR9</v>
          </cell>
          <cell r="D1825" t="str">
            <v>BR</v>
          </cell>
          <cell r="E1825" t="str">
            <v>Emily</v>
          </cell>
          <cell r="F1825">
            <v>2024</v>
          </cell>
          <cell r="I1825">
            <v>106</v>
          </cell>
          <cell r="J1825">
            <v>-45</v>
          </cell>
          <cell r="K1825" t="str">
            <v>L</v>
          </cell>
        </row>
        <row r="1826">
          <cell r="A1826" t="str">
            <v>2024Grayson9</v>
          </cell>
          <cell r="D1826" t="str">
            <v>Grayson</v>
          </cell>
          <cell r="E1826" t="str">
            <v>Matt</v>
          </cell>
          <cell r="F1826">
            <v>2024</v>
          </cell>
          <cell r="I1826">
            <v>113</v>
          </cell>
          <cell r="J1826">
            <v>-19</v>
          </cell>
          <cell r="K1826" t="str">
            <v>L</v>
          </cell>
        </row>
        <row r="1827">
          <cell r="A1827" t="str">
            <v>2024Matt9</v>
          </cell>
          <cell r="D1827" t="str">
            <v>Matt</v>
          </cell>
          <cell r="E1827" t="str">
            <v>Grayson</v>
          </cell>
          <cell r="F1827">
            <v>2024</v>
          </cell>
          <cell r="I1827">
            <v>132</v>
          </cell>
          <cell r="J1827">
            <v>19</v>
          </cell>
          <cell r="K1827" t="str">
            <v>W</v>
          </cell>
        </row>
        <row r="1828">
          <cell r="A1828" t="str">
            <v>2024Brent10</v>
          </cell>
          <cell r="D1828" t="str">
            <v>Brent</v>
          </cell>
          <cell r="E1828" t="str">
            <v>Michael</v>
          </cell>
          <cell r="F1828">
            <v>2024</v>
          </cell>
          <cell r="I1828">
            <v>95</v>
          </cell>
          <cell r="J1828">
            <v>13</v>
          </cell>
          <cell r="K1828" t="str">
            <v>W</v>
          </cell>
        </row>
        <row r="1829">
          <cell r="A1829" t="str">
            <v>2024Michael10</v>
          </cell>
          <cell r="D1829" t="str">
            <v>Michael</v>
          </cell>
          <cell r="E1829" t="str">
            <v>Brent</v>
          </cell>
          <cell r="F1829">
            <v>2024</v>
          </cell>
          <cell r="I1829">
            <v>82</v>
          </cell>
          <cell r="J1829">
            <v>-13</v>
          </cell>
          <cell r="K1829" t="str">
            <v>L</v>
          </cell>
        </row>
        <row r="1830">
          <cell r="A1830" t="str">
            <v>2024David10</v>
          </cell>
          <cell r="D1830" t="str">
            <v>David</v>
          </cell>
          <cell r="E1830" t="str">
            <v>Grayson</v>
          </cell>
          <cell r="F1830">
            <v>2024</v>
          </cell>
          <cell r="I1830">
            <v>98</v>
          </cell>
          <cell r="J1830">
            <v>5</v>
          </cell>
          <cell r="K1830" t="str">
            <v>W</v>
          </cell>
        </row>
        <row r="1831">
          <cell r="A1831" t="str">
            <v>2024Grayson10</v>
          </cell>
          <cell r="D1831" t="str">
            <v>Grayson</v>
          </cell>
          <cell r="E1831" t="str">
            <v>David</v>
          </cell>
          <cell r="F1831">
            <v>2024</v>
          </cell>
          <cell r="I1831">
            <v>93</v>
          </cell>
          <cell r="J1831">
            <v>-5</v>
          </cell>
          <cell r="K1831" t="str">
            <v>L</v>
          </cell>
        </row>
        <row r="1832">
          <cell r="A1832" t="str">
            <v>2024Mark10</v>
          </cell>
          <cell r="D1832" t="str">
            <v>Mark</v>
          </cell>
          <cell r="E1832" t="str">
            <v>Watty</v>
          </cell>
          <cell r="F1832">
            <v>2024</v>
          </cell>
          <cell r="I1832">
            <v>164</v>
          </cell>
          <cell r="J1832">
            <v>86</v>
          </cell>
          <cell r="K1832" t="str">
            <v>W</v>
          </cell>
        </row>
        <row r="1833">
          <cell r="A1833" t="str">
            <v>2024Watty10</v>
          </cell>
          <cell r="D1833" t="str">
            <v>Watty</v>
          </cell>
          <cell r="E1833" t="str">
            <v>Mark</v>
          </cell>
          <cell r="F1833">
            <v>2024</v>
          </cell>
          <cell r="I1833">
            <v>78</v>
          </cell>
          <cell r="J1833">
            <v>-86</v>
          </cell>
          <cell r="K1833" t="str">
            <v>L</v>
          </cell>
        </row>
        <row r="1834">
          <cell r="A1834" t="str">
            <v>2024Matt10</v>
          </cell>
          <cell r="D1834" t="str">
            <v>Matt</v>
          </cell>
          <cell r="E1834" t="str">
            <v>Brian</v>
          </cell>
          <cell r="F1834">
            <v>2024</v>
          </cell>
          <cell r="I1834">
            <v>77</v>
          </cell>
          <cell r="J1834">
            <v>-37</v>
          </cell>
          <cell r="K1834" t="str">
            <v>L</v>
          </cell>
        </row>
        <row r="1835">
          <cell r="A1835" t="str">
            <v>2024Brian10</v>
          </cell>
          <cell r="D1835" t="str">
            <v>Brian</v>
          </cell>
          <cell r="E1835" t="str">
            <v>Matt</v>
          </cell>
          <cell r="F1835">
            <v>2024</v>
          </cell>
          <cell r="I1835">
            <v>114</v>
          </cell>
          <cell r="J1835">
            <v>37</v>
          </cell>
          <cell r="K1835" t="str">
            <v>W</v>
          </cell>
        </row>
        <row r="1836">
          <cell r="A1836" t="str">
            <v>2024BR10</v>
          </cell>
          <cell r="D1836" t="str">
            <v>BR</v>
          </cell>
          <cell r="E1836" t="str">
            <v>Jordan</v>
          </cell>
          <cell r="F1836">
            <v>2024</v>
          </cell>
          <cell r="I1836">
            <v>93</v>
          </cell>
          <cell r="J1836">
            <v>26</v>
          </cell>
          <cell r="K1836" t="str">
            <v>W</v>
          </cell>
        </row>
        <row r="1837">
          <cell r="A1837" t="str">
            <v>2024Jordan10</v>
          </cell>
          <cell r="D1837" t="str">
            <v>Jordan</v>
          </cell>
          <cell r="E1837" t="str">
            <v>BR</v>
          </cell>
          <cell r="F1837">
            <v>2024</v>
          </cell>
          <cell r="I1837">
            <v>67</v>
          </cell>
          <cell r="J1837">
            <v>-26</v>
          </cell>
          <cell r="K1837" t="str">
            <v>L</v>
          </cell>
        </row>
        <row r="1838">
          <cell r="A1838" t="str">
            <v>2024Charles10</v>
          </cell>
          <cell r="D1838" t="str">
            <v>Charles</v>
          </cell>
          <cell r="E1838" t="str">
            <v>Russell</v>
          </cell>
          <cell r="F1838">
            <v>2024</v>
          </cell>
          <cell r="I1838">
            <v>96</v>
          </cell>
          <cell r="J1838">
            <v>-21</v>
          </cell>
          <cell r="K1838" t="str">
            <v>L</v>
          </cell>
        </row>
        <row r="1839">
          <cell r="A1839" t="str">
            <v>2024Russell10</v>
          </cell>
          <cell r="D1839" t="str">
            <v>Russell</v>
          </cell>
          <cell r="E1839" t="str">
            <v>Charles</v>
          </cell>
          <cell r="F1839">
            <v>2024</v>
          </cell>
          <cell r="I1839">
            <v>117</v>
          </cell>
          <cell r="J1839">
            <v>21</v>
          </cell>
          <cell r="K1839" t="str">
            <v>W</v>
          </cell>
        </row>
        <row r="1840">
          <cell r="A1840" t="str">
            <v>2024Arnold10</v>
          </cell>
          <cell r="D1840" t="str">
            <v>Arnold</v>
          </cell>
          <cell r="E1840" t="str">
            <v>Emily</v>
          </cell>
          <cell r="F1840">
            <v>2024</v>
          </cell>
          <cell r="I1840">
            <v>133</v>
          </cell>
          <cell r="J1840">
            <v>22</v>
          </cell>
          <cell r="K1840" t="str">
            <v>W</v>
          </cell>
        </row>
        <row r="1841">
          <cell r="A1841" t="str">
            <v>2024Emily10</v>
          </cell>
          <cell r="D1841" t="str">
            <v>Emily</v>
          </cell>
          <cell r="E1841" t="str">
            <v>Arnold</v>
          </cell>
          <cell r="F1841">
            <v>2024</v>
          </cell>
          <cell r="I1841">
            <v>111</v>
          </cell>
          <cell r="J1841">
            <v>-22</v>
          </cell>
          <cell r="K1841" t="str">
            <v>L</v>
          </cell>
        </row>
        <row r="1842">
          <cell r="A1842" t="str">
            <v>2024Michael11</v>
          </cell>
          <cell r="D1842" t="str">
            <v>Michael</v>
          </cell>
          <cell r="E1842" t="str">
            <v>Charles</v>
          </cell>
          <cell r="F1842">
            <v>2024</v>
          </cell>
          <cell r="I1842">
            <v>110</v>
          </cell>
          <cell r="J1842">
            <v>15</v>
          </cell>
          <cell r="K1842" t="str">
            <v>W</v>
          </cell>
        </row>
        <row r="1843">
          <cell r="A1843" t="str">
            <v>2024Charles11</v>
          </cell>
          <cell r="D1843" t="str">
            <v>Charles</v>
          </cell>
          <cell r="E1843" t="str">
            <v>Michael</v>
          </cell>
          <cell r="F1843">
            <v>2024</v>
          </cell>
          <cell r="I1843">
            <v>95</v>
          </cell>
          <cell r="J1843">
            <v>-15</v>
          </cell>
          <cell r="K1843" t="str">
            <v>L</v>
          </cell>
        </row>
        <row r="1844">
          <cell r="A1844" t="str">
            <v>2024Grayson11</v>
          </cell>
          <cell r="D1844" t="str">
            <v>Grayson</v>
          </cell>
          <cell r="E1844" t="str">
            <v>Mark</v>
          </cell>
          <cell r="F1844">
            <v>2024</v>
          </cell>
          <cell r="I1844">
            <v>131</v>
          </cell>
          <cell r="J1844">
            <v>29</v>
          </cell>
          <cell r="K1844" t="str">
            <v>W</v>
          </cell>
        </row>
        <row r="1845">
          <cell r="A1845" t="str">
            <v>2024Mark11</v>
          </cell>
          <cell r="D1845" t="str">
            <v>Mark</v>
          </cell>
          <cell r="E1845" t="str">
            <v>Grayson</v>
          </cell>
          <cell r="F1845">
            <v>2024</v>
          </cell>
          <cell r="I1845">
            <v>102</v>
          </cell>
          <cell r="J1845">
            <v>-29</v>
          </cell>
          <cell r="K1845" t="str">
            <v>L</v>
          </cell>
        </row>
        <row r="1846">
          <cell r="A1846" t="str">
            <v>2024Brian11</v>
          </cell>
          <cell r="D1846" t="str">
            <v>Brian</v>
          </cell>
          <cell r="E1846" t="str">
            <v>David</v>
          </cell>
          <cell r="F1846">
            <v>2024</v>
          </cell>
          <cell r="I1846">
            <v>132</v>
          </cell>
          <cell r="J1846">
            <v>2</v>
          </cell>
          <cell r="K1846" t="str">
            <v>W</v>
          </cell>
        </row>
        <row r="1847">
          <cell r="A1847" t="str">
            <v>2024David11</v>
          </cell>
          <cell r="D1847" t="str">
            <v>David</v>
          </cell>
          <cell r="E1847" t="str">
            <v>Brian</v>
          </cell>
          <cell r="F1847">
            <v>2024</v>
          </cell>
          <cell r="I1847">
            <v>130</v>
          </cell>
          <cell r="J1847">
            <v>-2</v>
          </cell>
          <cell r="K1847" t="str">
            <v>L</v>
          </cell>
        </row>
        <row r="1848">
          <cell r="A1848" t="str">
            <v>2024Watty11</v>
          </cell>
          <cell r="D1848" t="str">
            <v>Watty</v>
          </cell>
          <cell r="E1848" t="str">
            <v>Brent</v>
          </cell>
          <cell r="F1848">
            <v>2024</v>
          </cell>
          <cell r="I1848">
            <v>110</v>
          </cell>
          <cell r="J1848">
            <v>19</v>
          </cell>
          <cell r="K1848" t="str">
            <v>W</v>
          </cell>
        </row>
        <row r="1849">
          <cell r="A1849" t="str">
            <v>2024Brent11</v>
          </cell>
          <cell r="D1849" t="str">
            <v>Brent</v>
          </cell>
          <cell r="E1849" t="str">
            <v>Watty</v>
          </cell>
          <cell r="F1849">
            <v>2024</v>
          </cell>
          <cell r="I1849">
            <v>91</v>
          </cell>
          <cell r="J1849">
            <v>-19</v>
          </cell>
          <cell r="K1849" t="str">
            <v>L</v>
          </cell>
        </row>
        <row r="1850">
          <cell r="A1850" t="str">
            <v>2024Emily11</v>
          </cell>
          <cell r="D1850" t="str">
            <v>Emily</v>
          </cell>
          <cell r="E1850" t="str">
            <v>Matt</v>
          </cell>
          <cell r="F1850">
            <v>2024</v>
          </cell>
          <cell r="I1850">
            <v>120</v>
          </cell>
          <cell r="J1850">
            <v>9</v>
          </cell>
          <cell r="K1850" t="str">
            <v>W</v>
          </cell>
        </row>
        <row r="1851">
          <cell r="A1851" t="str">
            <v>2024Matt11</v>
          </cell>
          <cell r="D1851" t="str">
            <v>Matt</v>
          </cell>
          <cell r="E1851" t="str">
            <v>Emily</v>
          </cell>
          <cell r="F1851">
            <v>2024</v>
          </cell>
          <cell r="I1851">
            <v>111</v>
          </cell>
          <cell r="J1851">
            <v>-9</v>
          </cell>
          <cell r="K1851" t="str">
            <v>L</v>
          </cell>
        </row>
        <row r="1852">
          <cell r="A1852" t="str">
            <v>2024Jordan11</v>
          </cell>
          <cell r="D1852" t="str">
            <v>Jordan</v>
          </cell>
          <cell r="E1852" t="str">
            <v>Arnold</v>
          </cell>
          <cell r="F1852">
            <v>2024</v>
          </cell>
          <cell r="I1852">
            <v>96</v>
          </cell>
          <cell r="J1852">
            <v>-31</v>
          </cell>
          <cell r="K1852" t="str">
            <v>L</v>
          </cell>
        </row>
        <row r="1853">
          <cell r="A1853" t="str">
            <v>2024Arnold11</v>
          </cell>
          <cell r="D1853" t="str">
            <v>Arnold</v>
          </cell>
          <cell r="E1853" t="str">
            <v>Jordan</v>
          </cell>
          <cell r="F1853">
            <v>2024</v>
          </cell>
          <cell r="I1853">
            <v>127</v>
          </cell>
          <cell r="J1853">
            <v>31</v>
          </cell>
          <cell r="K1853" t="str">
            <v>W</v>
          </cell>
        </row>
        <row r="1854">
          <cell r="A1854" t="str">
            <v>2024Russell11</v>
          </cell>
          <cell r="D1854" t="str">
            <v>Russell</v>
          </cell>
          <cell r="E1854" t="str">
            <v>BR</v>
          </cell>
          <cell r="F1854">
            <v>2024</v>
          </cell>
          <cell r="I1854">
            <v>117</v>
          </cell>
          <cell r="J1854">
            <v>22</v>
          </cell>
          <cell r="K1854" t="str">
            <v>W</v>
          </cell>
        </row>
        <row r="1855">
          <cell r="A1855" t="str">
            <v>2024BR11</v>
          </cell>
          <cell r="D1855" t="str">
            <v>BR</v>
          </cell>
          <cell r="E1855" t="str">
            <v>Russell</v>
          </cell>
          <cell r="F1855">
            <v>2024</v>
          </cell>
          <cell r="I1855">
            <v>95</v>
          </cell>
          <cell r="J1855">
            <v>-22</v>
          </cell>
          <cell r="K1855" t="str">
            <v>L</v>
          </cell>
        </row>
        <row r="1856">
          <cell r="A1856" t="str">
            <v>2024BR12</v>
          </cell>
          <cell r="D1856" t="str">
            <v>BR</v>
          </cell>
          <cell r="E1856" t="str">
            <v>Michael</v>
          </cell>
          <cell r="F1856">
            <v>2024</v>
          </cell>
          <cell r="I1856">
            <v>122</v>
          </cell>
          <cell r="J1856">
            <v>22</v>
          </cell>
          <cell r="K1856" t="str">
            <v>W</v>
          </cell>
        </row>
        <row r="1857">
          <cell r="A1857" t="str">
            <v>2024Michael12</v>
          </cell>
          <cell r="D1857" t="str">
            <v>Michael</v>
          </cell>
          <cell r="E1857" t="str">
            <v>BR</v>
          </cell>
          <cell r="F1857">
            <v>2024</v>
          </cell>
          <cell r="I1857">
            <v>100</v>
          </cell>
          <cell r="J1857">
            <v>-22</v>
          </cell>
          <cell r="K1857" t="str">
            <v>L</v>
          </cell>
        </row>
        <row r="1858">
          <cell r="A1858" t="str">
            <v>2024Mark12</v>
          </cell>
          <cell r="D1858" t="str">
            <v>Mark</v>
          </cell>
          <cell r="E1858" t="str">
            <v>Brian</v>
          </cell>
          <cell r="F1858">
            <v>2024</v>
          </cell>
          <cell r="I1858">
            <v>126</v>
          </cell>
          <cell r="J1858">
            <v>60</v>
          </cell>
          <cell r="K1858" t="str">
            <v>W</v>
          </cell>
        </row>
        <row r="1859">
          <cell r="A1859" t="str">
            <v>2024Brian12</v>
          </cell>
          <cell r="D1859" t="str">
            <v>Brian</v>
          </cell>
          <cell r="E1859" t="str">
            <v>Mark</v>
          </cell>
          <cell r="F1859">
            <v>2024</v>
          </cell>
          <cell r="I1859">
            <v>66</v>
          </cell>
          <cell r="J1859">
            <v>-60</v>
          </cell>
          <cell r="K1859" t="str">
            <v>L</v>
          </cell>
        </row>
        <row r="1860">
          <cell r="A1860" t="str">
            <v>2024David12</v>
          </cell>
          <cell r="D1860" t="str">
            <v>David</v>
          </cell>
          <cell r="E1860" t="str">
            <v>Emily</v>
          </cell>
          <cell r="F1860">
            <v>2024</v>
          </cell>
          <cell r="I1860">
            <v>85</v>
          </cell>
          <cell r="J1860">
            <v>-8</v>
          </cell>
          <cell r="K1860" t="str">
            <v>L</v>
          </cell>
        </row>
        <row r="1861">
          <cell r="A1861" t="str">
            <v>2024Emily12</v>
          </cell>
          <cell r="D1861" t="str">
            <v>Emily</v>
          </cell>
          <cell r="E1861" t="str">
            <v>David</v>
          </cell>
          <cell r="F1861">
            <v>2024</v>
          </cell>
          <cell r="I1861">
            <v>93</v>
          </cell>
          <cell r="J1861">
            <v>8</v>
          </cell>
          <cell r="K1861" t="str">
            <v>W</v>
          </cell>
        </row>
        <row r="1862">
          <cell r="A1862" t="str">
            <v>2024Arnold12</v>
          </cell>
          <cell r="D1862" t="str">
            <v>Arnold</v>
          </cell>
          <cell r="E1862" t="str">
            <v>Russell</v>
          </cell>
          <cell r="F1862">
            <v>2024</v>
          </cell>
          <cell r="I1862">
            <v>136</v>
          </cell>
          <cell r="J1862">
            <v>33</v>
          </cell>
          <cell r="K1862" t="str">
            <v>W</v>
          </cell>
        </row>
        <row r="1863">
          <cell r="A1863" t="str">
            <v>2024Russell12</v>
          </cell>
          <cell r="D1863" t="str">
            <v>Russell</v>
          </cell>
          <cell r="E1863" t="str">
            <v>Arnold</v>
          </cell>
          <cell r="F1863">
            <v>2024</v>
          </cell>
          <cell r="I1863">
            <v>103</v>
          </cell>
          <cell r="J1863">
            <v>-33</v>
          </cell>
          <cell r="K1863" t="str">
            <v>L</v>
          </cell>
        </row>
        <row r="1864">
          <cell r="A1864" t="str">
            <v>2024Matt12</v>
          </cell>
          <cell r="D1864" t="str">
            <v>Matt</v>
          </cell>
          <cell r="E1864" t="str">
            <v>Jordan</v>
          </cell>
          <cell r="F1864">
            <v>2024</v>
          </cell>
          <cell r="I1864">
            <v>156</v>
          </cell>
          <cell r="J1864">
            <v>55</v>
          </cell>
          <cell r="K1864" t="str">
            <v>W</v>
          </cell>
        </row>
        <row r="1865">
          <cell r="A1865" t="str">
            <v>2024Jordan12</v>
          </cell>
          <cell r="D1865" t="str">
            <v>Jordan</v>
          </cell>
          <cell r="E1865" t="str">
            <v>Matt</v>
          </cell>
          <cell r="F1865">
            <v>2024</v>
          </cell>
          <cell r="I1865">
            <v>101</v>
          </cell>
          <cell r="J1865">
            <v>-55</v>
          </cell>
          <cell r="K1865" t="str">
            <v>L</v>
          </cell>
        </row>
        <row r="1866">
          <cell r="A1866" t="str">
            <v>2024Grayson12</v>
          </cell>
          <cell r="D1866" t="str">
            <v>Grayson</v>
          </cell>
          <cell r="E1866" t="str">
            <v>Watty</v>
          </cell>
          <cell r="F1866">
            <v>2024</v>
          </cell>
          <cell r="I1866">
            <v>71</v>
          </cell>
          <cell r="J1866">
            <v>-46</v>
          </cell>
          <cell r="K1866" t="str">
            <v>L</v>
          </cell>
        </row>
        <row r="1867">
          <cell r="A1867" t="str">
            <v>2024Watty12</v>
          </cell>
          <cell r="D1867" t="str">
            <v>Watty</v>
          </cell>
          <cell r="E1867" t="str">
            <v>Grayson</v>
          </cell>
          <cell r="F1867">
            <v>2024</v>
          </cell>
          <cell r="I1867">
            <v>117</v>
          </cell>
          <cell r="J1867">
            <v>46</v>
          </cell>
          <cell r="K1867" t="str">
            <v>W</v>
          </cell>
        </row>
        <row r="1868">
          <cell r="A1868" t="str">
            <v>2024Charles12</v>
          </cell>
          <cell r="D1868" t="str">
            <v>Charles</v>
          </cell>
          <cell r="E1868" t="str">
            <v>Brent</v>
          </cell>
          <cell r="F1868">
            <v>2024</v>
          </cell>
          <cell r="I1868">
            <v>159</v>
          </cell>
          <cell r="J1868">
            <v>53</v>
          </cell>
          <cell r="K1868" t="str">
            <v>W</v>
          </cell>
        </row>
        <row r="1869">
          <cell r="A1869" t="str">
            <v>2024Brent12</v>
          </cell>
          <cell r="D1869" t="str">
            <v>Brent</v>
          </cell>
          <cell r="E1869" t="str">
            <v>Charles</v>
          </cell>
          <cell r="F1869">
            <v>2024</v>
          </cell>
          <cell r="I1869">
            <v>106</v>
          </cell>
          <cell r="J1869">
            <v>-53</v>
          </cell>
          <cell r="K1869" t="str">
            <v>L</v>
          </cell>
        </row>
        <row r="1870">
          <cell r="A1870" t="str">
            <v>2024Michael13</v>
          </cell>
          <cell r="D1870" t="str">
            <v>Michael</v>
          </cell>
          <cell r="E1870" t="str">
            <v>Arnold</v>
          </cell>
          <cell r="F1870">
            <v>2024</v>
          </cell>
          <cell r="I1870">
            <v>110</v>
          </cell>
          <cell r="J1870">
            <v>-16</v>
          </cell>
          <cell r="K1870" t="str">
            <v>L</v>
          </cell>
        </row>
        <row r="1871">
          <cell r="A1871" t="str">
            <v>2024Arnold13</v>
          </cell>
          <cell r="D1871" t="str">
            <v>Arnold</v>
          </cell>
          <cell r="E1871" t="str">
            <v>Michael</v>
          </cell>
          <cell r="F1871">
            <v>2024</v>
          </cell>
          <cell r="I1871">
            <v>126</v>
          </cell>
          <cell r="J1871">
            <v>16</v>
          </cell>
          <cell r="K1871" t="str">
            <v>W</v>
          </cell>
        </row>
        <row r="1872">
          <cell r="A1872" t="str">
            <v>2024Jordan13</v>
          </cell>
          <cell r="D1872" t="str">
            <v>Jordan</v>
          </cell>
          <cell r="E1872" t="str">
            <v>David</v>
          </cell>
          <cell r="F1872">
            <v>2024</v>
          </cell>
          <cell r="I1872">
            <v>114</v>
          </cell>
          <cell r="J1872">
            <v>-6</v>
          </cell>
          <cell r="K1872" t="str">
            <v>L</v>
          </cell>
        </row>
        <row r="1873">
          <cell r="A1873" t="str">
            <v>2024David13</v>
          </cell>
          <cell r="D1873" t="str">
            <v>David</v>
          </cell>
          <cell r="E1873" t="str">
            <v>Jordan</v>
          </cell>
          <cell r="F1873">
            <v>2024</v>
          </cell>
          <cell r="I1873">
            <v>120</v>
          </cell>
          <cell r="J1873">
            <v>6</v>
          </cell>
          <cell r="K1873" t="str">
            <v>W</v>
          </cell>
        </row>
        <row r="1874">
          <cell r="A1874" t="str">
            <v>2024Brian13</v>
          </cell>
          <cell r="D1874" t="str">
            <v>Brian</v>
          </cell>
          <cell r="E1874" t="str">
            <v>Grayson</v>
          </cell>
          <cell r="F1874">
            <v>2024</v>
          </cell>
          <cell r="I1874">
            <v>97</v>
          </cell>
          <cell r="J1874">
            <v>9</v>
          </cell>
          <cell r="K1874" t="str">
            <v>W</v>
          </cell>
        </row>
        <row r="1875">
          <cell r="A1875" t="str">
            <v>2024Grayson13</v>
          </cell>
          <cell r="D1875" t="str">
            <v>Grayson</v>
          </cell>
          <cell r="E1875" t="str">
            <v>Brian</v>
          </cell>
          <cell r="F1875">
            <v>2024</v>
          </cell>
          <cell r="I1875">
            <v>88</v>
          </cell>
          <cell r="J1875">
            <v>-9</v>
          </cell>
          <cell r="K1875" t="str">
            <v>L</v>
          </cell>
        </row>
        <row r="1876">
          <cell r="A1876" t="str">
            <v>2024Emily13</v>
          </cell>
          <cell r="D1876" t="str">
            <v>Emily</v>
          </cell>
          <cell r="E1876" t="str">
            <v>Mark</v>
          </cell>
          <cell r="F1876">
            <v>2024</v>
          </cell>
          <cell r="I1876">
            <v>127</v>
          </cell>
          <cell r="J1876">
            <v>-2</v>
          </cell>
          <cell r="K1876" t="str">
            <v>L</v>
          </cell>
        </row>
        <row r="1877">
          <cell r="A1877" t="str">
            <v>2024Mark13</v>
          </cell>
          <cell r="D1877" t="str">
            <v>Mark</v>
          </cell>
          <cell r="E1877" t="str">
            <v>Emily</v>
          </cell>
          <cell r="F1877">
            <v>2024</v>
          </cell>
          <cell r="I1877">
            <v>129</v>
          </cell>
          <cell r="J1877">
            <v>2</v>
          </cell>
          <cell r="K1877" t="str">
            <v>W</v>
          </cell>
        </row>
        <row r="1878">
          <cell r="A1878" t="str">
            <v>2024Brent13</v>
          </cell>
          <cell r="D1878" t="str">
            <v>Brent</v>
          </cell>
          <cell r="E1878" t="str">
            <v>BR</v>
          </cell>
          <cell r="F1878">
            <v>2024</v>
          </cell>
          <cell r="I1878">
            <v>109</v>
          </cell>
          <cell r="J1878">
            <v>-10</v>
          </cell>
          <cell r="K1878" t="str">
            <v>L</v>
          </cell>
        </row>
        <row r="1879">
          <cell r="A1879" t="str">
            <v>2024BR13</v>
          </cell>
          <cell r="D1879" t="str">
            <v>BR</v>
          </cell>
          <cell r="E1879" t="str">
            <v>Brent</v>
          </cell>
          <cell r="F1879">
            <v>2024</v>
          </cell>
          <cell r="I1879">
            <v>119</v>
          </cell>
          <cell r="J1879">
            <v>10</v>
          </cell>
          <cell r="K1879" t="str">
            <v>W</v>
          </cell>
        </row>
        <row r="1880">
          <cell r="A1880" t="str">
            <v>2024Watty13</v>
          </cell>
          <cell r="D1880" t="str">
            <v>Watty</v>
          </cell>
          <cell r="E1880" t="str">
            <v>Charles</v>
          </cell>
          <cell r="F1880">
            <v>2024</v>
          </cell>
          <cell r="I1880">
            <v>100</v>
          </cell>
          <cell r="J1880">
            <v>-39</v>
          </cell>
          <cell r="K1880" t="str">
            <v>L</v>
          </cell>
        </row>
        <row r="1881">
          <cell r="A1881" t="str">
            <v>2024Charles13</v>
          </cell>
          <cell r="D1881" t="str">
            <v>Charles</v>
          </cell>
          <cell r="E1881" t="str">
            <v>Watty</v>
          </cell>
          <cell r="F1881">
            <v>2024</v>
          </cell>
          <cell r="I1881">
            <v>139</v>
          </cell>
          <cell r="J1881">
            <v>39</v>
          </cell>
          <cell r="K1881" t="str">
            <v>W</v>
          </cell>
        </row>
        <row r="1882">
          <cell r="A1882" t="str">
            <v>2024Russell13</v>
          </cell>
          <cell r="D1882" t="str">
            <v>Russell</v>
          </cell>
          <cell r="E1882" t="str">
            <v>Matt</v>
          </cell>
          <cell r="F1882">
            <v>2024</v>
          </cell>
          <cell r="I1882">
            <v>101</v>
          </cell>
          <cell r="J1882">
            <v>-18</v>
          </cell>
          <cell r="K1882" t="str">
            <v>L</v>
          </cell>
        </row>
        <row r="1883">
          <cell r="A1883" t="str">
            <v>2024Matt13</v>
          </cell>
          <cell r="D1883" t="str">
            <v>Matt</v>
          </cell>
          <cell r="E1883" t="str">
            <v>Russell</v>
          </cell>
          <cell r="F1883">
            <v>2024</v>
          </cell>
          <cell r="I1883">
            <v>119</v>
          </cell>
          <cell r="J1883">
            <v>18</v>
          </cell>
          <cell r="K1883" t="str">
            <v>W</v>
          </cell>
        </row>
        <row r="1884">
          <cell r="A1884" t="str">
            <v>2024Watty14</v>
          </cell>
          <cell r="D1884" t="str">
            <v>Watty</v>
          </cell>
          <cell r="E1884" t="str">
            <v>Michael</v>
          </cell>
          <cell r="F1884">
            <v>2024</v>
          </cell>
          <cell r="I1884">
            <v>111</v>
          </cell>
          <cell r="J1884">
            <v>3</v>
          </cell>
          <cell r="K1884" t="str">
            <v>W</v>
          </cell>
        </row>
        <row r="1885">
          <cell r="A1885" t="str">
            <v>2024Michael14</v>
          </cell>
          <cell r="D1885" t="str">
            <v>Michael</v>
          </cell>
          <cell r="E1885" t="str">
            <v>Watty</v>
          </cell>
          <cell r="F1885">
            <v>2024</v>
          </cell>
          <cell r="I1885">
            <v>108</v>
          </cell>
          <cell r="J1885">
            <v>-3</v>
          </cell>
          <cell r="K1885" t="str">
            <v>L</v>
          </cell>
        </row>
        <row r="1886">
          <cell r="A1886" t="str">
            <v>2024Russell14</v>
          </cell>
          <cell r="D1886" t="str">
            <v>Russell</v>
          </cell>
          <cell r="E1886" t="str">
            <v>Emily</v>
          </cell>
          <cell r="F1886">
            <v>2024</v>
          </cell>
          <cell r="I1886">
            <v>91</v>
          </cell>
          <cell r="J1886">
            <v>-62</v>
          </cell>
          <cell r="K1886" t="str">
            <v>L</v>
          </cell>
        </row>
        <row r="1887">
          <cell r="A1887" t="str">
            <v>2024Emily14</v>
          </cell>
          <cell r="D1887" t="str">
            <v>Emily</v>
          </cell>
          <cell r="E1887" t="str">
            <v>Russell</v>
          </cell>
          <cell r="F1887">
            <v>2024</v>
          </cell>
          <cell r="I1887">
            <v>153</v>
          </cell>
          <cell r="J1887">
            <v>62</v>
          </cell>
          <cell r="K1887" t="str">
            <v>W</v>
          </cell>
        </row>
        <row r="1888">
          <cell r="A1888" t="str">
            <v>2024David14</v>
          </cell>
          <cell r="D1888" t="str">
            <v>David</v>
          </cell>
          <cell r="E1888" t="str">
            <v>Matt</v>
          </cell>
          <cell r="F1888">
            <v>2024</v>
          </cell>
          <cell r="I1888">
            <v>107</v>
          </cell>
          <cell r="J1888">
            <v>30</v>
          </cell>
          <cell r="K1888" t="str">
            <v>W</v>
          </cell>
        </row>
        <row r="1889">
          <cell r="A1889" t="str">
            <v>2024Matt14</v>
          </cell>
          <cell r="D1889" t="str">
            <v>Matt</v>
          </cell>
          <cell r="E1889" t="str">
            <v>David</v>
          </cell>
          <cell r="F1889">
            <v>2024</v>
          </cell>
          <cell r="I1889">
            <v>77</v>
          </cell>
          <cell r="J1889">
            <v>-30</v>
          </cell>
          <cell r="K1889" t="str">
            <v>L</v>
          </cell>
        </row>
        <row r="1890">
          <cell r="A1890" t="str">
            <v>2024Mark14</v>
          </cell>
          <cell r="D1890" t="str">
            <v>Mark</v>
          </cell>
          <cell r="E1890" t="str">
            <v>Brian</v>
          </cell>
          <cell r="F1890">
            <v>2024</v>
          </cell>
          <cell r="I1890">
            <v>62</v>
          </cell>
          <cell r="J1890">
            <v>-67</v>
          </cell>
          <cell r="K1890" t="str">
            <v>L</v>
          </cell>
        </row>
        <row r="1891">
          <cell r="A1891" t="str">
            <v>2024Brian14</v>
          </cell>
          <cell r="D1891" t="str">
            <v>Brian</v>
          </cell>
          <cell r="E1891" t="str">
            <v>Mark</v>
          </cell>
          <cell r="F1891">
            <v>2024</v>
          </cell>
          <cell r="I1891">
            <v>129</v>
          </cell>
          <cell r="J1891">
            <v>67</v>
          </cell>
          <cell r="K1891" t="str">
            <v>W</v>
          </cell>
        </row>
        <row r="1892">
          <cell r="A1892" t="str">
            <v>2024Arnold14</v>
          </cell>
          <cell r="D1892" t="str">
            <v>Arnold</v>
          </cell>
          <cell r="E1892" t="str">
            <v>Charles</v>
          </cell>
          <cell r="F1892">
            <v>2024</v>
          </cell>
          <cell r="I1892">
            <v>96</v>
          </cell>
          <cell r="J1892">
            <v>-48</v>
          </cell>
          <cell r="K1892" t="str">
            <v>L</v>
          </cell>
        </row>
        <row r="1893">
          <cell r="A1893" t="str">
            <v>2024Charles14</v>
          </cell>
          <cell r="D1893" t="str">
            <v>Charles</v>
          </cell>
          <cell r="E1893" t="str">
            <v>Arnold</v>
          </cell>
          <cell r="F1893">
            <v>2024</v>
          </cell>
          <cell r="I1893">
            <v>144</v>
          </cell>
          <cell r="J1893">
            <v>48</v>
          </cell>
          <cell r="K1893" t="str">
            <v>W</v>
          </cell>
        </row>
        <row r="1894">
          <cell r="A1894" t="str">
            <v>2024Grayson14</v>
          </cell>
          <cell r="D1894" t="str">
            <v>Grayson</v>
          </cell>
          <cell r="E1894" t="str">
            <v>Jordan</v>
          </cell>
          <cell r="F1894">
            <v>2024</v>
          </cell>
          <cell r="I1894">
            <v>139</v>
          </cell>
          <cell r="J1894">
            <v>33</v>
          </cell>
          <cell r="K1894" t="str">
            <v>W</v>
          </cell>
        </row>
        <row r="1895">
          <cell r="A1895" t="str">
            <v>2024Jordan14</v>
          </cell>
          <cell r="D1895" t="str">
            <v>Jordan</v>
          </cell>
          <cell r="E1895" t="str">
            <v>Grayson</v>
          </cell>
          <cell r="F1895">
            <v>2024</v>
          </cell>
          <cell r="I1895">
            <v>106</v>
          </cell>
          <cell r="J1895">
            <v>-33</v>
          </cell>
          <cell r="K1895" t="str">
            <v>L</v>
          </cell>
        </row>
        <row r="1896">
          <cell r="A1896" t="str">
            <v>2024Brent14</v>
          </cell>
          <cell r="D1896" t="str">
            <v>Brent</v>
          </cell>
          <cell r="E1896" t="str">
            <v>BR</v>
          </cell>
          <cell r="F1896">
            <v>2024</v>
          </cell>
          <cell r="I1896">
            <v>115</v>
          </cell>
          <cell r="J1896">
            <v>64</v>
          </cell>
          <cell r="K1896" t="str">
            <v>W</v>
          </cell>
        </row>
        <row r="1897">
          <cell r="A1897" t="str">
            <v>2024BR14</v>
          </cell>
          <cell r="D1897" t="str">
            <v>BR</v>
          </cell>
          <cell r="E1897" t="str">
            <v>Brent</v>
          </cell>
          <cell r="F1897">
            <v>2024</v>
          </cell>
          <cell r="I1897">
            <v>51</v>
          </cell>
          <cell r="J1897">
            <v>-64</v>
          </cell>
          <cell r="K1897" t="str">
            <v>L</v>
          </cell>
        </row>
        <row r="1898">
          <cell r="A1898" t="str">
            <v>2025Michael1</v>
          </cell>
          <cell r="D1898" t="str">
            <v>Michael</v>
          </cell>
          <cell r="E1898" t="str">
            <v>Emily</v>
          </cell>
          <cell r="F1898">
            <v>2025</v>
          </cell>
          <cell r="I1898">
            <v>104</v>
          </cell>
          <cell r="J1898">
            <v>18</v>
          </cell>
          <cell r="K1898" t="str">
            <v>W</v>
          </cell>
        </row>
        <row r="1899">
          <cell r="A1899" t="str">
            <v>2025Emily1</v>
          </cell>
          <cell r="D1899" t="str">
            <v>Emily</v>
          </cell>
          <cell r="E1899" t="str">
            <v>Michael</v>
          </cell>
          <cell r="F1899">
            <v>2025</v>
          </cell>
          <cell r="I1899">
            <v>86</v>
          </cell>
          <cell r="J1899">
            <v>-18</v>
          </cell>
          <cell r="K1899" t="str">
            <v>L</v>
          </cell>
        </row>
        <row r="1900">
          <cell r="A1900" t="str">
            <v>2025Charles1</v>
          </cell>
          <cell r="D1900" t="str">
            <v>Charles</v>
          </cell>
          <cell r="E1900" t="str">
            <v>David</v>
          </cell>
          <cell r="F1900">
            <v>2025</v>
          </cell>
          <cell r="I1900">
            <v>91</v>
          </cell>
          <cell r="J1900">
            <v>-1</v>
          </cell>
          <cell r="K1900" t="str">
            <v>L</v>
          </cell>
        </row>
        <row r="1901">
          <cell r="A1901" t="str">
            <v>2025David1</v>
          </cell>
          <cell r="D1901" t="str">
            <v>David</v>
          </cell>
          <cell r="E1901" t="str">
            <v>Charles</v>
          </cell>
          <cell r="F1901">
            <v>2025</v>
          </cell>
          <cell r="I1901">
            <v>92</v>
          </cell>
          <cell r="J1901">
            <v>1</v>
          </cell>
          <cell r="K1901" t="str">
            <v>W</v>
          </cell>
        </row>
        <row r="1902">
          <cell r="A1902" t="str">
            <v>2025Grayson1</v>
          </cell>
          <cell r="D1902" t="str">
            <v>Grayson</v>
          </cell>
          <cell r="E1902" t="str">
            <v>Russell</v>
          </cell>
          <cell r="F1902">
            <v>2025</v>
          </cell>
          <cell r="I1902">
            <v>118</v>
          </cell>
          <cell r="J1902">
            <v>16</v>
          </cell>
          <cell r="K1902" t="str">
            <v>W</v>
          </cell>
        </row>
        <row r="1903">
          <cell r="A1903" t="str">
            <v>2025Russell1</v>
          </cell>
          <cell r="D1903" t="str">
            <v>Russell</v>
          </cell>
          <cell r="E1903" t="str">
            <v>Grayson</v>
          </cell>
          <cell r="F1903">
            <v>2025</v>
          </cell>
          <cell r="I1903">
            <v>102</v>
          </cell>
          <cell r="J1903">
            <v>-16</v>
          </cell>
          <cell r="K1903" t="str">
            <v>L</v>
          </cell>
        </row>
        <row r="1904">
          <cell r="A1904" t="str">
            <v>2025Brent1</v>
          </cell>
          <cell r="D1904" t="str">
            <v>Brent</v>
          </cell>
          <cell r="E1904" t="str">
            <v>Matt</v>
          </cell>
          <cell r="F1904">
            <v>2025</v>
          </cell>
          <cell r="I1904">
            <v>81</v>
          </cell>
          <cell r="J1904">
            <v>-3</v>
          </cell>
          <cell r="K1904" t="str">
            <v>L</v>
          </cell>
        </row>
        <row r="1905">
          <cell r="A1905" t="str">
            <v>2025Matt1</v>
          </cell>
          <cell r="D1905" t="str">
            <v>Matt</v>
          </cell>
          <cell r="E1905" t="str">
            <v>Brent</v>
          </cell>
          <cell r="F1905">
            <v>2025</v>
          </cell>
          <cell r="I1905">
            <v>84</v>
          </cell>
          <cell r="J1905">
            <v>3</v>
          </cell>
          <cell r="K1905" t="str">
            <v>W</v>
          </cell>
        </row>
        <row r="1906">
          <cell r="A1906" t="str">
            <v>2025Jordan1</v>
          </cell>
          <cell r="D1906" t="str">
            <v>Jordan</v>
          </cell>
          <cell r="E1906" t="str">
            <v>BR</v>
          </cell>
          <cell r="F1906">
            <v>2025</v>
          </cell>
          <cell r="I1906">
            <v>121</v>
          </cell>
          <cell r="J1906">
            <v>1</v>
          </cell>
          <cell r="K1906" t="str">
            <v>W</v>
          </cell>
        </row>
        <row r="1907">
          <cell r="A1907" t="str">
            <v>2025BR1</v>
          </cell>
          <cell r="D1907" t="str">
            <v>BR</v>
          </cell>
          <cell r="E1907" t="str">
            <v>Jordan</v>
          </cell>
          <cell r="F1907">
            <v>2025</v>
          </cell>
          <cell r="I1907">
            <v>120</v>
          </cell>
          <cell r="J1907">
            <v>-1</v>
          </cell>
          <cell r="K1907" t="str">
            <v>L</v>
          </cell>
        </row>
        <row r="1908">
          <cell r="A1908" t="str">
            <v>2025Mark1</v>
          </cell>
          <cell r="D1908" t="str">
            <v>Mark</v>
          </cell>
          <cell r="E1908" t="str">
            <v>Brian</v>
          </cell>
          <cell r="F1908">
            <v>2025</v>
          </cell>
          <cell r="I1908">
            <v>117</v>
          </cell>
          <cell r="J1908">
            <v>47</v>
          </cell>
          <cell r="K1908" t="str">
            <v>W</v>
          </cell>
        </row>
        <row r="1909">
          <cell r="A1909" t="str">
            <v>2025Brian1</v>
          </cell>
          <cell r="D1909" t="str">
            <v>Brian</v>
          </cell>
          <cell r="E1909" t="str">
            <v>Mark</v>
          </cell>
          <cell r="F1909">
            <v>2025</v>
          </cell>
          <cell r="I1909">
            <v>70</v>
          </cell>
          <cell r="J1909">
            <v>-47</v>
          </cell>
          <cell r="K1909" t="str">
            <v>L</v>
          </cell>
        </row>
        <row r="1910">
          <cell r="A1910" t="str">
            <v>2025Watty1</v>
          </cell>
          <cell r="D1910" t="str">
            <v>Watty</v>
          </cell>
          <cell r="E1910" t="str">
            <v>Arnold</v>
          </cell>
          <cell r="F1910">
            <v>2025</v>
          </cell>
          <cell r="I1910">
            <v>96</v>
          </cell>
          <cell r="J1910">
            <v>-8</v>
          </cell>
          <cell r="K1910" t="str">
            <v>L</v>
          </cell>
        </row>
        <row r="1911">
          <cell r="A1911" t="str">
            <v>2025Arnold1</v>
          </cell>
          <cell r="D1911" t="str">
            <v>Arnold</v>
          </cell>
          <cell r="E1911" t="str">
            <v>Watty</v>
          </cell>
          <cell r="F1911">
            <v>2025</v>
          </cell>
          <cell r="I1911">
            <v>104</v>
          </cell>
          <cell r="J1911">
            <v>8</v>
          </cell>
          <cell r="K1911" t="str">
            <v>W</v>
          </cell>
        </row>
        <row r="1912">
          <cell r="A1912" t="str">
            <v>2025Brian2</v>
          </cell>
          <cell r="D1912" t="str">
            <v>Brian</v>
          </cell>
          <cell r="E1912" t="str">
            <v>Michael</v>
          </cell>
          <cell r="F1912">
            <v>2025</v>
          </cell>
          <cell r="I1912">
            <v>89</v>
          </cell>
          <cell r="J1912">
            <v>-30</v>
          </cell>
          <cell r="K1912" t="str">
            <v>L</v>
          </cell>
        </row>
        <row r="1913">
          <cell r="A1913" t="str">
            <v>2025Michael2</v>
          </cell>
          <cell r="D1913" t="str">
            <v>Michael</v>
          </cell>
          <cell r="E1913" t="str">
            <v>Brian</v>
          </cell>
          <cell r="F1913">
            <v>2025</v>
          </cell>
          <cell r="I1913">
            <v>119</v>
          </cell>
          <cell r="J1913">
            <v>30</v>
          </cell>
          <cell r="K1913" t="str">
            <v>W</v>
          </cell>
        </row>
        <row r="1914">
          <cell r="A1914" t="str">
            <v>2025Arnold2</v>
          </cell>
          <cell r="D1914" t="str">
            <v>Arnold</v>
          </cell>
          <cell r="E1914" t="str">
            <v>Charles</v>
          </cell>
          <cell r="F1914">
            <v>2025</v>
          </cell>
          <cell r="I1914">
            <v>72</v>
          </cell>
          <cell r="J1914">
            <v>-43</v>
          </cell>
          <cell r="K1914" t="str">
            <v>L</v>
          </cell>
        </row>
        <row r="1915">
          <cell r="A1915" t="str">
            <v>2025Charles2</v>
          </cell>
          <cell r="D1915" t="str">
            <v>Charles</v>
          </cell>
          <cell r="E1915" t="str">
            <v>Arnold</v>
          </cell>
          <cell r="F1915">
            <v>2025</v>
          </cell>
          <cell r="I1915">
            <v>115</v>
          </cell>
          <cell r="J1915">
            <v>43</v>
          </cell>
          <cell r="K1915" t="str">
            <v>W</v>
          </cell>
        </row>
        <row r="1916">
          <cell r="A1916" t="str">
            <v>2025Brent2</v>
          </cell>
          <cell r="D1916" t="str">
            <v>Brent</v>
          </cell>
          <cell r="E1916" t="str">
            <v>Grayson</v>
          </cell>
          <cell r="F1916">
            <v>2025</v>
          </cell>
          <cell r="I1916">
            <v>141</v>
          </cell>
          <cell r="J1916">
            <v>46</v>
          </cell>
          <cell r="K1916" t="str">
            <v>W</v>
          </cell>
        </row>
        <row r="1917">
          <cell r="A1917" t="str">
            <v>2025Grayson2</v>
          </cell>
          <cell r="D1917" t="str">
            <v>Grayson</v>
          </cell>
          <cell r="E1917" t="str">
            <v>Brent</v>
          </cell>
          <cell r="F1917">
            <v>2025</v>
          </cell>
          <cell r="I1917">
            <v>95</v>
          </cell>
          <cell r="J1917">
            <v>-46</v>
          </cell>
          <cell r="K1917" t="str">
            <v>L</v>
          </cell>
        </row>
        <row r="1918">
          <cell r="A1918" t="str">
            <v>2025David2</v>
          </cell>
          <cell r="D1918" t="str">
            <v>David</v>
          </cell>
          <cell r="E1918" t="str">
            <v>Emily</v>
          </cell>
          <cell r="F1918">
            <v>2025</v>
          </cell>
          <cell r="I1918">
            <v>156</v>
          </cell>
          <cell r="J1918">
            <v>44</v>
          </cell>
          <cell r="K1918" t="str">
            <v>W</v>
          </cell>
        </row>
        <row r="1919">
          <cell r="A1919" t="str">
            <v>2025Emily2</v>
          </cell>
          <cell r="D1919" t="str">
            <v>Emily</v>
          </cell>
          <cell r="E1919" t="str">
            <v>David</v>
          </cell>
          <cell r="F1919">
            <v>2025</v>
          </cell>
          <cell r="I1919">
            <v>112</v>
          </cell>
          <cell r="J1919">
            <v>-44</v>
          </cell>
          <cell r="K1919" t="str">
            <v>L</v>
          </cell>
        </row>
        <row r="1920">
          <cell r="A1920" t="str">
            <v>2025Matt2</v>
          </cell>
          <cell r="D1920" t="str">
            <v>Matt</v>
          </cell>
          <cell r="E1920" t="str">
            <v>Jordan</v>
          </cell>
          <cell r="F1920">
            <v>2025</v>
          </cell>
          <cell r="I1920">
            <v>119</v>
          </cell>
          <cell r="J1920">
            <v>-7</v>
          </cell>
          <cell r="K1920" t="str">
            <v>L</v>
          </cell>
        </row>
        <row r="1921">
          <cell r="A1921" t="str">
            <v>2025Jordan2</v>
          </cell>
          <cell r="D1921" t="str">
            <v>Jordan</v>
          </cell>
          <cell r="E1921" t="str">
            <v>Matt</v>
          </cell>
          <cell r="F1921">
            <v>2025</v>
          </cell>
          <cell r="I1921">
            <v>126</v>
          </cell>
          <cell r="J1921">
            <v>7</v>
          </cell>
          <cell r="K1921" t="str">
            <v>W</v>
          </cell>
        </row>
        <row r="1922">
          <cell r="A1922" t="str">
            <v>2025BR2</v>
          </cell>
          <cell r="D1922" t="str">
            <v>BR</v>
          </cell>
          <cell r="E1922" t="str">
            <v>Mark</v>
          </cell>
          <cell r="F1922">
            <v>2025</v>
          </cell>
          <cell r="I1922">
            <v>116</v>
          </cell>
          <cell r="J1922">
            <v>53</v>
          </cell>
          <cell r="K1922" t="str">
            <v>W</v>
          </cell>
        </row>
        <row r="1923">
          <cell r="A1923" t="str">
            <v>2025Mark2</v>
          </cell>
          <cell r="D1923" t="str">
            <v>Mark</v>
          </cell>
          <cell r="E1923" t="str">
            <v>BR</v>
          </cell>
          <cell r="F1923">
            <v>2025</v>
          </cell>
          <cell r="I1923">
            <v>63</v>
          </cell>
          <cell r="J1923">
            <v>-53</v>
          </cell>
          <cell r="K1923" t="str">
            <v>L</v>
          </cell>
        </row>
        <row r="1924">
          <cell r="A1924" t="str">
            <v>2025Russell2</v>
          </cell>
          <cell r="D1924" t="str">
            <v>Russell</v>
          </cell>
          <cell r="E1924" t="str">
            <v>Watty</v>
          </cell>
          <cell r="F1924">
            <v>2025</v>
          </cell>
          <cell r="I1924">
            <v>97</v>
          </cell>
          <cell r="J1924">
            <v>19</v>
          </cell>
          <cell r="K1924" t="str">
            <v>W</v>
          </cell>
        </row>
        <row r="1925">
          <cell r="A1925" t="str">
            <v>2025Watty2</v>
          </cell>
          <cell r="D1925" t="str">
            <v>Watty</v>
          </cell>
          <cell r="E1925" t="str">
            <v>Russell</v>
          </cell>
          <cell r="F1925">
            <v>2025</v>
          </cell>
          <cell r="I1925">
            <v>78</v>
          </cell>
          <cell r="J1925">
            <v>-19</v>
          </cell>
          <cell r="K1925" t="str">
            <v>L</v>
          </cell>
        </row>
        <row r="1926">
          <cell r="A1926" t="str">
            <v>2025Michael3</v>
          </cell>
          <cell r="D1926" t="str">
            <v>Michael</v>
          </cell>
          <cell r="E1926" t="str">
            <v>David</v>
          </cell>
          <cell r="F1926">
            <v>2025</v>
          </cell>
          <cell r="I1926">
            <v>91</v>
          </cell>
          <cell r="J1926">
            <v>-60</v>
          </cell>
          <cell r="K1926" t="str">
            <v>L</v>
          </cell>
        </row>
        <row r="1927">
          <cell r="A1927" t="str">
            <v>2025David3</v>
          </cell>
          <cell r="D1927" t="str">
            <v>David</v>
          </cell>
          <cell r="E1927" t="str">
            <v>Michael</v>
          </cell>
          <cell r="F1927">
            <v>2025</v>
          </cell>
          <cell r="I1927">
            <v>151</v>
          </cell>
          <cell r="J1927">
            <v>60</v>
          </cell>
          <cell r="K1927" t="str">
            <v>W</v>
          </cell>
        </row>
        <row r="1928">
          <cell r="A1928" t="str">
            <v>2025Watty3</v>
          </cell>
          <cell r="D1928" t="str">
            <v>Watty</v>
          </cell>
          <cell r="E1928" t="str">
            <v>Brent</v>
          </cell>
          <cell r="F1928">
            <v>2025</v>
          </cell>
          <cell r="I1928">
            <v>111</v>
          </cell>
          <cell r="J1928">
            <v>4</v>
          </cell>
          <cell r="K1928" t="str">
            <v>W</v>
          </cell>
        </row>
        <row r="1929">
          <cell r="A1929" t="str">
            <v>2025Brent3</v>
          </cell>
          <cell r="D1929" t="str">
            <v>Brent</v>
          </cell>
          <cell r="E1929" t="str">
            <v>Watty</v>
          </cell>
          <cell r="F1929">
            <v>2025</v>
          </cell>
          <cell r="I1929">
            <v>107</v>
          </cell>
          <cell r="J1929">
            <v>-4</v>
          </cell>
          <cell r="K1929" t="str">
            <v>L</v>
          </cell>
        </row>
        <row r="1930">
          <cell r="A1930" t="str">
            <v>2025Grayson3</v>
          </cell>
          <cell r="D1930" t="str">
            <v>Grayson</v>
          </cell>
          <cell r="E1930" t="str">
            <v>Jordan</v>
          </cell>
          <cell r="F1930">
            <v>2025</v>
          </cell>
          <cell r="I1930">
            <v>64</v>
          </cell>
          <cell r="J1930">
            <v>-46</v>
          </cell>
          <cell r="K1930" t="str">
            <v>L</v>
          </cell>
        </row>
        <row r="1931">
          <cell r="A1931" t="str">
            <v>2025Jordan3</v>
          </cell>
          <cell r="D1931" t="str">
            <v>Jordan</v>
          </cell>
          <cell r="E1931" t="str">
            <v>Grayson</v>
          </cell>
          <cell r="F1931">
            <v>2025</v>
          </cell>
          <cell r="I1931">
            <v>110</v>
          </cell>
          <cell r="J1931">
            <v>46</v>
          </cell>
          <cell r="K1931" t="str">
            <v>W</v>
          </cell>
        </row>
        <row r="1932">
          <cell r="A1932" t="str">
            <v>2025Emily3</v>
          </cell>
          <cell r="D1932" t="str">
            <v>Emily</v>
          </cell>
          <cell r="E1932" t="str">
            <v>Arnold</v>
          </cell>
          <cell r="F1932">
            <v>2025</v>
          </cell>
          <cell r="I1932">
            <v>103</v>
          </cell>
          <cell r="J1932">
            <v>19</v>
          </cell>
          <cell r="K1932" t="str">
            <v>W</v>
          </cell>
        </row>
        <row r="1933">
          <cell r="A1933" t="str">
            <v>2025Arnold3</v>
          </cell>
          <cell r="D1933" t="str">
            <v>Arnold</v>
          </cell>
          <cell r="E1933" t="str">
            <v>Emily</v>
          </cell>
          <cell r="F1933">
            <v>2025</v>
          </cell>
          <cell r="I1933">
            <v>84</v>
          </cell>
          <cell r="J1933">
            <v>-19</v>
          </cell>
          <cell r="K1933" t="str">
            <v>L</v>
          </cell>
        </row>
        <row r="1934">
          <cell r="A1934" t="str">
            <v>2025Charles3</v>
          </cell>
          <cell r="D1934" t="str">
            <v>Charles</v>
          </cell>
          <cell r="E1934" t="str">
            <v>Russell</v>
          </cell>
          <cell r="F1934">
            <v>2025</v>
          </cell>
          <cell r="I1934">
            <v>118.1</v>
          </cell>
          <cell r="J1934">
            <v>9.9999999999994316E-2</v>
          </cell>
          <cell r="K1934" t="str">
            <v>W</v>
          </cell>
        </row>
        <row r="1935">
          <cell r="A1935" t="str">
            <v>2025Russell3</v>
          </cell>
          <cell r="D1935" t="str">
            <v>Russell</v>
          </cell>
          <cell r="E1935" t="str">
            <v>Charles</v>
          </cell>
          <cell r="F1935">
            <v>2025</v>
          </cell>
          <cell r="I1935">
            <v>118</v>
          </cell>
          <cell r="J1935">
            <v>-9.9999999999994316E-2</v>
          </cell>
          <cell r="K1935" t="str">
            <v>L</v>
          </cell>
        </row>
        <row r="1936">
          <cell r="A1936" t="str">
            <v>2025Brian3</v>
          </cell>
          <cell r="D1936" t="str">
            <v>Brian</v>
          </cell>
          <cell r="E1936" t="str">
            <v>BR</v>
          </cell>
          <cell r="F1936">
            <v>2025</v>
          </cell>
          <cell r="I1936">
            <v>145</v>
          </cell>
          <cell r="J1936">
            <v>45</v>
          </cell>
          <cell r="K1936" t="str">
            <v>W</v>
          </cell>
        </row>
        <row r="1937">
          <cell r="A1937" t="str">
            <v>2025BR3</v>
          </cell>
          <cell r="D1937" t="str">
            <v>BR</v>
          </cell>
          <cell r="E1937" t="str">
            <v>Brian</v>
          </cell>
          <cell r="F1937">
            <v>2025</v>
          </cell>
          <cell r="I1937">
            <v>100</v>
          </cell>
          <cell r="J1937">
            <v>-45</v>
          </cell>
          <cell r="K1937" t="str">
            <v>L</v>
          </cell>
        </row>
        <row r="1938">
          <cell r="A1938" t="str">
            <v>2025Mark3</v>
          </cell>
          <cell r="D1938" t="str">
            <v>Mark</v>
          </cell>
          <cell r="E1938" t="str">
            <v>Matt</v>
          </cell>
          <cell r="F1938">
            <v>2025</v>
          </cell>
          <cell r="I1938">
            <v>114</v>
          </cell>
          <cell r="J1938">
            <v>-26</v>
          </cell>
          <cell r="K1938" t="str">
            <v>L</v>
          </cell>
        </row>
        <row r="1939">
          <cell r="A1939" t="str">
            <v>2025Matt3</v>
          </cell>
          <cell r="D1939" t="str">
            <v>Matt</v>
          </cell>
          <cell r="E1939" t="str">
            <v>Mark</v>
          </cell>
          <cell r="F1939">
            <v>2025</v>
          </cell>
          <cell r="I1939">
            <v>140</v>
          </cell>
          <cell r="J1939">
            <v>26</v>
          </cell>
          <cell r="K1939" t="str">
            <v>W</v>
          </cell>
        </row>
        <row r="1940">
          <cell r="A1940" t="str">
            <v>2025BR4</v>
          </cell>
          <cell r="D1940" t="str">
            <v>BR</v>
          </cell>
          <cell r="E1940" t="str">
            <v>Michael</v>
          </cell>
          <cell r="F1940">
            <v>2025</v>
          </cell>
          <cell r="I1940">
            <v>138</v>
          </cell>
          <cell r="J1940">
            <v>48</v>
          </cell>
          <cell r="K1940" t="str">
            <v>W</v>
          </cell>
        </row>
        <row r="1941">
          <cell r="A1941" t="str">
            <v>2025Michael4</v>
          </cell>
          <cell r="D1941" t="str">
            <v>Michael</v>
          </cell>
          <cell r="E1941" t="str">
            <v>BR</v>
          </cell>
          <cell r="F1941">
            <v>2025</v>
          </cell>
          <cell r="I1941">
            <v>90</v>
          </cell>
          <cell r="J1941">
            <v>-48</v>
          </cell>
          <cell r="K1941" t="str">
            <v>L</v>
          </cell>
        </row>
        <row r="1942">
          <cell r="A1942" t="str">
            <v>2025Mark4</v>
          </cell>
          <cell r="D1942" t="str">
            <v>Mark</v>
          </cell>
          <cell r="E1942" t="str">
            <v>Grayson</v>
          </cell>
          <cell r="F1942">
            <v>2025</v>
          </cell>
          <cell r="I1942">
            <v>126</v>
          </cell>
          <cell r="J1942">
            <v>7</v>
          </cell>
          <cell r="K1942" t="str">
            <v>W</v>
          </cell>
        </row>
        <row r="1943">
          <cell r="A1943" t="str">
            <v>2025Grayson4</v>
          </cell>
          <cell r="D1943" t="str">
            <v>Grayson</v>
          </cell>
          <cell r="E1943" t="str">
            <v>Mark</v>
          </cell>
          <cell r="F1943">
            <v>2025</v>
          </cell>
          <cell r="I1943">
            <v>119</v>
          </cell>
          <cell r="J1943">
            <v>-7</v>
          </cell>
          <cell r="K1943" t="str">
            <v>L</v>
          </cell>
        </row>
        <row r="1944">
          <cell r="A1944" t="str">
            <v>2025Arnold4</v>
          </cell>
          <cell r="D1944" t="str">
            <v>Arnold</v>
          </cell>
          <cell r="E1944" t="str">
            <v>David</v>
          </cell>
          <cell r="F1944">
            <v>2025</v>
          </cell>
          <cell r="I1944">
            <v>78</v>
          </cell>
          <cell r="J1944">
            <v>-10</v>
          </cell>
          <cell r="K1944" t="str">
            <v>L</v>
          </cell>
        </row>
        <row r="1945">
          <cell r="A1945" t="str">
            <v>2025David4</v>
          </cell>
          <cell r="D1945" t="str">
            <v>David</v>
          </cell>
          <cell r="E1945" t="str">
            <v>Arnold</v>
          </cell>
          <cell r="F1945">
            <v>2025</v>
          </cell>
          <cell r="I1945">
            <v>88</v>
          </cell>
          <cell r="J1945">
            <v>10</v>
          </cell>
          <cell r="K1945" t="str">
            <v>W</v>
          </cell>
        </row>
        <row r="1946">
          <cell r="A1946" t="str">
            <v>2025Brent4</v>
          </cell>
          <cell r="D1946" t="str">
            <v>Brent</v>
          </cell>
          <cell r="E1946" t="str">
            <v>Charles</v>
          </cell>
          <cell r="F1946">
            <v>2025</v>
          </cell>
          <cell r="I1946">
            <v>172</v>
          </cell>
          <cell r="J1946">
            <v>47</v>
          </cell>
          <cell r="K1946" t="str">
            <v>W</v>
          </cell>
        </row>
        <row r="1947">
          <cell r="A1947" t="str">
            <v>2025Charles4</v>
          </cell>
          <cell r="D1947" t="str">
            <v>Charles</v>
          </cell>
          <cell r="E1947" t="str">
            <v>Brent</v>
          </cell>
          <cell r="F1947">
            <v>2025</v>
          </cell>
          <cell r="I1947">
            <v>125</v>
          </cell>
          <cell r="J1947">
            <v>-47</v>
          </cell>
          <cell r="K1947" t="str">
            <v>L</v>
          </cell>
        </row>
        <row r="1948">
          <cell r="A1948" t="str">
            <v>2025Matt4</v>
          </cell>
          <cell r="D1948" t="str">
            <v>Matt</v>
          </cell>
          <cell r="E1948" t="str">
            <v>Brian</v>
          </cell>
          <cell r="F1948">
            <v>2025</v>
          </cell>
          <cell r="I1948">
            <v>107</v>
          </cell>
          <cell r="J1948">
            <v>-16</v>
          </cell>
          <cell r="K1948" t="str">
            <v>L</v>
          </cell>
        </row>
        <row r="1949">
          <cell r="A1949" t="str">
            <v>2025Brian4</v>
          </cell>
          <cell r="D1949" t="str">
            <v>Brian</v>
          </cell>
          <cell r="E1949" t="str">
            <v>Matt</v>
          </cell>
          <cell r="F1949">
            <v>2025</v>
          </cell>
          <cell r="I1949">
            <v>123</v>
          </cell>
          <cell r="J1949">
            <v>16</v>
          </cell>
          <cell r="K1949" t="str">
            <v>W</v>
          </cell>
        </row>
        <row r="1950">
          <cell r="A1950" t="str">
            <v>2025Jordan4</v>
          </cell>
          <cell r="D1950" t="str">
            <v>Jordan</v>
          </cell>
          <cell r="E1950" t="str">
            <v>Watty</v>
          </cell>
          <cell r="F1950">
            <v>2025</v>
          </cell>
          <cell r="I1950">
            <v>115</v>
          </cell>
          <cell r="J1950">
            <v>2</v>
          </cell>
          <cell r="K1950" t="str">
            <v>W</v>
          </cell>
        </row>
        <row r="1951">
          <cell r="A1951" t="str">
            <v>2025Watty4</v>
          </cell>
          <cell r="D1951" t="str">
            <v>Watty</v>
          </cell>
          <cell r="E1951" t="str">
            <v>Jordan</v>
          </cell>
          <cell r="F1951">
            <v>2025</v>
          </cell>
          <cell r="I1951">
            <v>113</v>
          </cell>
          <cell r="J1951">
            <v>-2</v>
          </cell>
          <cell r="K1951" t="str">
            <v>L</v>
          </cell>
        </row>
        <row r="1952">
          <cell r="A1952" t="str">
            <v>2025Russell4</v>
          </cell>
          <cell r="D1952" t="str">
            <v>Russell</v>
          </cell>
          <cell r="E1952" t="str">
            <v>Emily</v>
          </cell>
          <cell r="F1952">
            <v>2025</v>
          </cell>
          <cell r="I1952">
            <v>171</v>
          </cell>
          <cell r="J1952">
            <v>72</v>
          </cell>
          <cell r="K1952" t="str">
            <v>W</v>
          </cell>
        </row>
        <row r="1953">
          <cell r="A1953" t="str">
            <v>2025Emily4</v>
          </cell>
          <cell r="D1953" t="str">
            <v>Emily</v>
          </cell>
          <cell r="E1953" t="str">
            <v>Russell</v>
          </cell>
          <cell r="F1953">
            <v>2025</v>
          </cell>
          <cell r="I1953">
            <v>99</v>
          </cell>
          <cell r="J1953">
            <v>-72</v>
          </cell>
          <cell r="K1953" t="str">
            <v>L</v>
          </cell>
        </row>
        <row r="1954">
          <cell r="A1954" t="str">
            <v>2025Michael5</v>
          </cell>
          <cell r="D1954" t="str">
            <v>Michael</v>
          </cell>
          <cell r="E1954" t="str">
            <v>Arnold</v>
          </cell>
          <cell r="F1954">
            <v>2025</v>
          </cell>
          <cell r="I1954">
            <v>113</v>
          </cell>
          <cell r="J1954">
            <v>10</v>
          </cell>
          <cell r="K1954" t="str">
            <v>W</v>
          </cell>
        </row>
        <row r="1955">
          <cell r="A1955" t="str">
            <v>2025Arnold5</v>
          </cell>
          <cell r="D1955" t="str">
            <v>Arnold</v>
          </cell>
          <cell r="E1955" t="str">
            <v>Michael</v>
          </cell>
          <cell r="F1955">
            <v>2025</v>
          </cell>
          <cell r="I1955">
            <v>103</v>
          </cell>
          <cell r="J1955">
            <v>-10</v>
          </cell>
          <cell r="K1955" t="str">
            <v>L</v>
          </cell>
        </row>
        <row r="1956">
          <cell r="A1956" t="str">
            <v>2025Emily5</v>
          </cell>
          <cell r="D1956" t="str">
            <v>Emily</v>
          </cell>
          <cell r="E1956" t="str">
            <v>Brent</v>
          </cell>
          <cell r="F1956">
            <v>2025</v>
          </cell>
          <cell r="I1956">
            <v>125</v>
          </cell>
          <cell r="J1956">
            <v>-34</v>
          </cell>
          <cell r="K1956" t="str">
            <v>L</v>
          </cell>
        </row>
        <row r="1957">
          <cell r="A1957" t="str">
            <v>2025Brent5</v>
          </cell>
          <cell r="D1957" t="str">
            <v>Brent</v>
          </cell>
          <cell r="E1957" t="str">
            <v>Emily</v>
          </cell>
          <cell r="F1957">
            <v>2025</v>
          </cell>
          <cell r="I1957">
            <v>159</v>
          </cell>
          <cell r="J1957">
            <v>34</v>
          </cell>
          <cell r="K1957" t="str">
            <v>W</v>
          </cell>
        </row>
        <row r="1958">
          <cell r="A1958" t="str">
            <v>2025Charles5</v>
          </cell>
          <cell r="D1958" t="str">
            <v>Charles</v>
          </cell>
          <cell r="E1958" t="str">
            <v>Jordan</v>
          </cell>
          <cell r="F1958">
            <v>2025</v>
          </cell>
          <cell r="I1958">
            <v>119</v>
          </cell>
          <cell r="J1958">
            <v>12</v>
          </cell>
          <cell r="K1958" t="str">
            <v>W</v>
          </cell>
        </row>
        <row r="1959">
          <cell r="A1959" t="str">
            <v>2025Jordan5</v>
          </cell>
          <cell r="D1959" t="str">
            <v>Jordan</v>
          </cell>
          <cell r="E1959" t="str">
            <v>Charles</v>
          </cell>
          <cell r="F1959">
            <v>2025</v>
          </cell>
          <cell r="I1959">
            <v>107</v>
          </cell>
          <cell r="J1959">
            <v>-12</v>
          </cell>
          <cell r="K1959" t="str">
            <v>L</v>
          </cell>
        </row>
        <row r="1960">
          <cell r="A1960" t="str">
            <v>2025David5</v>
          </cell>
          <cell r="D1960" t="str">
            <v>David</v>
          </cell>
          <cell r="E1960" t="str">
            <v>Russell</v>
          </cell>
          <cell r="F1960">
            <v>2025</v>
          </cell>
          <cell r="I1960">
            <v>100</v>
          </cell>
          <cell r="J1960">
            <v>2</v>
          </cell>
          <cell r="K1960" t="str">
            <v>W</v>
          </cell>
        </row>
        <row r="1961">
          <cell r="A1961" t="str">
            <v>2025Russell5</v>
          </cell>
          <cell r="D1961" t="str">
            <v>Russell</v>
          </cell>
          <cell r="E1961" t="str">
            <v>David</v>
          </cell>
          <cell r="F1961">
            <v>2025</v>
          </cell>
          <cell r="I1961">
            <v>98</v>
          </cell>
          <cell r="J1961">
            <v>-2</v>
          </cell>
          <cell r="K1961" t="str">
            <v>L</v>
          </cell>
        </row>
        <row r="1962">
          <cell r="A1962" t="str">
            <v>2025BR5</v>
          </cell>
          <cell r="D1962" t="str">
            <v>BR</v>
          </cell>
          <cell r="E1962" t="str">
            <v>Matt</v>
          </cell>
          <cell r="F1962">
            <v>2025</v>
          </cell>
          <cell r="I1962">
            <v>144</v>
          </cell>
          <cell r="J1962">
            <v>67</v>
          </cell>
          <cell r="K1962" t="str">
            <v>W</v>
          </cell>
        </row>
        <row r="1963">
          <cell r="A1963" t="str">
            <v>2025Matt5</v>
          </cell>
          <cell r="D1963" t="str">
            <v>Matt</v>
          </cell>
          <cell r="E1963" t="str">
            <v>BR</v>
          </cell>
          <cell r="F1963">
            <v>2025</v>
          </cell>
          <cell r="I1963">
            <v>77</v>
          </cell>
          <cell r="J1963">
            <v>-67</v>
          </cell>
          <cell r="K1963" t="str">
            <v>L</v>
          </cell>
        </row>
        <row r="1964">
          <cell r="A1964" t="str">
            <v>2025Grayson5</v>
          </cell>
          <cell r="D1964" t="str">
            <v>Grayson</v>
          </cell>
          <cell r="E1964" t="str">
            <v>Brian</v>
          </cell>
          <cell r="F1964">
            <v>2025</v>
          </cell>
          <cell r="I1964">
            <v>131</v>
          </cell>
          <cell r="J1964">
            <v>25</v>
          </cell>
          <cell r="K1964" t="str">
            <v>W</v>
          </cell>
        </row>
        <row r="1965">
          <cell r="A1965" t="str">
            <v>2025Brian5</v>
          </cell>
          <cell r="D1965" t="str">
            <v>Brian</v>
          </cell>
          <cell r="E1965" t="str">
            <v>Grayson</v>
          </cell>
          <cell r="F1965">
            <v>2025</v>
          </cell>
          <cell r="I1965">
            <v>106</v>
          </cell>
          <cell r="J1965">
            <v>-25</v>
          </cell>
          <cell r="K1965" t="str">
            <v>L</v>
          </cell>
        </row>
        <row r="1966">
          <cell r="A1966" t="str">
            <v>2025Watty5</v>
          </cell>
          <cell r="D1966" t="str">
            <v>Watty</v>
          </cell>
          <cell r="E1966" t="str">
            <v>Mark</v>
          </cell>
          <cell r="F1966">
            <v>2025</v>
          </cell>
          <cell r="I1966">
            <v>106</v>
          </cell>
          <cell r="J1966">
            <v>-6</v>
          </cell>
          <cell r="K1966" t="str">
            <v>L</v>
          </cell>
        </row>
        <row r="1967">
          <cell r="A1967" t="str">
            <v>2025Mark5</v>
          </cell>
          <cell r="D1967" t="str">
            <v>Mark</v>
          </cell>
          <cell r="E1967" t="str">
            <v>Watty</v>
          </cell>
          <cell r="F1967">
            <v>2025</v>
          </cell>
          <cell r="I1967">
            <v>112</v>
          </cell>
          <cell r="J1967">
            <v>6</v>
          </cell>
          <cell r="K1967" t="str">
            <v>W</v>
          </cell>
        </row>
        <row r="1968">
          <cell r="A1968" t="str">
            <v>2025Matt6</v>
          </cell>
          <cell r="D1968" t="str">
            <v>Matt</v>
          </cell>
          <cell r="E1968" t="str">
            <v>Michael</v>
          </cell>
          <cell r="F1968">
            <v>2025</v>
          </cell>
          <cell r="I1968">
            <v>111</v>
          </cell>
          <cell r="J1968">
            <v>8</v>
          </cell>
          <cell r="K1968" t="str">
            <v>W</v>
          </cell>
        </row>
        <row r="1969">
          <cell r="A1969" t="str">
            <v>2025Michael6</v>
          </cell>
          <cell r="D1969" t="str">
            <v>Michael</v>
          </cell>
          <cell r="E1969" t="str">
            <v>Matt</v>
          </cell>
          <cell r="F1969">
            <v>2025</v>
          </cell>
          <cell r="I1969">
            <v>103</v>
          </cell>
          <cell r="J1969">
            <v>-8</v>
          </cell>
          <cell r="K1969" t="str">
            <v>L</v>
          </cell>
        </row>
        <row r="1970">
          <cell r="A1970" t="str">
            <v>2025Mark6</v>
          </cell>
          <cell r="D1970" t="str">
            <v>Mark</v>
          </cell>
          <cell r="E1970" t="str">
            <v>Charles</v>
          </cell>
          <cell r="F1970">
            <v>2025</v>
          </cell>
          <cell r="I1970">
            <v>90</v>
          </cell>
          <cell r="J1970">
            <v>-54</v>
          </cell>
          <cell r="K1970" t="str">
            <v>L</v>
          </cell>
        </row>
        <row r="1971">
          <cell r="A1971" t="str">
            <v>2025Charles6</v>
          </cell>
          <cell r="D1971" t="str">
            <v>Charles</v>
          </cell>
          <cell r="E1971" t="str">
            <v>Mark</v>
          </cell>
          <cell r="F1971">
            <v>2025</v>
          </cell>
          <cell r="I1971">
            <v>144</v>
          </cell>
          <cell r="J1971">
            <v>54</v>
          </cell>
          <cell r="K1971" t="str">
            <v>W</v>
          </cell>
        </row>
        <row r="1972">
          <cell r="A1972" t="str">
            <v>2025Jordan6</v>
          </cell>
          <cell r="D1972" t="str">
            <v>Jordan</v>
          </cell>
          <cell r="E1972" t="str">
            <v>Emily</v>
          </cell>
          <cell r="F1972">
            <v>2025</v>
          </cell>
          <cell r="I1972">
            <v>95</v>
          </cell>
          <cell r="J1972">
            <v>-28</v>
          </cell>
          <cell r="K1972" t="str">
            <v>L</v>
          </cell>
        </row>
        <row r="1973">
          <cell r="A1973" t="str">
            <v>2025Emily6</v>
          </cell>
          <cell r="D1973" t="str">
            <v>Emily</v>
          </cell>
          <cell r="E1973" t="str">
            <v>Jordan</v>
          </cell>
          <cell r="F1973">
            <v>2025</v>
          </cell>
          <cell r="I1973">
            <v>123</v>
          </cell>
          <cell r="J1973">
            <v>28</v>
          </cell>
          <cell r="K1973" t="str">
            <v>W</v>
          </cell>
        </row>
        <row r="1974">
          <cell r="A1974" t="str">
            <v>2025Russell6</v>
          </cell>
          <cell r="D1974" t="str">
            <v>Russell</v>
          </cell>
          <cell r="E1974" t="str">
            <v>Arnold</v>
          </cell>
          <cell r="F1974">
            <v>2025</v>
          </cell>
          <cell r="I1974">
            <v>138</v>
          </cell>
          <cell r="J1974">
            <v>57</v>
          </cell>
          <cell r="K1974" t="str">
            <v>W</v>
          </cell>
        </row>
        <row r="1975">
          <cell r="A1975" t="str">
            <v>2025Arnold6</v>
          </cell>
          <cell r="D1975" t="str">
            <v>Arnold</v>
          </cell>
          <cell r="E1975" t="str">
            <v>Russell</v>
          </cell>
          <cell r="F1975">
            <v>2025</v>
          </cell>
          <cell r="I1975">
            <v>81</v>
          </cell>
          <cell r="J1975">
            <v>-57</v>
          </cell>
          <cell r="K1975" t="str">
            <v>L</v>
          </cell>
        </row>
        <row r="1976">
          <cell r="A1976" t="str">
            <v>2025Brent6</v>
          </cell>
          <cell r="D1976" t="str">
            <v>Brent</v>
          </cell>
          <cell r="E1976" t="str">
            <v>David</v>
          </cell>
          <cell r="F1976">
            <v>2025</v>
          </cell>
          <cell r="I1976">
            <v>121</v>
          </cell>
          <cell r="J1976">
            <v>3</v>
          </cell>
          <cell r="K1976" t="str">
            <v>W</v>
          </cell>
        </row>
        <row r="1977">
          <cell r="A1977" t="str">
            <v>2025David6</v>
          </cell>
          <cell r="D1977" t="str">
            <v>David</v>
          </cell>
          <cell r="E1977" t="str">
            <v>Brent</v>
          </cell>
          <cell r="F1977">
            <v>2025</v>
          </cell>
          <cell r="I1977">
            <v>118</v>
          </cell>
          <cell r="J1977">
            <v>-3</v>
          </cell>
          <cell r="K1977" t="str">
            <v>L</v>
          </cell>
        </row>
        <row r="1978">
          <cell r="A1978" t="str">
            <v>2025BR6</v>
          </cell>
          <cell r="D1978" t="str">
            <v>BR</v>
          </cell>
          <cell r="E1978" t="str">
            <v>Grayson</v>
          </cell>
          <cell r="F1978">
            <v>2025</v>
          </cell>
          <cell r="I1978">
            <v>69</v>
          </cell>
          <cell r="J1978">
            <v>-50</v>
          </cell>
          <cell r="K1978" t="str">
            <v>L</v>
          </cell>
        </row>
        <row r="1979">
          <cell r="A1979" t="str">
            <v>2025Grayson6</v>
          </cell>
          <cell r="D1979" t="str">
            <v>Grayson</v>
          </cell>
          <cell r="E1979" t="str">
            <v>BR</v>
          </cell>
          <cell r="F1979">
            <v>2025</v>
          </cell>
          <cell r="I1979">
            <v>119</v>
          </cell>
          <cell r="J1979">
            <v>50</v>
          </cell>
          <cell r="K1979" t="str">
            <v>W</v>
          </cell>
        </row>
        <row r="1980">
          <cell r="A1980" t="str">
            <v>2025Brian6</v>
          </cell>
          <cell r="D1980" t="str">
            <v>Brian</v>
          </cell>
          <cell r="E1980" t="str">
            <v>Watty</v>
          </cell>
          <cell r="F1980">
            <v>2025</v>
          </cell>
          <cell r="I1980">
            <v>101</v>
          </cell>
          <cell r="J1980">
            <v>47</v>
          </cell>
          <cell r="K1980" t="str">
            <v>W</v>
          </cell>
        </row>
        <row r="1981">
          <cell r="A1981" t="str">
            <v>2025Watty6</v>
          </cell>
          <cell r="D1981" t="str">
            <v>Watty</v>
          </cell>
          <cell r="E1981" t="str">
            <v>Brian</v>
          </cell>
          <cell r="F1981">
            <v>2025</v>
          </cell>
          <cell r="I1981">
            <v>54</v>
          </cell>
          <cell r="J1981">
            <v>-47</v>
          </cell>
          <cell r="K1981" t="str">
            <v>L</v>
          </cell>
        </row>
        <row r="1982">
          <cell r="A1982" t="str">
            <v>2025Michael7</v>
          </cell>
          <cell r="D1982" t="str">
            <v>Michael</v>
          </cell>
          <cell r="E1982" t="str">
            <v>Russell</v>
          </cell>
          <cell r="F1982">
            <v>2025</v>
          </cell>
          <cell r="I1982">
            <v>85</v>
          </cell>
          <cell r="J1982">
            <v>-49</v>
          </cell>
          <cell r="K1982" t="str">
            <v>L</v>
          </cell>
        </row>
        <row r="1983">
          <cell r="A1983" t="str">
            <v>2025Russell7</v>
          </cell>
          <cell r="D1983" t="str">
            <v>Russell</v>
          </cell>
          <cell r="E1983" t="str">
            <v>Michael</v>
          </cell>
          <cell r="F1983">
            <v>2025</v>
          </cell>
          <cell r="I1983">
            <v>134</v>
          </cell>
          <cell r="J1983">
            <v>49</v>
          </cell>
          <cell r="K1983" t="str">
            <v>W</v>
          </cell>
        </row>
        <row r="1984">
          <cell r="A1984" t="str">
            <v>2025Emily7</v>
          </cell>
          <cell r="D1984" t="str">
            <v>Emily</v>
          </cell>
          <cell r="E1984" t="str">
            <v>Mark</v>
          </cell>
          <cell r="F1984">
            <v>2025</v>
          </cell>
          <cell r="I1984">
            <v>134</v>
          </cell>
          <cell r="J1984">
            <v>35</v>
          </cell>
          <cell r="K1984" t="str">
            <v>W</v>
          </cell>
        </row>
        <row r="1985">
          <cell r="A1985" t="str">
            <v>2025Mark7</v>
          </cell>
          <cell r="D1985" t="str">
            <v>Mark</v>
          </cell>
          <cell r="E1985" t="str">
            <v>Emily</v>
          </cell>
          <cell r="F1985">
            <v>2025</v>
          </cell>
          <cell r="I1985">
            <v>99</v>
          </cell>
          <cell r="J1985">
            <v>-35</v>
          </cell>
          <cell r="K1985" t="str">
            <v>L</v>
          </cell>
        </row>
        <row r="1986">
          <cell r="A1986" t="str">
            <v>2025Arnold7</v>
          </cell>
          <cell r="D1986" t="str">
            <v>Arnold</v>
          </cell>
          <cell r="E1986" t="str">
            <v>Brent</v>
          </cell>
          <cell r="F1986">
            <v>2025</v>
          </cell>
          <cell r="I1986">
            <v>70</v>
          </cell>
          <cell r="J1986">
            <v>-61</v>
          </cell>
          <cell r="K1986" t="str">
            <v>L</v>
          </cell>
        </row>
        <row r="1987">
          <cell r="A1987" t="str">
            <v>2025Brent7</v>
          </cell>
          <cell r="D1987" t="str">
            <v>Brent</v>
          </cell>
          <cell r="E1987" t="str">
            <v>Arnold</v>
          </cell>
          <cell r="F1987">
            <v>2025</v>
          </cell>
          <cell r="I1987">
            <v>131</v>
          </cell>
          <cell r="J1987">
            <v>61</v>
          </cell>
          <cell r="K1987" t="str">
            <v>W</v>
          </cell>
        </row>
        <row r="1988">
          <cell r="A1988" t="str">
            <v>2025David7</v>
          </cell>
          <cell r="D1988" t="str">
            <v>David</v>
          </cell>
          <cell r="E1988" t="str">
            <v>Jordan</v>
          </cell>
          <cell r="F1988">
            <v>2025</v>
          </cell>
          <cell r="I1988">
            <v>110</v>
          </cell>
          <cell r="J1988">
            <v>-12</v>
          </cell>
          <cell r="K1988" t="str">
            <v>L</v>
          </cell>
        </row>
        <row r="1989">
          <cell r="A1989" t="str">
            <v>2025Jordan7</v>
          </cell>
          <cell r="D1989" t="str">
            <v>Jordan</v>
          </cell>
          <cell r="E1989" t="str">
            <v>David</v>
          </cell>
          <cell r="F1989">
            <v>2025</v>
          </cell>
          <cell r="I1989">
            <v>122</v>
          </cell>
          <cell r="J1989">
            <v>12</v>
          </cell>
          <cell r="K1989" t="str">
            <v>W</v>
          </cell>
        </row>
        <row r="1990">
          <cell r="A1990" t="str">
            <v>2025Grayson7</v>
          </cell>
          <cell r="D1990" t="str">
            <v>Grayson</v>
          </cell>
          <cell r="E1990" t="str">
            <v>Matt</v>
          </cell>
          <cell r="F1990">
            <v>2025</v>
          </cell>
          <cell r="I1990">
            <v>111</v>
          </cell>
          <cell r="J1990">
            <v>14</v>
          </cell>
          <cell r="K1990" t="str">
            <v>W</v>
          </cell>
        </row>
        <row r="1991">
          <cell r="A1991" t="str">
            <v>2025Matt7</v>
          </cell>
          <cell r="D1991" t="str">
            <v>Matt</v>
          </cell>
          <cell r="E1991" t="str">
            <v>Grayson</v>
          </cell>
          <cell r="F1991">
            <v>2025</v>
          </cell>
          <cell r="I1991">
            <v>97</v>
          </cell>
          <cell r="J1991">
            <v>-14</v>
          </cell>
          <cell r="K1991" t="str">
            <v>L</v>
          </cell>
        </row>
        <row r="1992">
          <cell r="A1992" t="str">
            <v>2025Watty7</v>
          </cell>
          <cell r="D1992" t="str">
            <v>Watty</v>
          </cell>
          <cell r="E1992" t="str">
            <v>BR</v>
          </cell>
          <cell r="F1992">
            <v>2025</v>
          </cell>
          <cell r="I1992">
            <v>104</v>
          </cell>
          <cell r="J1992">
            <v>28</v>
          </cell>
          <cell r="K1992" t="str">
            <v>W</v>
          </cell>
        </row>
        <row r="1993">
          <cell r="A1993" t="str">
            <v>2025BR7</v>
          </cell>
          <cell r="D1993" t="str">
            <v>BR</v>
          </cell>
          <cell r="E1993" t="str">
            <v>Watty</v>
          </cell>
          <cell r="F1993">
            <v>2025</v>
          </cell>
          <cell r="I1993">
            <v>76</v>
          </cell>
          <cell r="J1993">
            <v>-28</v>
          </cell>
          <cell r="K1993" t="str">
            <v>L</v>
          </cell>
        </row>
        <row r="1994">
          <cell r="A1994" t="str">
            <v>2025Charles7</v>
          </cell>
          <cell r="D1994" t="str">
            <v>Charles</v>
          </cell>
          <cell r="E1994" t="str">
            <v>Brian</v>
          </cell>
          <cell r="F1994">
            <v>2025</v>
          </cell>
          <cell r="I1994">
            <v>131</v>
          </cell>
          <cell r="J1994">
            <v>-5</v>
          </cell>
          <cell r="K1994" t="str">
            <v>L</v>
          </cell>
        </row>
        <row r="1995">
          <cell r="A1995" t="str">
            <v>2025Brian7</v>
          </cell>
          <cell r="D1995" t="str">
            <v>Brian</v>
          </cell>
          <cell r="E1995" t="str">
            <v>Charles</v>
          </cell>
          <cell r="F1995">
            <v>2025</v>
          </cell>
          <cell r="I1995">
            <v>136</v>
          </cell>
          <cell r="J1995">
            <v>5</v>
          </cell>
          <cell r="K1995" t="str">
            <v>W</v>
          </cell>
        </row>
        <row r="1996">
          <cell r="A1996" t="str">
            <v>2025Grayson8</v>
          </cell>
          <cell r="D1996" t="str">
            <v>Grayson</v>
          </cell>
          <cell r="E1996" t="str">
            <v>Michael</v>
          </cell>
          <cell r="F1996">
            <v>2025</v>
          </cell>
          <cell r="I1996">
            <v>123</v>
          </cell>
          <cell r="J1996">
            <v>57</v>
          </cell>
          <cell r="K1996" t="str">
            <v>W</v>
          </cell>
        </row>
        <row r="1997">
          <cell r="A1997" t="str">
            <v>2025Michael8</v>
          </cell>
          <cell r="D1997" t="str">
            <v>Michael</v>
          </cell>
          <cell r="E1997" t="str">
            <v>Grayson</v>
          </cell>
          <cell r="F1997">
            <v>2025</v>
          </cell>
          <cell r="I1997">
            <v>66</v>
          </cell>
          <cell r="J1997">
            <v>-57</v>
          </cell>
          <cell r="K1997" t="str">
            <v>L</v>
          </cell>
        </row>
        <row r="1998">
          <cell r="A1998" t="str">
            <v>2025BR8</v>
          </cell>
          <cell r="D1998" t="str">
            <v>BR</v>
          </cell>
          <cell r="E1998" t="str">
            <v>Charles</v>
          </cell>
          <cell r="F1998">
            <v>2025</v>
          </cell>
          <cell r="I1998">
            <v>98</v>
          </cell>
          <cell r="J1998">
            <v>4</v>
          </cell>
          <cell r="K1998" t="str">
            <v>W</v>
          </cell>
        </row>
        <row r="1999">
          <cell r="A1999" t="str">
            <v>2025Charles8</v>
          </cell>
          <cell r="D1999" t="str">
            <v>Charles</v>
          </cell>
          <cell r="E1999" t="str">
            <v>BR</v>
          </cell>
          <cell r="F1999">
            <v>2025</v>
          </cell>
          <cell r="I1999">
            <v>94</v>
          </cell>
          <cell r="J1999">
            <v>-4</v>
          </cell>
          <cell r="K1999" t="str">
            <v>L</v>
          </cell>
        </row>
        <row r="2000">
          <cell r="A2000" t="str">
            <v>2025Jordan8</v>
          </cell>
          <cell r="D2000" t="str">
            <v>Jordan</v>
          </cell>
          <cell r="E2000" t="str">
            <v>Arnold</v>
          </cell>
          <cell r="F2000">
            <v>2025</v>
          </cell>
          <cell r="I2000">
            <v>107</v>
          </cell>
          <cell r="J2000">
            <v>-1</v>
          </cell>
          <cell r="K2000" t="str">
            <v>L</v>
          </cell>
        </row>
        <row r="2001">
          <cell r="A2001" t="str">
            <v>2025Arnold8</v>
          </cell>
          <cell r="D2001" t="str">
            <v>Arnold</v>
          </cell>
          <cell r="E2001" t="str">
            <v>Jordan</v>
          </cell>
          <cell r="F2001">
            <v>2025</v>
          </cell>
          <cell r="I2001">
            <v>108</v>
          </cell>
          <cell r="J2001">
            <v>1</v>
          </cell>
          <cell r="K2001" t="str">
            <v>W</v>
          </cell>
        </row>
        <row r="2002">
          <cell r="A2002" t="str">
            <v>2025Brian8</v>
          </cell>
          <cell r="D2002" t="str">
            <v>Brian</v>
          </cell>
          <cell r="E2002" t="str">
            <v>Emily</v>
          </cell>
          <cell r="F2002">
            <v>2025</v>
          </cell>
          <cell r="I2002">
            <v>84</v>
          </cell>
          <cell r="J2002">
            <v>18</v>
          </cell>
          <cell r="K2002" t="str">
            <v>W</v>
          </cell>
        </row>
        <row r="2003">
          <cell r="A2003" t="str">
            <v>2025Emily8</v>
          </cell>
          <cell r="D2003" t="str">
            <v>Emily</v>
          </cell>
          <cell r="E2003" t="str">
            <v>Brian</v>
          </cell>
          <cell r="F2003">
            <v>2025</v>
          </cell>
          <cell r="I2003">
            <v>66</v>
          </cell>
          <cell r="J2003">
            <v>-18</v>
          </cell>
          <cell r="K2003" t="str">
            <v>L</v>
          </cell>
        </row>
        <row r="2004">
          <cell r="A2004" t="str">
            <v>2025Mark8</v>
          </cell>
          <cell r="D2004" t="str">
            <v>Mark</v>
          </cell>
          <cell r="E2004" t="str">
            <v>David</v>
          </cell>
          <cell r="F2004">
            <v>2025</v>
          </cell>
          <cell r="I2004">
            <v>167</v>
          </cell>
          <cell r="J2004">
            <v>66</v>
          </cell>
          <cell r="K2004" t="str">
            <v>W</v>
          </cell>
        </row>
        <row r="2005">
          <cell r="A2005" t="str">
            <v>2025David8</v>
          </cell>
          <cell r="D2005" t="str">
            <v>David</v>
          </cell>
          <cell r="E2005" t="str">
            <v>Mark</v>
          </cell>
          <cell r="F2005">
            <v>2025</v>
          </cell>
          <cell r="I2005">
            <v>101</v>
          </cell>
          <cell r="J2005">
            <v>-66</v>
          </cell>
          <cell r="K2005" t="str">
            <v>L</v>
          </cell>
        </row>
        <row r="2006">
          <cell r="A2006" t="str">
            <v>2025Matt8</v>
          </cell>
          <cell r="D2006" t="str">
            <v>Matt</v>
          </cell>
          <cell r="E2006" t="str">
            <v>Watty</v>
          </cell>
          <cell r="F2006">
            <v>2025</v>
          </cell>
          <cell r="I2006">
            <v>117</v>
          </cell>
          <cell r="J2006">
            <v>6</v>
          </cell>
          <cell r="K2006" t="str">
            <v>W</v>
          </cell>
        </row>
        <row r="2007">
          <cell r="A2007" t="str">
            <v>2025Watty8</v>
          </cell>
          <cell r="D2007" t="str">
            <v>Watty</v>
          </cell>
          <cell r="E2007" t="str">
            <v>Matt</v>
          </cell>
          <cell r="F2007">
            <v>2025</v>
          </cell>
          <cell r="I2007">
            <v>111</v>
          </cell>
          <cell r="J2007">
            <v>-6</v>
          </cell>
          <cell r="K2007" t="str">
            <v>L</v>
          </cell>
        </row>
        <row r="2008">
          <cell r="A2008" t="str">
            <v>2025Brent8</v>
          </cell>
          <cell r="D2008" t="str">
            <v>Brent</v>
          </cell>
          <cell r="E2008" t="str">
            <v>Russell</v>
          </cell>
          <cell r="F2008">
            <v>2025</v>
          </cell>
          <cell r="I2008">
            <v>101</v>
          </cell>
          <cell r="J2008">
            <v>-20</v>
          </cell>
          <cell r="K2008" t="str">
            <v>L</v>
          </cell>
        </row>
        <row r="2009">
          <cell r="A2009" t="str">
            <v>2025Russell8</v>
          </cell>
          <cell r="D2009" t="str">
            <v>Russell</v>
          </cell>
          <cell r="E2009" t="str">
            <v>Brent</v>
          </cell>
          <cell r="F2009">
            <v>2025</v>
          </cell>
          <cell r="I2009">
            <v>121</v>
          </cell>
          <cell r="J2009">
            <v>20</v>
          </cell>
          <cell r="K2009" t="str">
            <v>W</v>
          </cell>
        </row>
        <row r="2010">
          <cell r="A2010" t="str">
            <v>2025Michael9</v>
          </cell>
          <cell r="D2010" t="str">
            <v>Michael</v>
          </cell>
          <cell r="E2010" t="str">
            <v>Brent</v>
          </cell>
          <cell r="F2010">
            <v>2025</v>
          </cell>
          <cell r="I2010">
            <v>106</v>
          </cell>
          <cell r="J2010">
            <v>29</v>
          </cell>
          <cell r="K2010" t="str">
            <v>W</v>
          </cell>
        </row>
        <row r="2011">
          <cell r="A2011" t="str">
            <v>2025Brent9</v>
          </cell>
          <cell r="D2011" t="str">
            <v>Brent</v>
          </cell>
          <cell r="E2011" t="str">
            <v>Michael</v>
          </cell>
          <cell r="F2011">
            <v>2025</v>
          </cell>
          <cell r="I2011">
            <v>77</v>
          </cell>
          <cell r="J2011">
            <v>-29</v>
          </cell>
          <cell r="K2011" t="str">
            <v>L</v>
          </cell>
        </row>
        <row r="2012">
          <cell r="A2012" t="str">
            <v>2025Charles9</v>
          </cell>
          <cell r="D2012" t="str">
            <v>Charles</v>
          </cell>
          <cell r="E2012" t="str">
            <v>Matt</v>
          </cell>
          <cell r="F2012">
            <v>2025</v>
          </cell>
          <cell r="I2012">
            <v>120</v>
          </cell>
          <cell r="J2012">
            <v>-6</v>
          </cell>
          <cell r="K2012" t="str">
            <v>L</v>
          </cell>
        </row>
        <row r="2013">
          <cell r="A2013" t="str">
            <v>2025Matt9</v>
          </cell>
          <cell r="D2013" t="str">
            <v>Matt</v>
          </cell>
          <cell r="E2013" t="str">
            <v>Charles</v>
          </cell>
          <cell r="F2013">
            <v>2025</v>
          </cell>
          <cell r="I2013">
            <v>126</v>
          </cell>
          <cell r="J2013">
            <v>6</v>
          </cell>
          <cell r="K2013" t="str">
            <v>W</v>
          </cell>
        </row>
        <row r="2014">
          <cell r="A2014" t="str">
            <v>2025Arnold9</v>
          </cell>
          <cell r="D2014" t="str">
            <v>Arnold</v>
          </cell>
          <cell r="E2014" t="str">
            <v>Mark</v>
          </cell>
          <cell r="F2014">
            <v>2025</v>
          </cell>
          <cell r="I2014">
            <v>100</v>
          </cell>
          <cell r="J2014">
            <v>-33</v>
          </cell>
          <cell r="K2014" t="str">
            <v>L</v>
          </cell>
        </row>
        <row r="2015">
          <cell r="A2015" t="str">
            <v>2025Mark9</v>
          </cell>
          <cell r="D2015" t="str">
            <v>Mark</v>
          </cell>
          <cell r="E2015" t="str">
            <v>Arnold</v>
          </cell>
          <cell r="F2015">
            <v>2025</v>
          </cell>
          <cell r="I2015">
            <v>133</v>
          </cell>
          <cell r="J2015">
            <v>33</v>
          </cell>
          <cell r="K2015" t="str">
            <v>W</v>
          </cell>
        </row>
        <row r="2016">
          <cell r="A2016" t="str">
            <v>2025Russell9</v>
          </cell>
          <cell r="D2016" t="str">
            <v>Russell</v>
          </cell>
          <cell r="E2016" t="str">
            <v>Jordan</v>
          </cell>
          <cell r="F2016">
            <v>2025</v>
          </cell>
          <cell r="I2016">
            <v>129</v>
          </cell>
          <cell r="J2016">
            <v>2</v>
          </cell>
          <cell r="K2016" t="str">
            <v>W</v>
          </cell>
        </row>
        <row r="2017">
          <cell r="A2017" t="str">
            <v>2025Jordan9</v>
          </cell>
          <cell r="D2017" t="str">
            <v>Jordan</v>
          </cell>
          <cell r="E2017" t="str">
            <v>Russell</v>
          </cell>
          <cell r="F2017">
            <v>2025</v>
          </cell>
          <cell r="I2017">
            <v>127</v>
          </cell>
          <cell r="J2017">
            <v>-2</v>
          </cell>
          <cell r="K2017" t="str">
            <v>L</v>
          </cell>
        </row>
        <row r="2018">
          <cell r="A2018" t="str">
            <v>2025David9</v>
          </cell>
          <cell r="D2018" t="str">
            <v>David</v>
          </cell>
          <cell r="E2018" t="str">
            <v>Brian</v>
          </cell>
          <cell r="F2018">
            <v>2025</v>
          </cell>
          <cell r="I2018">
            <v>106</v>
          </cell>
          <cell r="J2018">
            <v>31</v>
          </cell>
          <cell r="K2018" t="str">
            <v>W</v>
          </cell>
        </row>
        <row r="2019">
          <cell r="A2019" t="str">
            <v>2025Brian9</v>
          </cell>
          <cell r="D2019" t="str">
            <v>Brian</v>
          </cell>
          <cell r="E2019" t="str">
            <v>David</v>
          </cell>
          <cell r="F2019">
            <v>2025</v>
          </cell>
          <cell r="I2019">
            <v>75</v>
          </cell>
          <cell r="J2019">
            <v>-31</v>
          </cell>
          <cell r="K2019" t="str">
            <v>L</v>
          </cell>
        </row>
        <row r="2020">
          <cell r="A2020" t="str">
            <v>2025Emily9</v>
          </cell>
          <cell r="D2020" t="str">
            <v>Emily</v>
          </cell>
          <cell r="E2020" t="str">
            <v>BR</v>
          </cell>
          <cell r="F2020">
            <v>2025</v>
          </cell>
          <cell r="I2020">
            <v>70</v>
          </cell>
          <cell r="J2020">
            <v>-62</v>
          </cell>
          <cell r="K2020" t="str">
            <v>L</v>
          </cell>
        </row>
        <row r="2021">
          <cell r="A2021" t="str">
            <v>2025BR9</v>
          </cell>
          <cell r="D2021" t="str">
            <v>BR</v>
          </cell>
          <cell r="E2021" t="str">
            <v>Emily</v>
          </cell>
          <cell r="F2021">
            <v>2025</v>
          </cell>
          <cell r="I2021">
            <v>132</v>
          </cell>
          <cell r="J2021">
            <v>62</v>
          </cell>
          <cell r="K2021" t="str">
            <v>W</v>
          </cell>
        </row>
        <row r="2022">
          <cell r="A2022" t="str">
            <v>2025Watty9</v>
          </cell>
          <cell r="D2022" t="str">
            <v>Watty</v>
          </cell>
          <cell r="E2022" t="str">
            <v>Grayson</v>
          </cell>
          <cell r="F2022">
            <v>2025</v>
          </cell>
          <cell r="I2022">
            <v>127</v>
          </cell>
          <cell r="J2022">
            <v>4</v>
          </cell>
          <cell r="K2022" t="str">
            <v>W</v>
          </cell>
        </row>
        <row r="2023">
          <cell r="A2023" t="str">
            <v>2025Grayson9</v>
          </cell>
          <cell r="D2023" t="str">
            <v>Grayson</v>
          </cell>
          <cell r="E2023" t="str">
            <v>Watty</v>
          </cell>
          <cell r="F2023">
            <v>2025</v>
          </cell>
          <cell r="I2023">
            <v>123</v>
          </cell>
          <cell r="J2023">
            <v>-4</v>
          </cell>
          <cell r="K2023" t="str">
            <v>L</v>
          </cell>
        </row>
        <row r="2024">
          <cell r="A2024" t="str">
            <v>2025Watty10</v>
          </cell>
          <cell r="D2024" t="str">
            <v>Watty</v>
          </cell>
          <cell r="E2024" t="str">
            <v>Michael</v>
          </cell>
          <cell r="F2024">
            <v>2025</v>
          </cell>
          <cell r="I2024">
            <v>55</v>
          </cell>
          <cell r="J2024">
            <v>-44</v>
          </cell>
          <cell r="K2024" t="str">
            <v>L</v>
          </cell>
        </row>
        <row r="2025">
          <cell r="A2025" t="str">
            <v>2025Michael10</v>
          </cell>
          <cell r="D2025" t="str">
            <v>Michael</v>
          </cell>
          <cell r="E2025" t="str">
            <v>Watty</v>
          </cell>
          <cell r="F2025">
            <v>2025</v>
          </cell>
          <cell r="I2025">
            <v>99</v>
          </cell>
          <cell r="J2025">
            <v>44</v>
          </cell>
          <cell r="K2025" t="str">
            <v>W</v>
          </cell>
        </row>
        <row r="2026">
          <cell r="A2026" t="str">
            <v>2025Matt10</v>
          </cell>
          <cell r="D2026" t="str">
            <v>Matt</v>
          </cell>
          <cell r="E2026" t="str">
            <v>Emily</v>
          </cell>
          <cell r="F2026">
            <v>2025</v>
          </cell>
          <cell r="I2026">
            <v>92</v>
          </cell>
          <cell r="J2026">
            <v>-25</v>
          </cell>
          <cell r="K2026" t="str">
            <v>L</v>
          </cell>
        </row>
        <row r="2027">
          <cell r="A2027" t="str">
            <v>2025Emily10</v>
          </cell>
          <cell r="D2027" t="str">
            <v>Emily</v>
          </cell>
          <cell r="E2027" t="str">
            <v>Matt</v>
          </cell>
          <cell r="F2027">
            <v>2025</v>
          </cell>
          <cell r="I2027">
            <v>117</v>
          </cell>
          <cell r="J2027">
            <v>25</v>
          </cell>
          <cell r="K2027" t="str">
            <v>W</v>
          </cell>
        </row>
        <row r="2028">
          <cell r="A2028" t="str">
            <v>2025Jordan10</v>
          </cell>
          <cell r="D2028" t="str">
            <v>Jordan</v>
          </cell>
          <cell r="E2028" t="str">
            <v>Brent</v>
          </cell>
          <cell r="F2028">
            <v>2025</v>
          </cell>
          <cell r="I2028">
            <v>97</v>
          </cell>
          <cell r="J2028">
            <v>26</v>
          </cell>
          <cell r="K2028" t="str">
            <v>W</v>
          </cell>
        </row>
        <row r="2029">
          <cell r="A2029" t="str">
            <v>2025Brent10</v>
          </cell>
          <cell r="D2029" t="str">
            <v>Brent</v>
          </cell>
          <cell r="E2029" t="str">
            <v>Jordan</v>
          </cell>
          <cell r="F2029">
            <v>2025</v>
          </cell>
          <cell r="I2029">
            <v>71</v>
          </cell>
          <cell r="J2029">
            <v>-26</v>
          </cell>
          <cell r="K2029" t="str">
            <v>L</v>
          </cell>
        </row>
        <row r="2030">
          <cell r="A2030" t="str">
            <v>2025Mark10</v>
          </cell>
          <cell r="D2030" t="str">
            <v>Mark</v>
          </cell>
          <cell r="E2030" t="str">
            <v>Russell</v>
          </cell>
          <cell r="F2030">
            <v>2025</v>
          </cell>
          <cell r="I2030">
            <v>91</v>
          </cell>
          <cell r="J2030">
            <v>-9</v>
          </cell>
          <cell r="K2030" t="str">
            <v>L</v>
          </cell>
        </row>
        <row r="2031">
          <cell r="A2031" t="str">
            <v>2025Russell10</v>
          </cell>
          <cell r="D2031" t="str">
            <v>Russell</v>
          </cell>
          <cell r="E2031" t="str">
            <v>Mark</v>
          </cell>
          <cell r="F2031">
            <v>2025</v>
          </cell>
          <cell r="I2031">
            <v>100</v>
          </cell>
          <cell r="J2031">
            <v>9</v>
          </cell>
          <cell r="K2031" t="str">
            <v>W</v>
          </cell>
        </row>
        <row r="2032">
          <cell r="A2032" t="str">
            <v>2025Brian10</v>
          </cell>
          <cell r="D2032" t="str">
            <v>Brian</v>
          </cell>
          <cell r="E2032" t="str">
            <v>Arnold</v>
          </cell>
          <cell r="F2032">
            <v>2025</v>
          </cell>
          <cell r="I2032">
            <v>127</v>
          </cell>
          <cell r="J2032">
            <v>7</v>
          </cell>
          <cell r="K2032" t="str">
            <v>W</v>
          </cell>
        </row>
        <row r="2033">
          <cell r="A2033" t="str">
            <v>2025Arnold10</v>
          </cell>
          <cell r="D2033" t="str">
            <v>Arnold</v>
          </cell>
          <cell r="E2033" t="str">
            <v>Brian</v>
          </cell>
          <cell r="F2033">
            <v>2025</v>
          </cell>
          <cell r="I2033">
            <v>120</v>
          </cell>
          <cell r="J2033">
            <v>-7</v>
          </cell>
          <cell r="K2033" t="str">
            <v>L</v>
          </cell>
        </row>
        <row r="2034">
          <cell r="A2034" t="str">
            <v>2025BR10</v>
          </cell>
          <cell r="D2034" t="str">
            <v>BR</v>
          </cell>
          <cell r="E2034" t="str">
            <v>David</v>
          </cell>
          <cell r="F2034">
            <v>2025</v>
          </cell>
          <cell r="I2034">
            <v>130</v>
          </cell>
          <cell r="J2034">
            <v>-18</v>
          </cell>
          <cell r="K2034" t="str">
            <v>L</v>
          </cell>
        </row>
        <row r="2035">
          <cell r="A2035" t="str">
            <v>2025David10</v>
          </cell>
          <cell r="D2035" t="str">
            <v>David</v>
          </cell>
          <cell r="E2035" t="str">
            <v>BR</v>
          </cell>
          <cell r="F2035">
            <v>2025</v>
          </cell>
          <cell r="I2035">
            <v>148</v>
          </cell>
          <cell r="J2035">
            <v>18</v>
          </cell>
          <cell r="K2035" t="str">
            <v>W</v>
          </cell>
        </row>
        <row r="2036">
          <cell r="A2036" t="str">
            <v>2025Grayson10</v>
          </cell>
          <cell r="D2036" t="str">
            <v>Grayson</v>
          </cell>
          <cell r="E2036" t="str">
            <v>Charles</v>
          </cell>
          <cell r="F2036">
            <v>2025</v>
          </cell>
          <cell r="I2036">
            <v>114</v>
          </cell>
          <cell r="J2036">
            <v>-38</v>
          </cell>
          <cell r="K2036" t="str">
            <v>L</v>
          </cell>
        </row>
        <row r="2037">
          <cell r="A2037" t="str">
            <v>2025Charles10</v>
          </cell>
          <cell r="D2037" t="str">
            <v>Charles</v>
          </cell>
          <cell r="E2037" t="str">
            <v>Grayson</v>
          </cell>
          <cell r="F2037">
            <v>2025</v>
          </cell>
          <cell r="I2037">
            <v>152</v>
          </cell>
          <cell r="J2037">
            <v>38</v>
          </cell>
          <cell r="K2037" t="str">
            <v>W</v>
          </cell>
        </row>
        <row r="2038">
          <cell r="A2038" t="str">
            <v>2025Michael11</v>
          </cell>
          <cell r="D2038" t="str">
            <v>Michael</v>
          </cell>
          <cell r="E2038" t="str">
            <v>Jordan</v>
          </cell>
          <cell r="F2038">
            <v>2025</v>
          </cell>
          <cell r="I2038">
            <v>97</v>
          </cell>
          <cell r="J2038">
            <v>-35</v>
          </cell>
          <cell r="K2038" t="str">
            <v>L</v>
          </cell>
        </row>
        <row r="2039">
          <cell r="A2039" t="str">
            <v>2025Jordan11</v>
          </cell>
          <cell r="D2039" t="str">
            <v>Jordan</v>
          </cell>
          <cell r="E2039" t="str">
            <v>Michael</v>
          </cell>
          <cell r="F2039">
            <v>2025</v>
          </cell>
          <cell r="I2039">
            <v>132</v>
          </cell>
          <cell r="J2039">
            <v>35</v>
          </cell>
          <cell r="K2039" t="str">
            <v>W</v>
          </cell>
        </row>
        <row r="2040">
          <cell r="A2040" t="str">
            <v>2025Arnold11</v>
          </cell>
          <cell r="D2040" t="str">
            <v>Arnold</v>
          </cell>
          <cell r="E2040" t="str">
            <v>BR</v>
          </cell>
          <cell r="F2040">
            <v>2025</v>
          </cell>
          <cell r="I2040">
            <v>111</v>
          </cell>
          <cell r="J2040">
            <v>25</v>
          </cell>
          <cell r="K2040" t="str">
            <v>W</v>
          </cell>
        </row>
        <row r="2041">
          <cell r="A2041" t="str">
            <v>2025BR11</v>
          </cell>
          <cell r="D2041" t="str">
            <v>BR</v>
          </cell>
          <cell r="E2041" t="str">
            <v>Arnold</v>
          </cell>
          <cell r="F2041">
            <v>2025</v>
          </cell>
          <cell r="I2041">
            <v>86</v>
          </cell>
          <cell r="J2041">
            <v>-25</v>
          </cell>
          <cell r="K2041" t="str">
            <v>L</v>
          </cell>
        </row>
        <row r="2042">
          <cell r="A2042" t="str">
            <v>2025Russell11</v>
          </cell>
          <cell r="D2042" t="str">
            <v>Russell</v>
          </cell>
          <cell r="E2042" t="str">
            <v>Brian</v>
          </cell>
          <cell r="F2042">
            <v>2025</v>
          </cell>
          <cell r="I2042">
            <v>126</v>
          </cell>
          <cell r="J2042">
            <v>36</v>
          </cell>
          <cell r="K2042" t="str">
            <v>W</v>
          </cell>
        </row>
        <row r="2043">
          <cell r="A2043" t="str">
            <v>2025Brian11</v>
          </cell>
          <cell r="D2043" t="str">
            <v>Brian</v>
          </cell>
          <cell r="E2043" t="str">
            <v>Russell</v>
          </cell>
          <cell r="F2043">
            <v>2025</v>
          </cell>
          <cell r="I2043">
            <v>90</v>
          </cell>
          <cell r="J2043">
            <v>-36</v>
          </cell>
          <cell r="K2043" t="str">
            <v>L</v>
          </cell>
        </row>
        <row r="2044">
          <cell r="A2044" t="str">
            <v>2025David11</v>
          </cell>
          <cell r="D2044" t="str">
            <v>David</v>
          </cell>
          <cell r="E2044" t="str">
            <v>Matt</v>
          </cell>
          <cell r="F2044">
            <v>2025</v>
          </cell>
          <cell r="I2044">
            <v>59</v>
          </cell>
          <cell r="J2044">
            <v>-68</v>
          </cell>
          <cell r="K2044" t="str">
            <v>L</v>
          </cell>
        </row>
        <row r="2045">
          <cell r="A2045" t="str">
            <v>2025Matt11</v>
          </cell>
          <cell r="D2045" t="str">
            <v>Matt</v>
          </cell>
          <cell r="E2045" t="str">
            <v>David</v>
          </cell>
          <cell r="F2045">
            <v>2025</v>
          </cell>
          <cell r="I2045">
            <v>127</v>
          </cell>
          <cell r="J2045">
            <v>68</v>
          </cell>
          <cell r="K2045" t="str">
            <v>W</v>
          </cell>
        </row>
        <row r="2046">
          <cell r="A2046" t="str">
            <v>2025Charles11</v>
          </cell>
          <cell r="D2046" t="str">
            <v>Charles</v>
          </cell>
          <cell r="E2046" t="str">
            <v>Watty</v>
          </cell>
          <cell r="F2046">
            <v>2025</v>
          </cell>
          <cell r="I2046">
            <v>137</v>
          </cell>
          <cell r="J2046">
            <v>72</v>
          </cell>
          <cell r="K2046" t="str">
            <v>W</v>
          </cell>
        </row>
        <row r="2047">
          <cell r="A2047" t="str">
            <v>2025Watty11</v>
          </cell>
          <cell r="D2047" t="str">
            <v>Watty</v>
          </cell>
          <cell r="E2047" t="str">
            <v>Charles</v>
          </cell>
          <cell r="F2047">
            <v>2025</v>
          </cell>
          <cell r="I2047">
            <v>65</v>
          </cell>
          <cell r="J2047">
            <v>-72</v>
          </cell>
          <cell r="K2047" t="str">
            <v>L</v>
          </cell>
        </row>
        <row r="2048">
          <cell r="A2048" t="str">
            <v>2025Brent11</v>
          </cell>
          <cell r="D2048" t="str">
            <v>Brent</v>
          </cell>
          <cell r="E2048" t="str">
            <v>Mark</v>
          </cell>
          <cell r="F2048">
            <v>2025</v>
          </cell>
          <cell r="I2048">
            <v>127</v>
          </cell>
          <cell r="J2048">
            <v>14</v>
          </cell>
          <cell r="K2048" t="str">
            <v>W</v>
          </cell>
        </row>
        <row r="2049">
          <cell r="A2049" t="str">
            <v>2025Mark11</v>
          </cell>
          <cell r="D2049" t="str">
            <v>Mark</v>
          </cell>
          <cell r="E2049" t="str">
            <v>Brent</v>
          </cell>
          <cell r="F2049">
            <v>2025</v>
          </cell>
          <cell r="I2049">
            <v>113</v>
          </cell>
          <cell r="J2049">
            <v>-14</v>
          </cell>
          <cell r="K2049" t="str">
            <v>L</v>
          </cell>
        </row>
        <row r="2050">
          <cell r="A2050" t="str">
            <v>2025Emily11</v>
          </cell>
          <cell r="D2050" t="str">
            <v>Emily</v>
          </cell>
          <cell r="E2050" t="str">
            <v>Grayson</v>
          </cell>
          <cell r="F2050">
            <v>2025</v>
          </cell>
          <cell r="I2050">
            <v>84</v>
          </cell>
          <cell r="J2050">
            <v>3</v>
          </cell>
          <cell r="K2050" t="str">
            <v>W</v>
          </cell>
        </row>
        <row r="2051">
          <cell r="A2051" t="str">
            <v>2025Grayson11</v>
          </cell>
          <cell r="D2051" t="str">
            <v>Grayson</v>
          </cell>
          <cell r="E2051" t="str">
            <v>Emily</v>
          </cell>
          <cell r="F2051">
            <v>2025</v>
          </cell>
          <cell r="I2051">
            <v>81</v>
          </cell>
          <cell r="J2051">
            <v>-3</v>
          </cell>
          <cell r="K2051" t="str">
            <v>L</v>
          </cell>
        </row>
        <row r="2052">
          <cell r="A2052" t="str">
            <v>2025Charles12</v>
          </cell>
          <cell r="D2052" t="str">
            <v>Charles</v>
          </cell>
          <cell r="E2052" t="str">
            <v>Michael</v>
          </cell>
          <cell r="F2052">
            <v>2025</v>
          </cell>
          <cell r="I2052">
            <v>123</v>
          </cell>
          <cell r="J2052">
            <v>45</v>
          </cell>
          <cell r="K2052" t="str">
            <v>W</v>
          </cell>
        </row>
        <row r="2053">
          <cell r="A2053" t="str">
            <v>2025Michael12</v>
          </cell>
          <cell r="D2053" t="str">
            <v>Michael</v>
          </cell>
          <cell r="E2053" t="str">
            <v>Charles</v>
          </cell>
          <cell r="F2053">
            <v>2025</v>
          </cell>
          <cell r="I2053">
            <v>78</v>
          </cell>
          <cell r="J2053">
            <v>-45</v>
          </cell>
          <cell r="K2053" t="str">
            <v>L</v>
          </cell>
        </row>
        <row r="2054">
          <cell r="A2054" t="str">
            <v>2025Brian12</v>
          </cell>
          <cell r="D2054" t="str">
            <v>Brian</v>
          </cell>
          <cell r="E2054" t="str">
            <v>Brent</v>
          </cell>
          <cell r="F2054">
            <v>2025</v>
          </cell>
          <cell r="I2054">
            <v>150</v>
          </cell>
          <cell r="J2054">
            <v>54</v>
          </cell>
          <cell r="K2054" t="str">
            <v>W</v>
          </cell>
        </row>
        <row r="2055">
          <cell r="A2055" t="str">
            <v>2025Brent12</v>
          </cell>
          <cell r="D2055" t="str">
            <v>Brent</v>
          </cell>
          <cell r="E2055" t="str">
            <v>Brian</v>
          </cell>
          <cell r="F2055">
            <v>2025</v>
          </cell>
          <cell r="I2055">
            <v>96</v>
          </cell>
          <cell r="J2055">
            <v>-54</v>
          </cell>
          <cell r="K2055" t="str">
            <v>L</v>
          </cell>
        </row>
        <row r="2056">
          <cell r="A2056" t="str">
            <v>2025Grayson12</v>
          </cell>
          <cell r="D2056" t="str">
            <v>Grayson</v>
          </cell>
          <cell r="E2056" t="str">
            <v>David</v>
          </cell>
          <cell r="F2056">
            <v>2025</v>
          </cell>
          <cell r="I2056">
            <v>74</v>
          </cell>
          <cell r="J2056">
            <v>-50</v>
          </cell>
          <cell r="K2056" t="str">
            <v>L</v>
          </cell>
        </row>
        <row r="2057">
          <cell r="A2057" t="str">
            <v>2025David12</v>
          </cell>
          <cell r="D2057" t="str">
            <v>David</v>
          </cell>
          <cell r="E2057" t="str">
            <v>Grayson</v>
          </cell>
          <cell r="F2057">
            <v>2025</v>
          </cell>
          <cell r="I2057">
            <v>124</v>
          </cell>
          <cell r="J2057">
            <v>50</v>
          </cell>
          <cell r="K2057" t="str">
            <v>W</v>
          </cell>
        </row>
        <row r="2058">
          <cell r="A2058" t="str">
            <v>2025BR12</v>
          </cell>
          <cell r="D2058" t="str">
            <v>BR</v>
          </cell>
          <cell r="E2058" t="str">
            <v>Russell</v>
          </cell>
          <cell r="F2058">
            <v>2025</v>
          </cell>
          <cell r="I2058">
            <v>101</v>
          </cell>
          <cell r="J2058">
            <v>-35</v>
          </cell>
          <cell r="K2058" t="str">
            <v>L</v>
          </cell>
        </row>
        <row r="2059">
          <cell r="A2059" t="str">
            <v>2025Russell12</v>
          </cell>
          <cell r="D2059" t="str">
            <v>Russell</v>
          </cell>
          <cell r="E2059" t="str">
            <v>BR</v>
          </cell>
          <cell r="F2059">
            <v>2025</v>
          </cell>
          <cell r="I2059">
            <v>136</v>
          </cell>
          <cell r="J2059">
            <v>35</v>
          </cell>
          <cell r="K2059" t="str">
            <v>W</v>
          </cell>
        </row>
        <row r="2060">
          <cell r="A2060" t="str">
            <v>2025Watty12</v>
          </cell>
          <cell r="D2060" t="str">
            <v>Watty</v>
          </cell>
          <cell r="E2060" t="str">
            <v>Emily</v>
          </cell>
          <cell r="F2060">
            <v>2025</v>
          </cell>
          <cell r="I2060">
            <v>128</v>
          </cell>
          <cell r="J2060">
            <v>22</v>
          </cell>
          <cell r="K2060" t="str">
            <v>W</v>
          </cell>
        </row>
        <row r="2061">
          <cell r="A2061" t="str">
            <v>2025Emily12</v>
          </cell>
          <cell r="D2061" t="str">
            <v>Emily</v>
          </cell>
          <cell r="E2061" t="str">
            <v>Watty</v>
          </cell>
          <cell r="F2061">
            <v>2025</v>
          </cell>
          <cell r="I2061">
            <v>106</v>
          </cell>
          <cell r="J2061">
            <v>-22</v>
          </cell>
          <cell r="K2061" t="str">
            <v>L</v>
          </cell>
        </row>
        <row r="2062">
          <cell r="A2062" t="str">
            <v>2025Matt12</v>
          </cell>
          <cell r="D2062" t="str">
            <v>Matt</v>
          </cell>
          <cell r="E2062" t="str">
            <v>Arnold</v>
          </cell>
          <cell r="F2062">
            <v>2025</v>
          </cell>
          <cell r="I2062">
            <v>106</v>
          </cell>
          <cell r="J2062">
            <v>-4</v>
          </cell>
          <cell r="K2062" t="str">
            <v>L</v>
          </cell>
        </row>
        <row r="2063">
          <cell r="A2063" t="str">
            <v>2025Arnold12</v>
          </cell>
          <cell r="D2063" t="str">
            <v>Arnold</v>
          </cell>
          <cell r="E2063" t="str">
            <v>Matt</v>
          </cell>
          <cell r="F2063">
            <v>2025</v>
          </cell>
          <cell r="I2063">
            <v>110</v>
          </cell>
          <cell r="J2063">
            <v>4</v>
          </cell>
          <cell r="K2063" t="str">
            <v>W</v>
          </cell>
        </row>
        <row r="2064">
          <cell r="A2064" t="str">
            <v>2025Mark12</v>
          </cell>
          <cell r="D2064" t="str">
            <v>Mark</v>
          </cell>
          <cell r="E2064" t="str">
            <v>Jordan</v>
          </cell>
          <cell r="F2064">
            <v>2025</v>
          </cell>
          <cell r="I2064">
            <v>119</v>
          </cell>
          <cell r="J2064">
            <v>-1</v>
          </cell>
          <cell r="K2064" t="str">
            <v>L</v>
          </cell>
        </row>
        <row r="2065">
          <cell r="A2065" t="str">
            <v>2025Jordan12</v>
          </cell>
          <cell r="D2065" t="str">
            <v>Jordan</v>
          </cell>
          <cell r="E2065" t="str">
            <v>Mark</v>
          </cell>
          <cell r="F2065">
            <v>2025</v>
          </cell>
          <cell r="I2065">
            <v>120</v>
          </cell>
          <cell r="J2065">
            <v>1</v>
          </cell>
          <cell r="K2065" t="str">
            <v>W</v>
          </cell>
        </row>
      </sheetData>
      <sheetData sheetId="4"/>
      <sheetData sheetId="5"/>
      <sheetData sheetId="6"/>
      <sheetData sheetId="7">
        <row r="2">
          <cell r="A2" t="str">
            <v>Abby</v>
          </cell>
        </row>
        <row r="3">
          <cell r="A3" t="str">
            <v>Arnold</v>
          </cell>
        </row>
        <row r="4">
          <cell r="A4" t="str">
            <v>BR</v>
          </cell>
        </row>
        <row r="5">
          <cell r="A5" t="str">
            <v>Brent</v>
          </cell>
        </row>
        <row r="6">
          <cell r="A6" t="str">
            <v>Brian</v>
          </cell>
        </row>
        <row r="7">
          <cell r="A7" t="str">
            <v>Charles</v>
          </cell>
        </row>
        <row r="8">
          <cell r="A8" t="str">
            <v>David</v>
          </cell>
        </row>
        <row r="9">
          <cell r="A9" t="str">
            <v>Emily</v>
          </cell>
        </row>
        <row r="10">
          <cell r="A10" t="str">
            <v>Grayson</v>
          </cell>
        </row>
        <row r="11">
          <cell r="A11" t="str">
            <v>Jordan</v>
          </cell>
        </row>
        <row r="12">
          <cell r="A12" t="str">
            <v>Mark</v>
          </cell>
        </row>
        <row r="13">
          <cell r="A13" t="str">
            <v>Matt</v>
          </cell>
        </row>
        <row r="14">
          <cell r="A14" t="str">
            <v>Michael</v>
          </cell>
        </row>
        <row r="15">
          <cell r="A15" t="str">
            <v>Russell</v>
          </cell>
        </row>
        <row r="16">
          <cell r="A16" t="str">
            <v>Watty</v>
          </cell>
        </row>
        <row r="18">
          <cell r="A18">
            <v>2013</v>
          </cell>
        </row>
        <row r="19">
          <cell r="A19">
            <v>2014</v>
          </cell>
        </row>
        <row r="20">
          <cell r="A20">
            <v>2015</v>
          </cell>
        </row>
        <row r="21">
          <cell r="A21">
            <v>2016</v>
          </cell>
        </row>
        <row r="22">
          <cell r="A22">
            <v>2017</v>
          </cell>
        </row>
        <row r="23">
          <cell r="A23">
            <v>2018</v>
          </cell>
        </row>
        <row r="24">
          <cell r="A24">
            <v>2019</v>
          </cell>
        </row>
        <row r="25">
          <cell r="A25">
            <v>2020</v>
          </cell>
        </row>
        <row r="26">
          <cell r="A26">
            <v>2021</v>
          </cell>
        </row>
        <row r="27">
          <cell r="A27">
            <v>2022</v>
          </cell>
        </row>
        <row r="28">
          <cell r="A28">
            <v>2023</v>
          </cell>
        </row>
        <row r="29">
          <cell r="A29">
            <v>2024</v>
          </cell>
        </row>
        <row r="30">
          <cell r="A30">
            <v>2025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Page"/>
      <sheetName val="Regular Season"/>
      <sheetName val="Playoffs"/>
      <sheetName val="Tables"/>
    </sheetNames>
    <sheetDataSet>
      <sheetData sheetId="0">
        <row r="6">
          <cell r="B6" t="str">
            <v>Andrew</v>
          </cell>
        </row>
        <row r="7">
          <cell r="B7" t="str">
            <v>Bob</v>
          </cell>
        </row>
        <row r="8">
          <cell r="B8" t="str">
            <v>Brandon</v>
          </cell>
        </row>
        <row r="9">
          <cell r="B9" t="str">
            <v>Cody</v>
          </cell>
        </row>
        <row r="10">
          <cell r="B10" t="str">
            <v>Dustin</v>
          </cell>
        </row>
        <row r="11">
          <cell r="B11" t="str">
            <v>Michael</v>
          </cell>
        </row>
        <row r="12">
          <cell r="B12" t="str">
            <v>Preston</v>
          </cell>
        </row>
        <row r="13">
          <cell r="B13" t="str">
            <v>Ryan</v>
          </cell>
        </row>
        <row r="14">
          <cell r="B14" t="str">
            <v>Steven</v>
          </cell>
        </row>
        <row r="15">
          <cell r="B15" t="str">
            <v>TJ</v>
          </cell>
        </row>
        <row r="16">
          <cell r="B16" t="str">
            <v>Trent</v>
          </cell>
        </row>
        <row r="17">
          <cell r="B17" t="str">
            <v>Trey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Page"/>
      <sheetName val="Regular Season"/>
      <sheetName val="Playoffs"/>
      <sheetName val="Tables"/>
      <sheetName val="Compare Schedules"/>
      <sheetName val="Playoff Graphic"/>
    </sheetNames>
    <sheetDataSet>
      <sheetData sheetId="0">
        <row r="5">
          <cell r="B5" t="str">
            <v>Brett</v>
          </cell>
        </row>
        <row r="6">
          <cell r="B6" t="str">
            <v>Bryan</v>
          </cell>
        </row>
        <row r="7">
          <cell r="B7" t="str">
            <v>Chad</v>
          </cell>
        </row>
        <row r="8">
          <cell r="B8" t="str">
            <v>Endel</v>
          </cell>
        </row>
        <row r="9">
          <cell r="B9" t="str">
            <v>Kenny</v>
          </cell>
        </row>
        <row r="10">
          <cell r="B10" t="str">
            <v>Harper</v>
          </cell>
        </row>
        <row r="11">
          <cell r="B11" t="str">
            <v>James</v>
          </cell>
        </row>
        <row r="12">
          <cell r="B12" t="str">
            <v>Jonathan</v>
          </cell>
        </row>
        <row r="13">
          <cell r="B13" t="str">
            <v>Lide</v>
          </cell>
        </row>
        <row r="14">
          <cell r="B14" t="str">
            <v>Michael</v>
          </cell>
        </row>
        <row r="15">
          <cell r="B15" t="str">
            <v>Scott</v>
          </cell>
        </row>
        <row r="16">
          <cell r="B16" t="str">
            <v>Tommy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ickland, Michael" refreshedDate="45225.420470370373" createdVersion="7" refreshedVersion="7" minRefreshableVersion="3" recordCount="660" xr:uid="{94B1EC36-00D5-4F92-A6D3-21495FB6C9AA}">
  <cacheSource type="worksheet">
    <worksheetSource ref="A1:U661" sheet="Regular Season"/>
  </cacheSource>
  <cacheFields count="23">
    <cacheField name="GameID" numFmtId="0">
      <sharedItems containsSemiMixedTypes="0" containsString="0" containsNumber="1" containsInteger="1" minValue="1" maxValue="660"/>
    </cacheField>
    <cacheField name="Rank Diff" numFmtId="0">
      <sharedItems containsSemiMixedTypes="0" containsString="0" containsNumber="1" containsInteger="1" minValue="1" maxValue="694"/>
    </cacheField>
    <cacheField name="Rank Total Pts" numFmtId="0">
      <sharedItems containsSemiMixedTypes="0" containsString="0" containsNumber="1" containsInteger="1" minValue="2" maxValue="695"/>
    </cacheField>
    <cacheField name="Rank Win Pts" numFmtId="0">
      <sharedItems containsSemiMixedTypes="0" containsString="0" containsNumber="1" containsInteger="1" minValue="1" maxValue="695"/>
    </cacheField>
    <cacheField name="Rank Loser Pts" numFmtId="0">
      <sharedItems containsSemiMixedTypes="0" containsString="0" containsNumber="1" containsInteger="1" minValue="1" maxValue="695"/>
    </cacheField>
    <cacheField name="Year" numFmtId="0">
      <sharedItems containsSemiMixedTypes="0" containsString="0" containsNumber="1" containsInteger="1" minValue="2013" maxValue="2022" count="10"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Matchup Week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Game ID" numFmtId="0">
      <sharedItems containsSemiMixedTypes="0" containsString="0" containsNumber="1" containsInteger="1" minValue="0" maxValue="70"/>
    </cacheField>
    <cacheField name="Home Team" numFmtId="0">
      <sharedItems/>
    </cacheField>
    <cacheField name="Home Name" numFmtId="0">
      <sharedItems/>
    </cacheField>
    <cacheField name="Home Total Points" numFmtId="0">
      <sharedItems containsSemiMixedTypes="0" containsString="0" containsNumber="1" minValue="43.36" maxValue="177"/>
    </cacheField>
    <cacheField name="Away Team" numFmtId="0">
      <sharedItems/>
    </cacheField>
    <cacheField name="Away Name" numFmtId="0">
      <sharedItems/>
    </cacheField>
    <cacheField name="Away Total Points" numFmtId="0">
      <sharedItems containsSemiMixedTypes="0" containsString="0" containsNumber="1" minValue="41" maxValue="186.92"/>
    </cacheField>
    <cacheField name="Playoff Round" numFmtId="0">
      <sharedItems/>
    </cacheField>
    <cacheField name="Total Points" numFmtId="0">
      <sharedItems containsSemiMixedTypes="0" containsString="0" containsNumber="1" minValue="115" maxValue="328.98"/>
    </cacheField>
    <cacheField name="Margin Victory" numFmtId="0">
      <sharedItems containsSemiMixedTypes="0" containsString="0" containsNumber="1" minValue="0" maxValue="96.62"/>
    </cacheField>
    <cacheField name="Winner Name" numFmtId="0">
      <sharedItems count="10">
        <s v="Graham/Michael"/>
        <s v="Walker/Cory"/>
        <s v="Pat/Tucker"/>
        <s v="Clay/Ryan"/>
        <s v="Trent/Colin"/>
        <s v="Eric/Blake"/>
        <s v="Drew/Cam"/>
        <s v="Brian/Travis"/>
        <s v="Dave/Nolan"/>
        <s v="David/Marshall"/>
      </sharedItems>
    </cacheField>
    <cacheField name="Loser Name" numFmtId="0">
      <sharedItems count="10">
        <s v="Drew/Cam"/>
        <s v="Dave/Nolan"/>
        <s v="Eric/Blake"/>
        <s v="Brian/Travis"/>
        <s v="David/Marshall"/>
        <s v="Walker/Cory"/>
        <s v="Graham/Michael"/>
        <s v="Trent/Colin"/>
        <s v="Clay/Ryan"/>
        <s v="Pat/Tucker"/>
      </sharedItems>
    </cacheField>
    <cacheField name="Loser" numFmtId="0">
      <sharedItems/>
    </cacheField>
    <cacheField name="Winner" numFmtId="0">
      <sharedItems/>
    </cacheField>
    <cacheField name="Winner Pts" numFmtId="0">
      <sharedItems containsSemiMixedTypes="0" containsString="0" containsNumber="1" minValue="69" maxValue="186.92"/>
    </cacheField>
    <cacheField name="Loser Pts" numFmtId="0">
      <sharedItems containsSemiMixedTypes="0" containsString="0" containsNumber="1" minValue="41" maxValue="156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n v="1"/>
    <n v="311"/>
    <n v="308"/>
    <n v="334"/>
    <n v="301"/>
    <x v="0"/>
    <x v="0"/>
    <n v="0"/>
    <s v="WWJD"/>
    <s v="Graham/Michael"/>
    <n v="120.5"/>
    <s v="DIX"/>
    <s v="Drew/Cam"/>
    <n v="96.5"/>
    <s v="NONE"/>
    <n v="217"/>
    <n v="24"/>
    <x v="0"/>
    <x v="0"/>
    <s v="AWAY"/>
    <s v="HOME"/>
    <n v="120.5"/>
    <n v="96.5"/>
  </r>
  <r>
    <n v="2"/>
    <n v="404"/>
    <n v="36"/>
    <n v="85"/>
    <n v="25"/>
    <x v="0"/>
    <x v="0"/>
    <n v="1"/>
    <s v="Cali"/>
    <s v="Dave/Nolan"/>
    <n v="126.5"/>
    <s v="RDS"/>
    <s v="Walker/Cory"/>
    <n v="144.5"/>
    <s v="NONE"/>
    <n v="271"/>
    <n v="18"/>
    <x v="1"/>
    <x v="1"/>
    <s v="HOME"/>
    <s v="AWAY"/>
    <n v="144.5"/>
    <n v="126.5"/>
  </r>
  <r>
    <n v="3"/>
    <n v="239"/>
    <n v="28"/>
    <n v="46"/>
    <n v="47"/>
    <x v="0"/>
    <x v="0"/>
    <n v="2"/>
    <s v="$MM$"/>
    <s v="Pat/Tucker"/>
    <n v="152.5"/>
    <s v="PALP"/>
    <s v="Eric/Blake"/>
    <n v="121.5"/>
    <s v="NONE"/>
    <n v="274"/>
    <n v="31"/>
    <x v="2"/>
    <x v="2"/>
    <s v="AWAY"/>
    <s v="HOME"/>
    <n v="152.5"/>
    <n v="121.5"/>
  </r>
  <r>
    <n v="4"/>
    <n v="187"/>
    <n v="588"/>
    <n v="482"/>
    <n v="626"/>
    <x v="0"/>
    <x v="0"/>
    <n v="3"/>
    <s v="TM4"/>
    <s v="Brian/Travis"/>
    <n v="71"/>
    <s v="TM3"/>
    <s v="Clay/Ryan"/>
    <n v="107.5"/>
    <s v="NONE"/>
    <n v="178.5"/>
    <n v="36.5"/>
    <x v="3"/>
    <x v="3"/>
    <s v="HOME"/>
    <s v="AWAY"/>
    <n v="107.5"/>
    <n v="71"/>
  </r>
  <r>
    <n v="5"/>
    <n v="542"/>
    <n v="551"/>
    <n v="597"/>
    <n v="423"/>
    <x v="0"/>
    <x v="0"/>
    <n v="4"/>
    <s v="PCP"/>
    <s v="Trent/Colin"/>
    <n v="97"/>
    <s v="TM8"/>
    <s v="David/Marshall"/>
    <n v="88"/>
    <s v="NONE"/>
    <n v="185"/>
    <n v="9"/>
    <x v="4"/>
    <x v="4"/>
    <s v="AWAY"/>
    <s v="HOME"/>
    <n v="97"/>
    <n v="88"/>
  </r>
  <r>
    <n v="6"/>
    <n v="629"/>
    <n v="394"/>
    <n v="511"/>
    <n v="233"/>
    <x v="0"/>
    <x v="1"/>
    <n v="5"/>
    <s v="RDS"/>
    <s v="Walker/Cory"/>
    <n v="101"/>
    <s v="PALP"/>
    <s v="Eric/Blake"/>
    <n v="105.5"/>
    <s v="NONE"/>
    <n v="206.5"/>
    <n v="4.5"/>
    <x v="5"/>
    <x v="5"/>
    <s v="HOME"/>
    <s v="AWAY"/>
    <n v="105.5"/>
    <n v="101"/>
  </r>
  <r>
    <n v="7"/>
    <n v="8"/>
    <n v="98"/>
    <n v="13"/>
    <n v="494"/>
    <x v="0"/>
    <x v="1"/>
    <n v="6"/>
    <s v="TM3"/>
    <s v="Clay/Ryan"/>
    <n v="168.5"/>
    <s v="WWJD"/>
    <s v="Graham/Michael"/>
    <n v="84"/>
    <s v="NONE"/>
    <n v="252.5"/>
    <n v="84.5"/>
    <x v="3"/>
    <x v="6"/>
    <s v="AWAY"/>
    <s v="HOME"/>
    <n v="168.5"/>
    <n v="84"/>
  </r>
  <r>
    <n v="8"/>
    <n v="611"/>
    <n v="672"/>
    <n v="684"/>
    <n v="609"/>
    <x v="0"/>
    <x v="1"/>
    <n v="7"/>
    <s v="TM8"/>
    <s v="David/Marshall"/>
    <n v="73"/>
    <s v="DIX"/>
    <s v="Drew/Cam"/>
    <n v="78.5"/>
    <s v="NONE"/>
    <n v="151.5"/>
    <n v="5.5"/>
    <x v="6"/>
    <x v="4"/>
    <s v="HOME"/>
    <s v="AWAY"/>
    <n v="78.5"/>
    <n v="73"/>
  </r>
  <r>
    <n v="9"/>
    <n v="611"/>
    <n v="451"/>
    <n v="548"/>
    <n v="292"/>
    <x v="0"/>
    <x v="1"/>
    <n v="8"/>
    <s v="TM4"/>
    <s v="Brian/Travis"/>
    <n v="102.5"/>
    <s v="Cali"/>
    <s v="Dave/Nolan"/>
    <n v="97"/>
    <s v="NONE"/>
    <n v="199.5"/>
    <n v="5.5"/>
    <x v="7"/>
    <x v="1"/>
    <s v="AWAY"/>
    <s v="HOME"/>
    <n v="102.5"/>
    <n v="97"/>
  </r>
  <r>
    <n v="10"/>
    <n v="17"/>
    <n v="534"/>
    <n v="226"/>
    <n v="677"/>
    <x v="0"/>
    <x v="1"/>
    <n v="9"/>
    <s v="PCP"/>
    <s v="Trent/Colin"/>
    <n v="59"/>
    <s v="$MM$"/>
    <s v="Pat/Tucker"/>
    <n v="128"/>
    <s v="NONE"/>
    <n v="187"/>
    <n v="69"/>
    <x v="2"/>
    <x v="7"/>
    <s v="HOME"/>
    <s v="AWAY"/>
    <n v="128"/>
    <n v="59"/>
  </r>
  <r>
    <n v="11"/>
    <n v="70"/>
    <n v="509"/>
    <n v="325"/>
    <n v="640"/>
    <x v="0"/>
    <x v="2"/>
    <n v="10"/>
    <s v="TM3"/>
    <s v="Clay/Ryan"/>
    <n v="121"/>
    <s v="TM8"/>
    <s v="David/Marshall"/>
    <n v="69.5"/>
    <s v="NONE"/>
    <n v="190.5"/>
    <n v="51.5"/>
    <x v="3"/>
    <x v="4"/>
    <s v="AWAY"/>
    <s v="HOME"/>
    <n v="121"/>
    <n v="69.5"/>
  </r>
  <r>
    <n v="12"/>
    <n v="64"/>
    <n v="335"/>
    <n v="170"/>
    <n v="538"/>
    <x v="0"/>
    <x v="2"/>
    <n v="11"/>
    <s v="RDS"/>
    <s v="Walker/Cory"/>
    <n v="133"/>
    <s v="TM4"/>
    <s v="Brian/Travis"/>
    <n v="80"/>
    <s v="NONE"/>
    <n v="213"/>
    <n v="53"/>
    <x v="1"/>
    <x v="3"/>
    <s v="AWAY"/>
    <s v="HOME"/>
    <n v="133"/>
    <n v="80"/>
  </r>
  <r>
    <n v="13"/>
    <n v="134"/>
    <n v="608"/>
    <n v="482"/>
    <n v="657"/>
    <x v="0"/>
    <x v="2"/>
    <n v="12"/>
    <s v="PALP"/>
    <s v="Eric/Blake"/>
    <n v="107.5"/>
    <s v="PCP"/>
    <s v="Trent/Colin"/>
    <n v="65.5"/>
    <s v="NONE"/>
    <n v="173"/>
    <n v="42"/>
    <x v="5"/>
    <x v="7"/>
    <s v="AWAY"/>
    <s v="HOME"/>
    <n v="107.5"/>
    <n v="65.5"/>
  </r>
  <r>
    <n v="14"/>
    <n v="234"/>
    <n v="496"/>
    <n v="430"/>
    <n v="527"/>
    <x v="0"/>
    <x v="2"/>
    <n v="13"/>
    <s v="WWJD"/>
    <s v="Graham/Michael"/>
    <n v="81"/>
    <s v="Cali"/>
    <s v="Dave/Nolan"/>
    <n v="112.5"/>
    <s v="NONE"/>
    <n v="193.5"/>
    <n v="31.5"/>
    <x v="8"/>
    <x v="6"/>
    <s v="HOME"/>
    <s v="AWAY"/>
    <n v="112.5"/>
    <n v="81"/>
  </r>
  <r>
    <n v="15"/>
    <n v="678"/>
    <n v="604"/>
    <n v="660"/>
    <n v="460"/>
    <x v="0"/>
    <x v="2"/>
    <n v="14"/>
    <s v="DIX"/>
    <s v="Drew/Cam"/>
    <n v="86.5"/>
    <s v="$MM$"/>
    <s v="Pat/Tucker"/>
    <n v="87.5"/>
    <s v="NONE"/>
    <n v="174"/>
    <n v="1"/>
    <x v="2"/>
    <x v="0"/>
    <s v="HOME"/>
    <s v="AWAY"/>
    <n v="87.5"/>
    <n v="86.5"/>
  </r>
  <r>
    <n v="16"/>
    <n v="311"/>
    <n v="359"/>
    <n v="373"/>
    <n v="349"/>
    <x v="0"/>
    <x v="3"/>
    <n v="15"/>
    <s v="TM4"/>
    <s v="Brian/Travis"/>
    <n v="117"/>
    <s v="PCP"/>
    <s v="Trent/Colin"/>
    <n v="93"/>
    <s v="NONE"/>
    <n v="210"/>
    <n v="24"/>
    <x v="7"/>
    <x v="7"/>
    <s v="AWAY"/>
    <s v="HOME"/>
    <n v="117"/>
    <n v="93"/>
  </r>
  <r>
    <n v="17"/>
    <n v="467"/>
    <n v="202"/>
    <n v="298"/>
    <n v="143"/>
    <x v="0"/>
    <x v="3"/>
    <n v="16"/>
    <s v="Cali"/>
    <s v="Dave/Nolan"/>
    <n v="123"/>
    <s v="TM3"/>
    <s v="Clay/Ryan"/>
    <n v="110"/>
    <s v="NONE"/>
    <n v="233"/>
    <n v="13"/>
    <x v="8"/>
    <x v="8"/>
    <s v="AWAY"/>
    <s v="HOME"/>
    <n v="123"/>
    <n v="110"/>
  </r>
  <r>
    <n v="18"/>
    <n v="190"/>
    <n v="142"/>
    <n v="110"/>
    <n v="200"/>
    <x v="0"/>
    <x v="3"/>
    <n v="17"/>
    <s v="$MM$"/>
    <s v="Pat/Tucker"/>
    <n v="139.5"/>
    <s v="TM8"/>
    <s v="David/Marshall"/>
    <n v="103.5"/>
    <s v="NONE"/>
    <n v="243"/>
    <n v="36"/>
    <x v="2"/>
    <x v="4"/>
    <s v="AWAY"/>
    <s v="HOME"/>
    <n v="139.5"/>
    <n v="103.5"/>
  </r>
  <r>
    <n v="19"/>
    <n v="149"/>
    <n v="108"/>
    <n v="84"/>
    <n v="184"/>
    <x v="0"/>
    <x v="3"/>
    <n v="18"/>
    <s v="WWJD"/>
    <s v="Graham/Michael"/>
    <n v="104.5"/>
    <s v="RDS"/>
    <s v="Walker/Cory"/>
    <n v="145"/>
    <s v="NONE"/>
    <n v="249.5"/>
    <n v="40.5"/>
    <x v="1"/>
    <x v="6"/>
    <s v="HOME"/>
    <s v="AWAY"/>
    <n v="145"/>
    <n v="104.5"/>
  </r>
  <r>
    <n v="20"/>
    <n v="213"/>
    <n v="308"/>
    <n v="265"/>
    <n v="362"/>
    <x v="0"/>
    <x v="3"/>
    <n v="19"/>
    <s v="DIX"/>
    <s v="Drew/Cam"/>
    <n v="92"/>
    <s v="PALP"/>
    <s v="Eric/Blake"/>
    <n v="125"/>
    <s v="NONE"/>
    <n v="217"/>
    <n v="33"/>
    <x v="5"/>
    <x v="0"/>
    <s v="HOME"/>
    <s v="AWAY"/>
    <n v="125"/>
    <n v="92"/>
  </r>
  <r>
    <n v="21"/>
    <n v="284"/>
    <n v="196"/>
    <n v="193"/>
    <n v="189"/>
    <x v="0"/>
    <x v="4"/>
    <n v="20"/>
    <s v="Cali"/>
    <s v="Dave/Nolan"/>
    <n v="104"/>
    <s v="$MM$"/>
    <s v="Pat/Tucker"/>
    <n v="130.5"/>
    <s v="NONE"/>
    <n v="234.5"/>
    <n v="26.5"/>
    <x v="2"/>
    <x v="1"/>
    <s v="HOME"/>
    <s v="AWAY"/>
    <n v="130.5"/>
    <n v="104"/>
  </r>
  <r>
    <n v="22"/>
    <n v="358"/>
    <n v="102"/>
    <n v="138"/>
    <n v="102"/>
    <x v="0"/>
    <x v="4"/>
    <n v="21"/>
    <s v="TM4"/>
    <s v="Brian/Travis"/>
    <n v="115"/>
    <s v="WWJD"/>
    <s v="Graham/Michael"/>
    <n v="136.5"/>
    <s v="NONE"/>
    <n v="251.5"/>
    <n v="21.5"/>
    <x v="0"/>
    <x v="3"/>
    <s v="HOME"/>
    <s v="AWAY"/>
    <n v="136.5"/>
    <n v="115"/>
  </r>
  <r>
    <n v="23"/>
    <n v="601"/>
    <n v="265"/>
    <n v="399"/>
    <n v="151"/>
    <x v="0"/>
    <x v="4"/>
    <n v="22"/>
    <s v="PCP"/>
    <s v="Trent/Colin"/>
    <n v="115"/>
    <s v="DIX"/>
    <s v="Drew/Cam"/>
    <n v="109"/>
    <s v="NONE"/>
    <n v="224"/>
    <n v="6"/>
    <x v="4"/>
    <x v="0"/>
    <s v="AWAY"/>
    <s v="HOME"/>
    <n v="115"/>
    <n v="109"/>
  </r>
  <r>
    <n v="24"/>
    <n v="560"/>
    <n v="524"/>
    <n v="590"/>
    <n v="388"/>
    <x v="0"/>
    <x v="4"/>
    <n v="23"/>
    <s v="TM3"/>
    <s v="Clay/Ryan"/>
    <n v="90"/>
    <s v="RDS"/>
    <s v="Walker/Cory"/>
    <n v="98"/>
    <s v="NONE"/>
    <n v="188"/>
    <n v="8"/>
    <x v="1"/>
    <x v="8"/>
    <s v="HOME"/>
    <s v="AWAY"/>
    <n v="98"/>
    <n v="90"/>
  </r>
  <r>
    <n v="25"/>
    <n v="226"/>
    <n v="636"/>
    <n v="578"/>
    <n v="651"/>
    <x v="0"/>
    <x v="4"/>
    <n v="24"/>
    <s v="TM8"/>
    <s v="David/Marshall"/>
    <n v="66.5"/>
    <s v="PALP"/>
    <s v="Eric/Blake"/>
    <n v="98.5"/>
    <s v="NONE"/>
    <n v="165"/>
    <n v="32"/>
    <x v="5"/>
    <x v="4"/>
    <s v="HOME"/>
    <s v="AWAY"/>
    <n v="98.5"/>
    <n v="66.5"/>
  </r>
  <r>
    <n v="26"/>
    <n v="290"/>
    <n v="641"/>
    <n v="615"/>
    <n v="643"/>
    <x v="0"/>
    <x v="5"/>
    <n v="25"/>
    <s v="DIX"/>
    <s v="Drew/Cam"/>
    <n v="68.5"/>
    <s v="RDS"/>
    <s v="Walker/Cory"/>
    <n v="94.5"/>
    <s v="NONE"/>
    <n v="163"/>
    <n v="26"/>
    <x v="1"/>
    <x v="0"/>
    <s v="HOME"/>
    <s v="AWAY"/>
    <n v="94.5"/>
    <n v="68.5"/>
  </r>
  <r>
    <n v="27"/>
    <n v="87"/>
    <n v="227"/>
    <n v="119"/>
    <n v="388"/>
    <x v="0"/>
    <x v="5"/>
    <n v="26"/>
    <s v="PALP"/>
    <s v="Eric/Blake"/>
    <n v="90"/>
    <s v="TM3"/>
    <s v="Clay/Ryan"/>
    <n v="138.5"/>
    <s v="NONE"/>
    <n v="228.5"/>
    <n v="48.5"/>
    <x v="3"/>
    <x v="2"/>
    <s v="HOME"/>
    <s v="AWAY"/>
    <n v="138.5"/>
    <n v="90"/>
  </r>
  <r>
    <n v="28"/>
    <n v="542"/>
    <n v="675"/>
    <n v="679"/>
    <n v="626"/>
    <x v="0"/>
    <x v="5"/>
    <n v="27"/>
    <s v="TM8"/>
    <s v="David/Marshall"/>
    <n v="71"/>
    <s v="TM4"/>
    <s v="Brian/Travis"/>
    <n v="80"/>
    <s v="NONE"/>
    <n v="151"/>
    <n v="9"/>
    <x v="7"/>
    <x v="4"/>
    <s v="HOME"/>
    <s v="AWAY"/>
    <n v="80"/>
    <n v="71"/>
  </r>
  <r>
    <n v="29"/>
    <n v="524"/>
    <n v="524"/>
    <n v="571"/>
    <n v="408"/>
    <x v="0"/>
    <x v="5"/>
    <n v="28"/>
    <s v="PCP"/>
    <s v="Trent/Colin"/>
    <n v="99"/>
    <s v="Cali"/>
    <s v="Dave/Nolan"/>
    <n v="89"/>
    <s v="NONE"/>
    <n v="188"/>
    <n v="10"/>
    <x v="4"/>
    <x v="1"/>
    <s v="AWAY"/>
    <s v="HOME"/>
    <n v="99"/>
    <n v="89"/>
  </r>
  <r>
    <n v="30"/>
    <n v="270"/>
    <n v="192"/>
    <n v="182"/>
    <n v="200"/>
    <x v="0"/>
    <x v="5"/>
    <n v="29"/>
    <s v="$MM$"/>
    <s v="Pat/Tucker"/>
    <n v="131.5"/>
    <s v="WWJD"/>
    <s v="Graham/Michael"/>
    <n v="103.5"/>
    <s v="NONE"/>
    <n v="235"/>
    <n v="28"/>
    <x v="2"/>
    <x v="6"/>
    <s v="AWAY"/>
    <s v="HOME"/>
    <n v="131.5"/>
    <n v="103.5"/>
  </r>
  <r>
    <n v="31"/>
    <n v="171"/>
    <n v="150"/>
    <n v="110"/>
    <n v="220"/>
    <x v="0"/>
    <x v="6"/>
    <n v="30"/>
    <s v="TM3"/>
    <s v="Clay/Ryan"/>
    <n v="139.5"/>
    <s v="DIX"/>
    <s v="Drew/Cam"/>
    <n v="102"/>
    <s v="NONE"/>
    <n v="241.5"/>
    <n v="37.5"/>
    <x v="3"/>
    <x v="0"/>
    <s v="AWAY"/>
    <s v="HOME"/>
    <n v="139.5"/>
    <n v="102"/>
  </r>
  <r>
    <n v="32"/>
    <n v="685"/>
    <n v="269"/>
    <n v="436"/>
    <n v="130"/>
    <x v="0"/>
    <x v="6"/>
    <n v="31"/>
    <s v="TM4"/>
    <s v="Brian/Travis"/>
    <n v="111.5"/>
    <s v="PALP"/>
    <s v="Eric/Blake"/>
    <n v="112"/>
    <s v="NONE"/>
    <n v="223.5"/>
    <n v="0.5"/>
    <x v="5"/>
    <x v="3"/>
    <s v="HOME"/>
    <s v="AWAY"/>
    <n v="112"/>
    <n v="111.5"/>
  </r>
  <r>
    <n v="33"/>
    <n v="234"/>
    <n v="676"/>
    <n v="639"/>
    <n v="676"/>
    <x v="0"/>
    <x v="6"/>
    <n v="32"/>
    <s v="Cali"/>
    <s v="Dave/Nolan"/>
    <n v="91"/>
    <s v="TM8"/>
    <s v="David/Marshall"/>
    <n v="59.5"/>
    <s v="NONE"/>
    <n v="150.5"/>
    <n v="31.5"/>
    <x v="8"/>
    <x v="4"/>
    <s v="AWAY"/>
    <s v="HOME"/>
    <n v="91"/>
    <n v="59.5"/>
  </r>
  <r>
    <n v="34"/>
    <n v="670"/>
    <n v="651"/>
    <n v="677"/>
    <n v="541"/>
    <x v="0"/>
    <x v="6"/>
    <n v="33"/>
    <s v="WWJD"/>
    <s v="Graham/Michael"/>
    <n v="81"/>
    <s v="PCP"/>
    <s v="Trent/Colin"/>
    <n v="79.5"/>
    <s v="NONE"/>
    <n v="160.5"/>
    <n v="1.5"/>
    <x v="0"/>
    <x v="7"/>
    <s v="AWAY"/>
    <s v="HOME"/>
    <n v="81"/>
    <n v="79.5"/>
  </r>
  <r>
    <n v="35"/>
    <n v="241"/>
    <n v="227"/>
    <n v="209"/>
    <n v="266"/>
    <x v="0"/>
    <x v="6"/>
    <n v="34"/>
    <s v="RDS"/>
    <s v="Walker/Cory"/>
    <n v="129.5"/>
    <s v="$MM$"/>
    <s v="Pat/Tucker"/>
    <n v="99"/>
    <s v="NONE"/>
    <n v="228.5"/>
    <n v="30.5"/>
    <x v="1"/>
    <x v="9"/>
    <s v="AWAY"/>
    <s v="HOME"/>
    <n v="129.5"/>
    <n v="99"/>
  </r>
  <r>
    <n v="36"/>
    <n v="254"/>
    <n v="295"/>
    <n v="265"/>
    <n v="318"/>
    <x v="0"/>
    <x v="7"/>
    <n v="35"/>
    <s v="DIX"/>
    <s v="Drew/Cam"/>
    <n v="95.5"/>
    <s v="TM4"/>
    <s v="Brian/Travis"/>
    <n v="125"/>
    <s v="NONE"/>
    <n v="220.5"/>
    <n v="29.5"/>
    <x v="7"/>
    <x v="0"/>
    <s v="HOME"/>
    <s v="AWAY"/>
    <n v="125"/>
    <n v="95.5"/>
  </r>
  <r>
    <n v="37"/>
    <n v="202"/>
    <n v="375"/>
    <n v="319"/>
    <n v="447"/>
    <x v="0"/>
    <x v="7"/>
    <n v="36"/>
    <s v="PALP"/>
    <s v="Eric/Blake"/>
    <n v="87"/>
    <s v="Cali"/>
    <s v="Dave/Nolan"/>
    <n v="121.5"/>
    <s v="NONE"/>
    <n v="208.5"/>
    <n v="34.5"/>
    <x v="8"/>
    <x v="2"/>
    <s v="HOME"/>
    <s v="AWAY"/>
    <n v="121.5"/>
    <n v="87"/>
  </r>
  <r>
    <n v="38"/>
    <n v="119"/>
    <n v="690"/>
    <n v="642"/>
    <n v="691"/>
    <x v="0"/>
    <x v="7"/>
    <n v="37"/>
    <s v="TM8"/>
    <s v="David/Marshall"/>
    <n v="46.5"/>
    <s v="WWJD"/>
    <s v="Graham/Michael"/>
    <n v="90.5"/>
    <s v="NONE"/>
    <n v="137"/>
    <n v="44"/>
    <x v="0"/>
    <x v="4"/>
    <s v="HOME"/>
    <s v="AWAY"/>
    <n v="90.5"/>
    <n v="46.5"/>
  </r>
  <r>
    <n v="39"/>
    <n v="499"/>
    <n v="215"/>
    <n v="334"/>
    <n v="146"/>
    <x v="0"/>
    <x v="7"/>
    <n v="38"/>
    <s v="PCP"/>
    <s v="Trent/Colin"/>
    <n v="109.5"/>
    <s v="RDS"/>
    <s v="Walker/Cory"/>
    <n v="120.5"/>
    <s v="NONE"/>
    <n v="230"/>
    <n v="11"/>
    <x v="1"/>
    <x v="7"/>
    <s v="HOME"/>
    <s v="AWAY"/>
    <n v="120.5"/>
    <n v="109.5"/>
  </r>
  <r>
    <n v="40"/>
    <n v="119"/>
    <n v="503"/>
    <n v="358"/>
    <n v="589"/>
    <x v="0"/>
    <x v="7"/>
    <n v="39"/>
    <s v="$MM$"/>
    <s v="Pat/Tucker"/>
    <n v="118"/>
    <s v="TM3"/>
    <s v="Clay/Ryan"/>
    <n v="74"/>
    <s v="NONE"/>
    <n v="192"/>
    <n v="44"/>
    <x v="2"/>
    <x v="8"/>
    <s v="AWAY"/>
    <s v="HOME"/>
    <n v="118"/>
    <n v="74"/>
  </r>
  <r>
    <n v="41"/>
    <n v="256"/>
    <n v="489"/>
    <n v="446"/>
    <n v="513"/>
    <x v="0"/>
    <x v="8"/>
    <n v="40"/>
    <s v="Cali"/>
    <s v="Dave/Nolan"/>
    <n v="82.5"/>
    <s v="DIX"/>
    <s v="Drew/Cam"/>
    <n v="111.5"/>
    <s v="NONE"/>
    <n v="194"/>
    <n v="29"/>
    <x v="6"/>
    <x v="1"/>
    <s v="HOME"/>
    <s v="AWAY"/>
    <n v="111.5"/>
    <n v="82.5"/>
  </r>
  <r>
    <n v="42"/>
    <n v="3"/>
    <n v="163"/>
    <n v="17"/>
    <n v="589"/>
    <x v="0"/>
    <x v="8"/>
    <n v="41"/>
    <s v="WWJD"/>
    <s v="Graham/Michael"/>
    <n v="166"/>
    <s v="TM4"/>
    <s v="Brian/Travis"/>
    <n v="74"/>
    <s v="NONE"/>
    <n v="240"/>
    <n v="92"/>
    <x v="0"/>
    <x v="3"/>
    <s v="AWAY"/>
    <s v="HOME"/>
    <n v="166"/>
    <n v="74"/>
  </r>
  <r>
    <n v="43"/>
    <n v="388"/>
    <n v="215"/>
    <n v="273"/>
    <n v="177"/>
    <x v="0"/>
    <x v="8"/>
    <n v="42"/>
    <s v="PALP"/>
    <s v="Eric/Blake"/>
    <n v="124.5"/>
    <s v="$MM$"/>
    <s v="Pat/Tucker"/>
    <n v="105.5"/>
    <s v="NONE"/>
    <n v="230"/>
    <n v="19"/>
    <x v="5"/>
    <x v="9"/>
    <s v="AWAY"/>
    <s v="HOME"/>
    <n v="124.5"/>
    <n v="105.5"/>
  </r>
  <r>
    <n v="44"/>
    <n v="125"/>
    <n v="248"/>
    <n v="148"/>
    <n v="370"/>
    <x v="0"/>
    <x v="8"/>
    <n v="43"/>
    <s v="RDS"/>
    <s v="Walker/Cory"/>
    <n v="134.5"/>
    <s v="TM3"/>
    <s v="Clay/Ryan"/>
    <n v="91.5"/>
    <s v="NONE"/>
    <n v="226"/>
    <n v="43"/>
    <x v="1"/>
    <x v="8"/>
    <s v="AWAY"/>
    <s v="HOME"/>
    <n v="134.5"/>
    <n v="91.5"/>
  </r>
  <r>
    <n v="45"/>
    <n v="41"/>
    <n v="445"/>
    <n v="209"/>
    <n v="635"/>
    <x v="0"/>
    <x v="8"/>
    <n v="44"/>
    <s v="TM8"/>
    <s v="David/Marshall"/>
    <n v="129.5"/>
    <s v="PCP"/>
    <s v="Trent/Colin"/>
    <n v="70.5"/>
    <s v="NONE"/>
    <n v="200"/>
    <n v="59"/>
    <x v="9"/>
    <x v="7"/>
    <s v="AWAY"/>
    <s v="HOME"/>
    <n v="129.5"/>
    <n v="70.5"/>
  </r>
  <r>
    <n v="46"/>
    <n v="82"/>
    <n v="478"/>
    <n v="305"/>
    <n v="609"/>
    <x v="0"/>
    <x v="9"/>
    <n v="45"/>
    <s v="WWJD"/>
    <s v="Graham/Michael"/>
    <n v="73"/>
    <s v="PALP"/>
    <s v="Eric/Blake"/>
    <n v="122.5"/>
    <s v="NONE"/>
    <n v="195.5"/>
    <n v="49.5"/>
    <x v="5"/>
    <x v="6"/>
    <s v="HOME"/>
    <s v="AWAY"/>
    <n v="122.5"/>
    <n v="73"/>
  </r>
  <r>
    <n v="47"/>
    <n v="213"/>
    <n v="79"/>
    <n v="85"/>
    <n v="130"/>
    <x v="0"/>
    <x v="9"/>
    <n v="46"/>
    <s v="RDS"/>
    <s v="Walker/Cory"/>
    <n v="111.5"/>
    <s v="Cali"/>
    <s v="Dave/Nolan"/>
    <n v="144.5"/>
    <s v="NONE"/>
    <n v="256"/>
    <n v="33"/>
    <x v="8"/>
    <x v="5"/>
    <s v="HOME"/>
    <s v="AWAY"/>
    <n v="144.5"/>
    <n v="111.5"/>
  </r>
  <r>
    <n v="48"/>
    <n v="326"/>
    <n v="616"/>
    <n v="597"/>
    <n v="589"/>
    <x v="0"/>
    <x v="9"/>
    <n v="47"/>
    <s v="DIX"/>
    <s v="Drew/Cam"/>
    <n v="97"/>
    <s v="TM8"/>
    <s v="David/Marshall"/>
    <n v="74"/>
    <s v="NONE"/>
    <n v="171"/>
    <n v="23"/>
    <x v="6"/>
    <x v="4"/>
    <s v="AWAY"/>
    <s v="HOME"/>
    <n v="97"/>
    <n v="74"/>
  </r>
  <r>
    <n v="49"/>
    <n v="128"/>
    <n v="566"/>
    <n v="420"/>
    <n v="635"/>
    <x v="0"/>
    <x v="9"/>
    <n v="48"/>
    <s v="TM3"/>
    <s v="Clay/Ryan"/>
    <n v="70.5"/>
    <s v="TM4"/>
    <s v="Brian/Travis"/>
    <n v="113"/>
    <s v="NONE"/>
    <n v="183.5"/>
    <n v="42.5"/>
    <x v="7"/>
    <x v="8"/>
    <s v="HOME"/>
    <s v="AWAY"/>
    <n v="113"/>
    <n v="70.5"/>
  </r>
  <r>
    <n v="50"/>
    <n v="573"/>
    <n v="606"/>
    <n v="642"/>
    <n v="509"/>
    <x v="0"/>
    <x v="9"/>
    <n v="49"/>
    <s v="$MM$"/>
    <s v="Pat/Tucker"/>
    <n v="83"/>
    <s v="PCP"/>
    <s v="Trent/Colin"/>
    <n v="90.5"/>
    <s v="NONE"/>
    <n v="173.5"/>
    <n v="7.5"/>
    <x v="4"/>
    <x v="9"/>
    <s v="HOME"/>
    <s v="AWAY"/>
    <n v="90.5"/>
    <n v="83"/>
  </r>
  <r>
    <n v="51"/>
    <n v="234"/>
    <n v="451"/>
    <n v="392"/>
    <n v="494"/>
    <x v="0"/>
    <x v="10"/>
    <n v="50"/>
    <s v="RDS"/>
    <s v="Walker/Cory"/>
    <n v="84"/>
    <s v="TM8"/>
    <s v="David/Marshall"/>
    <n v="115.5"/>
    <s v="NONE"/>
    <n v="199.5"/>
    <n v="31.5"/>
    <x v="9"/>
    <x v="5"/>
    <s v="HOME"/>
    <s v="AWAY"/>
    <n v="115.5"/>
    <n v="84"/>
  </r>
  <r>
    <n v="52"/>
    <n v="256"/>
    <n v="91"/>
    <n v="95"/>
    <n v="120"/>
    <x v="0"/>
    <x v="10"/>
    <n v="51"/>
    <s v="WWJD"/>
    <s v="Graham/Michael"/>
    <n v="112.5"/>
    <s v="TM3"/>
    <s v="Clay/Ryan"/>
    <n v="141.5"/>
    <s v="NONE"/>
    <n v="254"/>
    <n v="29"/>
    <x v="3"/>
    <x v="6"/>
    <s v="HOME"/>
    <s v="AWAY"/>
    <n v="141.5"/>
    <n v="112.5"/>
  </r>
  <r>
    <n v="53"/>
    <n v="482"/>
    <n v="591"/>
    <n v="612"/>
    <n v="509"/>
    <x v="0"/>
    <x v="10"/>
    <n v="52"/>
    <s v="PCP"/>
    <s v="Trent/Colin"/>
    <n v="95"/>
    <s v="PALP"/>
    <s v="Eric/Blake"/>
    <n v="83"/>
    <s v="NONE"/>
    <n v="178"/>
    <n v="12"/>
    <x v="4"/>
    <x v="2"/>
    <s v="AWAY"/>
    <s v="HOME"/>
    <n v="95"/>
    <n v="83"/>
  </r>
  <r>
    <n v="54"/>
    <n v="560"/>
    <n v="115"/>
    <n v="226"/>
    <n v="58"/>
    <x v="0"/>
    <x v="10"/>
    <n v="53"/>
    <s v="Cali"/>
    <s v="Dave/Nolan"/>
    <n v="120"/>
    <s v="TM4"/>
    <s v="Brian/Travis"/>
    <n v="128"/>
    <s v="NONE"/>
    <n v="248"/>
    <n v="8"/>
    <x v="7"/>
    <x v="1"/>
    <s v="HOME"/>
    <s v="AWAY"/>
    <n v="128"/>
    <n v="120"/>
  </r>
  <r>
    <n v="55"/>
    <n v="304"/>
    <n v="662"/>
    <n v="657"/>
    <n v="661"/>
    <x v="0"/>
    <x v="10"/>
    <n v="54"/>
    <s v="$MM$"/>
    <s v="Pat/Tucker"/>
    <n v="89"/>
    <s v="DIX"/>
    <s v="Drew/Cam"/>
    <n v="64.5"/>
    <s v="NONE"/>
    <n v="153.5"/>
    <n v="24.5"/>
    <x v="2"/>
    <x v="0"/>
    <s v="AWAY"/>
    <s v="HOME"/>
    <n v="89"/>
    <n v="64.5"/>
  </r>
  <r>
    <n v="56"/>
    <n v="160"/>
    <n v="375"/>
    <n v="285"/>
    <n v="482"/>
    <x v="0"/>
    <x v="11"/>
    <n v="55"/>
    <s v="TM3"/>
    <s v="Clay/Ryan"/>
    <n v="85"/>
    <s v="PCP"/>
    <s v="Trent/Colin"/>
    <n v="123.5"/>
    <s v="NONE"/>
    <n v="208.5"/>
    <n v="38.5"/>
    <x v="4"/>
    <x v="8"/>
    <s v="HOME"/>
    <s v="AWAY"/>
    <n v="123.5"/>
    <n v="85"/>
  </r>
  <r>
    <n v="57"/>
    <n v="149"/>
    <n v="684"/>
    <n v="634"/>
    <n v="687"/>
    <x v="0"/>
    <x v="11"/>
    <n v="56"/>
    <s v="TM4"/>
    <s v="Brian/Travis"/>
    <n v="52"/>
    <s v="RDS"/>
    <s v="Walker/Cory"/>
    <n v="92.5"/>
    <s v="NONE"/>
    <n v="144.5"/>
    <n v="40.5"/>
    <x v="1"/>
    <x v="3"/>
    <s v="HOME"/>
    <s v="AWAY"/>
    <n v="92.5"/>
    <n v="52"/>
  </r>
  <r>
    <n v="58"/>
    <n v="388"/>
    <n v="625"/>
    <n v="615"/>
    <n v="573"/>
    <x v="0"/>
    <x v="11"/>
    <n v="57"/>
    <s v="TM8"/>
    <s v="David/Marshall"/>
    <n v="75.5"/>
    <s v="$MM$"/>
    <s v="Pat/Tucker"/>
    <n v="94.5"/>
    <s v="NONE"/>
    <n v="170"/>
    <n v="19"/>
    <x v="2"/>
    <x v="4"/>
    <s v="HOME"/>
    <s v="AWAY"/>
    <n v="94.5"/>
    <n v="75.5"/>
  </r>
  <r>
    <n v="59"/>
    <n v="670"/>
    <n v="509"/>
    <n v="605"/>
    <n v="325"/>
    <x v="0"/>
    <x v="11"/>
    <n v="58"/>
    <s v="Cali"/>
    <s v="Dave/Nolan"/>
    <n v="96"/>
    <s v="WWJD"/>
    <s v="Graham/Michael"/>
    <n v="94.5"/>
    <s v="NONE"/>
    <n v="190.5"/>
    <n v="1.5"/>
    <x v="8"/>
    <x v="6"/>
    <s v="AWAY"/>
    <s v="HOME"/>
    <n v="96"/>
    <n v="94.5"/>
  </r>
  <r>
    <n v="60"/>
    <n v="167"/>
    <n v="551"/>
    <n v="446"/>
    <n v="600"/>
    <x v="0"/>
    <x v="11"/>
    <n v="59"/>
    <s v="PALP"/>
    <s v="Eric/Blake"/>
    <n v="73.5"/>
    <s v="DIX"/>
    <s v="Drew/Cam"/>
    <n v="111.5"/>
    <s v="NONE"/>
    <n v="185"/>
    <n v="38"/>
    <x v="6"/>
    <x v="2"/>
    <s v="HOME"/>
    <s v="AWAY"/>
    <n v="111.5"/>
    <n v="73.5"/>
  </r>
  <r>
    <n v="61"/>
    <n v="326"/>
    <n v="85"/>
    <n v="114"/>
    <n v="94"/>
    <x v="0"/>
    <x v="12"/>
    <n v="60"/>
    <s v="TM4"/>
    <s v="Brian/Travis"/>
    <n v="116"/>
    <s v="$MM$"/>
    <s v="Pat/Tucker"/>
    <n v="139"/>
    <s v="NONE"/>
    <n v="255"/>
    <n v="23"/>
    <x v="2"/>
    <x v="3"/>
    <s v="HOME"/>
    <s v="AWAY"/>
    <n v="139"/>
    <n v="116"/>
  </r>
  <r>
    <n v="62"/>
    <n v="209"/>
    <n v="680"/>
    <n v="646"/>
    <n v="679"/>
    <x v="0"/>
    <x v="12"/>
    <n v="61"/>
    <s v="TM3"/>
    <s v="Clay/Ryan"/>
    <n v="90"/>
    <s v="Cali"/>
    <s v="Dave/Nolan"/>
    <n v="56.5"/>
    <s v="NONE"/>
    <n v="146.5"/>
    <n v="33.5"/>
    <x v="3"/>
    <x v="1"/>
    <s v="AWAY"/>
    <s v="HOME"/>
    <n v="90"/>
    <n v="56.5"/>
  </r>
  <r>
    <n v="63"/>
    <n v="187"/>
    <n v="118"/>
    <n v="93"/>
    <n v="177"/>
    <x v="0"/>
    <x v="12"/>
    <n v="62"/>
    <s v="DIX"/>
    <s v="Drew/Cam"/>
    <n v="105.5"/>
    <s v="PCP"/>
    <s v="Trent/Colin"/>
    <n v="142"/>
    <s v="NONE"/>
    <n v="247.5"/>
    <n v="36.5"/>
    <x v="4"/>
    <x v="0"/>
    <s v="HOME"/>
    <s v="AWAY"/>
    <n v="142"/>
    <n v="105.5"/>
  </r>
  <r>
    <n v="64"/>
    <n v="384"/>
    <n v="478"/>
    <n v="482"/>
    <n v="423"/>
    <x v="0"/>
    <x v="12"/>
    <n v="63"/>
    <s v="RDS"/>
    <s v="Walker/Cory"/>
    <n v="107.5"/>
    <s v="WWJD"/>
    <s v="Graham/Michael"/>
    <n v="88"/>
    <s v="NONE"/>
    <n v="195.5"/>
    <n v="19.5"/>
    <x v="1"/>
    <x v="6"/>
    <s v="AWAY"/>
    <s v="HOME"/>
    <n v="107.5"/>
    <n v="88"/>
  </r>
  <r>
    <n v="65"/>
    <n v="379"/>
    <n v="597"/>
    <n v="578"/>
    <n v="546"/>
    <x v="0"/>
    <x v="12"/>
    <n v="64"/>
    <s v="PALP"/>
    <s v="Eric/Blake"/>
    <n v="98.5"/>
    <s v="TM8"/>
    <s v="David/Marshall"/>
    <n v="78.5"/>
    <s v="NONE"/>
    <n v="177"/>
    <n v="20"/>
    <x v="5"/>
    <x v="4"/>
    <s v="AWAY"/>
    <s v="HOME"/>
    <n v="98.5"/>
    <n v="78.5"/>
  </r>
  <r>
    <n v="66"/>
    <n v="579"/>
    <n v="256"/>
    <n v="383"/>
    <n v="151"/>
    <x v="1"/>
    <x v="0"/>
    <n v="0"/>
    <s v="MSGG"/>
    <s v="Graham/Michael"/>
    <n v="109"/>
    <s v="DBNG"/>
    <s v="Dave/Nolan"/>
    <n v="116"/>
    <s v="NONE"/>
    <n v="225"/>
    <n v="7"/>
    <x v="8"/>
    <x v="6"/>
    <s v="HOME"/>
    <s v="AWAY"/>
    <n v="116"/>
    <n v="109"/>
  </r>
  <r>
    <n v="67"/>
    <n v="532"/>
    <n v="556"/>
    <n v="597"/>
    <n v="437"/>
    <x v="1"/>
    <x v="0"/>
    <n v="1"/>
    <s v="HSOD"/>
    <s v="Brian/Travis"/>
    <n v="87.5"/>
    <s v="$MM$"/>
    <s v="Pat/Tucker"/>
    <n v="97"/>
    <s v="NONE"/>
    <n v="184.5"/>
    <n v="9.5"/>
    <x v="2"/>
    <x v="3"/>
    <s v="HOME"/>
    <s v="AWAY"/>
    <n v="97"/>
    <n v="87.5"/>
  </r>
  <r>
    <n v="68"/>
    <n v="311"/>
    <n v="335"/>
    <n v="353"/>
    <n v="325"/>
    <x v="1"/>
    <x v="0"/>
    <n v="2"/>
    <s v="KGWD"/>
    <s v="Walker/Cory"/>
    <n v="94.5"/>
    <s v="DKMB"/>
    <s v="David/Marshall"/>
    <n v="118.5"/>
    <s v="NONE"/>
    <n v="213"/>
    <n v="24"/>
    <x v="9"/>
    <x v="5"/>
    <s v="HOME"/>
    <s v="AWAY"/>
    <n v="118.5"/>
    <n v="94.5"/>
  </r>
  <r>
    <n v="69"/>
    <n v="82"/>
    <n v="566"/>
    <n v="378"/>
    <n v="646"/>
    <x v="1"/>
    <x v="0"/>
    <n v="3"/>
    <s v="CPDL"/>
    <s v="Drew/Cam"/>
    <n v="67"/>
    <s v="CSRT"/>
    <s v="Clay/Ryan"/>
    <n v="116.5"/>
    <s v="NONE"/>
    <n v="183.5"/>
    <n v="49.5"/>
    <x v="3"/>
    <x v="0"/>
    <s v="HOME"/>
    <s v="AWAY"/>
    <n v="116.5"/>
    <n v="67"/>
  </r>
  <r>
    <n v="70"/>
    <n v="594"/>
    <n v="286"/>
    <n v="408"/>
    <n v="165"/>
    <x v="1"/>
    <x v="0"/>
    <n v="4"/>
    <s v="TPTC"/>
    <s v="Trent/Colin"/>
    <n v="114"/>
    <s v="DERS"/>
    <s v="Eric/Blake"/>
    <n v="107.5"/>
    <s v="NONE"/>
    <n v="221.5"/>
    <n v="6.5"/>
    <x v="4"/>
    <x v="2"/>
    <s v="AWAY"/>
    <s v="HOME"/>
    <n v="114"/>
    <n v="107.5"/>
  </r>
  <r>
    <n v="71"/>
    <n v="524"/>
    <n v="551"/>
    <n v="593"/>
    <n v="437"/>
    <x v="1"/>
    <x v="1"/>
    <n v="5"/>
    <s v="CSRT"/>
    <s v="Clay/Ryan"/>
    <n v="87.5"/>
    <s v="TPTC"/>
    <s v="Trent/Colin"/>
    <n v="97.5"/>
    <s v="NONE"/>
    <n v="185"/>
    <n v="10"/>
    <x v="4"/>
    <x v="8"/>
    <s v="HOME"/>
    <s v="AWAY"/>
    <n v="97.5"/>
    <n v="87.5"/>
  </r>
  <r>
    <n v="72"/>
    <n v="349"/>
    <n v="602"/>
    <n v="578"/>
    <n v="563"/>
    <x v="1"/>
    <x v="1"/>
    <n v="6"/>
    <s v="CPDL"/>
    <s v="Drew/Cam"/>
    <n v="98.5"/>
    <s v="MSGG"/>
    <s v="Graham/Michael"/>
    <n v="76.5"/>
    <s v="NONE"/>
    <n v="175"/>
    <n v="22"/>
    <x v="6"/>
    <x v="6"/>
    <s v="AWAY"/>
    <s v="HOME"/>
    <n v="98.5"/>
    <n v="76.5"/>
  </r>
  <r>
    <n v="73"/>
    <n v="532"/>
    <n v="375"/>
    <n v="470"/>
    <n v="257"/>
    <x v="1"/>
    <x v="1"/>
    <n v="7"/>
    <s v="DKMB"/>
    <s v="David/Marshall"/>
    <n v="99.5"/>
    <s v="HSOD"/>
    <s v="Brian/Travis"/>
    <n v="109"/>
    <s v="NONE"/>
    <n v="208.5"/>
    <n v="9.5"/>
    <x v="7"/>
    <x v="4"/>
    <s v="HOME"/>
    <s v="AWAY"/>
    <n v="109"/>
    <n v="99.5"/>
  </r>
  <r>
    <n v="74"/>
    <n v="579"/>
    <n v="514"/>
    <n v="578"/>
    <n v="370"/>
    <x v="1"/>
    <x v="1"/>
    <n v="8"/>
    <s v="DBNG"/>
    <s v="Dave/Nolan"/>
    <n v="91.5"/>
    <s v="KGWD"/>
    <s v="Walker/Cory"/>
    <n v="98.5"/>
    <s v="NONE"/>
    <n v="190"/>
    <n v="7"/>
    <x v="1"/>
    <x v="1"/>
    <s v="HOME"/>
    <s v="AWAY"/>
    <n v="98.5"/>
    <n v="91.5"/>
  </r>
  <r>
    <n v="75"/>
    <n v="67"/>
    <n v="238"/>
    <n v="105"/>
    <n v="437"/>
    <x v="1"/>
    <x v="1"/>
    <n v="9"/>
    <s v="DERS"/>
    <s v="Eric/Blake"/>
    <n v="140"/>
    <s v="$MM$"/>
    <s v="Pat/Tucker"/>
    <n v="87.5"/>
    <s v="NONE"/>
    <n v="227.5"/>
    <n v="52.5"/>
    <x v="5"/>
    <x v="9"/>
    <s v="AWAY"/>
    <s v="HOME"/>
    <n v="140"/>
    <n v="87.5"/>
  </r>
  <r>
    <n v="76"/>
    <n v="512"/>
    <n v="658"/>
    <n v="666"/>
    <n v="589"/>
    <x v="1"/>
    <x v="2"/>
    <n v="10"/>
    <s v="TPTC"/>
    <s v="Trent/Colin"/>
    <n v="84.5"/>
    <s v="HSOD"/>
    <s v="Brian/Travis"/>
    <n v="74"/>
    <s v="NONE"/>
    <n v="158.5"/>
    <n v="10.5"/>
    <x v="4"/>
    <x v="3"/>
    <s v="AWAY"/>
    <s v="HOME"/>
    <n v="84.5"/>
    <n v="74"/>
  </r>
  <r>
    <n v="77"/>
    <n v="256"/>
    <n v="561"/>
    <n v="498"/>
    <n v="556"/>
    <x v="1"/>
    <x v="2"/>
    <n v="11"/>
    <s v="KGWD"/>
    <s v="Walker/Cory"/>
    <n v="77.5"/>
    <s v="CPDL"/>
    <s v="Drew/Cam"/>
    <n v="106.5"/>
    <s v="NONE"/>
    <n v="184"/>
    <n v="29"/>
    <x v="6"/>
    <x v="5"/>
    <s v="HOME"/>
    <s v="AWAY"/>
    <n v="106.5"/>
    <n v="77.5"/>
  </r>
  <r>
    <n v="78"/>
    <n v="499"/>
    <n v="445"/>
    <n v="511"/>
    <n v="325"/>
    <x v="1"/>
    <x v="2"/>
    <n v="12"/>
    <s v="DERS"/>
    <s v="Eric/Blake"/>
    <n v="105.5"/>
    <s v="DBNG"/>
    <s v="Dave/Nolan"/>
    <n v="94.5"/>
    <s v="NONE"/>
    <n v="200"/>
    <n v="11"/>
    <x v="5"/>
    <x v="1"/>
    <s v="AWAY"/>
    <s v="HOME"/>
    <n v="105.5"/>
    <n v="94.5"/>
  </r>
  <r>
    <n v="79"/>
    <n v="153"/>
    <n v="394"/>
    <n v="298"/>
    <n v="501"/>
    <x v="1"/>
    <x v="2"/>
    <n v="13"/>
    <s v="MSGG"/>
    <s v="Graham/Michael"/>
    <n v="123"/>
    <s v="CSRT"/>
    <s v="Clay/Ryan"/>
    <n v="83.5"/>
    <s v="NONE"/>
    <n v="206.5"/>
    <n v="39.5"/>
    <x v="0"/>
    <x v="8"/>
    <s v="AWAY"/>
    <s v="HOME"/>
    <n v="123"/>
    <n v="83.5"/>
  </r>
  <r>
    <n v="80"/>
    <n v="694"/>
    <n v="581"/>
    <n v="646"/>
    <n v="388"/>
    <x v="1"/>
    <x v="2"/>
    <n v="14"/>
    <s v="DKMB"/>
    <s v="David/Marshall"/>
    <n v="90"/>
    <s v="$MM$"/>
    <s v="Pat/Tucker"/>
    <n v="90"/>
    <s v="NONE"/>
    <n v="180"/>
    <n v="0"/>
    <x v="2"/>
    <x v="4"/>
    <s v="HOME"/>
    <s v="AWAY"/>
    <n v="90"/>
    <n v="90"/>
  </r>
  <r>
    <n v="81"/>
    <n v="110"/>
    <n v="207"/>
    <n v="114"/>
    <n v="346"/>
    <x v="1"/>
    <x v="3"/>
    <n v="15"/>
    <s v="DKMB"/>
    <s v="David/Marshall"/>
    <n v="93.5"/>
    <s v="TPTC"/>
    <s v="Trent/Colin"/>
    <n v="139"/>
    <s v="NONE"/>
    <n v="232.5"/>
    <n v="45.5"/>
    <x v="4"/>
    <x v="4"/>
    <s v="HOME"/>
    <s v="AWAY"/>
    <n v="139"/>
    <n v="93.5"/>
  </r>
  <r>
    <n v="82"/>
    <n v="635"/>
    <n v="383"/>
    <n v="506"/>
    <n v="220"/>
    <x v="1"/>
    <x v="3"/>
    <n v="16"/>
    <s v="DBNG"/>
    <s v="Dave/Nolan"/>
    <n v="106"/>
    <s v="CSRT"/>
    <s v="Clay/Ryan"/>
    <n v="102"/>
    <s v="NONE"/>
    <n v="208"/>
    <n v="4"/>
    <x v="8"/>
    <x v="8"/>
    <s v="AWAY"/>
    <s v="HOME"/>
    <n v="106"/>
    <n v="102"/>
  </r>
  <r>
    <n v="83"/>
    <n v="154"/>
    <n v="534"/>
    <n v="420"/>
    <n v="589"/>
    <x v="1"/>
    <x v="3"/>
    <n v="17"/>
    <s v="$MM$"/>
    <s v="Pat/Tucker"/>
    <n v="113"/>
    <s v="CPDL"/>
    <s v="Drew/Cam"/>
    <n v="74"/>
    <s v="NONE"/>
    <n v="187"/>
    <n v="39"/>
    <x v="2"/>
    <x v="0"/>
    <s v="AWAY"/>
    <s v="HOME"/>
    <n v="113"/>
    <n v="74"/>
  </r>
  <r>
    <n v="84"/>
    <n v="611"/>
    <n v="113"/>
    <n v="241"/>
    <n v="47"/>
    <x v="1"/>
    <x v="3"/>
    <n v="18"/>
    <s v="MSGG"/>
    <s v="Graham/Michael"/>
    <n v="121.5"/>
    <s v="KGWD"/>
    <s v="Walker/Cory"/>
    <n v="127"/>
    <s v="NONE"/>
    <n v="248.5"/>
    <n v="5.5"/>
    <x v="1"/>
    <x v="6"/>
    <s v="HOME"/>
    <s v="AWAY"/>
    <n v="127"/>
    <n v="121.5"/>
  </r>
  <r>
    <n v="85"/>
    <n v="532"/>
    <n v="496"/>
    <n v="557"/>
    <n v="362"/>
    <x v="1"/>
    <x v="3"/>
    <n v="19"/>
    <s v="HSOD"/>
    <s v="Brian/Travis"/>
    <n v="92"/>
    <s v="DERS"/>
    <s v="Eric/Blake"/>
    <n v="101.5"/>
    <s v="NONE"/>
    <n v="193.5"/>
    <n v="9.5"/>
    <x v="5"/>
    <x v="3"/>
    <s v="HOME"/>
    <s v="AWAY"/>
    <n v="101.5"/>
    <n v="92"/>
  </r>
  <r>
    <n v="86"/>
    <n v="154"/>
    <n v="546"/>
    <n v="430"/>
    <n v="600"/>
    <x v="1"/>
    <x v="4"/>
    <n v="20"/>
    <s v="CPDL"/>
    <s v="Drew/Cam"/>
    <n v="73.5"/>
    <s v="DBNG"/>
    <s v="Dave/Nolan"/>
    <n v="112.5"/>
    <s v="NONE"/>
    <n v="186"/>
    <n v="39"/>
    <x v="8"/>
    <x v="0"/>
    <s v="HOME"/>
    <s v="AWAY"/>
    <n v="112.5"/>
    <n v="73.5"/>
  </r>
  <r>
    <n v="87"/>
    <n v="446"/>
    <n v="639"/>
    <n v="657"/>
    <n v="583"/>
    <x v="1"/>
    <x v="4"/>
    <n v="21"/>
    <s v="$MM$"/>
    <s v="Pat/Tucker"/>
    <n v="89"/>
    <s v="TPTC"/>
    <s v="Trent/Colin"/>
    <n v="74.5"/>
    <s v="NONE"/>
    <n v="163.5"/>
    <n v="14.5"/>
    <x v="2"/>
    <x v="7"/>
    <s v="AWAY"/>
    <s v="HOME"/>
    <n v="89"/>
    <n v="74.5"/>
  </r>
  <r>
    <n v="88"/>
    <n v="482"/>
    <n v="41"/>
    <n v="105"/>
    <n v="22"/>
    <x v="1"/>
    <x v="4"/>
    <n v="22"/>
    <s v="MSGG"/>
    <s v="Graham/Michael"/>
    <n v="140"/>
    <s v="HSOD"/>
    <s v="Brian/Travis"/>
    <n v="128"/>
    <s v="NONE"/>
    <n v="268"/>
    <n v="12"/>
    <x v="0"/>
    <x v="3"/>
    <s v="AWAY"/>
    <s v="HOME"/>
    <n v="140"/>
    <n v="128"/>
  </r>
  <r>
    <n v="89"/>
    <n v="404"/>
    <n v="602"/>
    <n v="603"/>
    <n v="546"/>
    <x v="1"/>
    <x v="4"/>
    <n v="23"/>
    <s v="CSRT"/>
    <s v="Clay/Ryan"/>
    <n v="78.5"/>
    <s v="KGWD"/>
    <s v="Walker/Cory"/>
    <n v="96.5"/>
    <s v="NONE"/>
    <n v="175"/>
    <n v="18"/>
    <x v="1"/>
    <x v="8"/>
    <s v="HOME"/>
    <s v="AWAY"/>
    <n v="96.5"/>
    <n v="78.5"/>
  </r>
  <r>
    <n v="90"/>
    <n v="92"/>
    <n v="369"/>
    <n v="218"/>
    <n v="535"/>
    <x v="1"/>
    <x v="4"/>
    <n v="24"/>
    <s v="DKMB"/>
    <s v="David/Marshall"/>
    <n v="80.5"/>
    <s v="DERS"/>
    <s v="Eric/Blake"/>
    <n v="128.5"/>
    <s v="NONE"/>
    <n v="209"/>
    <n v="48"/>
    <x v="5"/>
    <x v="4"/>
    <s v="HOME"/>
    <s v="AWAY"/>
    <n v="128.5"/>
    <n v="80.5"/>
  </r>
  <r>
    <n v="91"/>
    <n v="144"/>
    <n v="5"/>
    <n v="8"/>
    <n v="15"/>
    <x v="1"/>
    <x v="5"/>
    <n v="25"/>
    <s v="DERS"/>
    <s v="Eric/Blake"/>
    <n v="131"/>
    <s v="$MM$"/>
    <s v="Pat/Tucker"/>
    <n v="172.5"/>
    <s v="NONE"/>
    <n v="303.5"/>
    <n v="41.5"/>
    <x v="2"/>
    <x v="2"/>
    <s v="HOME"/>
    <s v="AWAY"/>
    <n v="172.5"/>
    <n v="131"/>
  </r>
  <r>
    <n v="92"/>
    <n v="82"/>
    <n v="313"/>
    <n v="170"/>
    <n v="501"/>
    <x v="1"/>
    <x v="5"/>
    <n v="26"/>
    <s v="CSRT"/>
    <s v="Clay/Ryan"/>
    <n v="83.5"/>
    <s v="DKMB"/>
    <s v="David/Marshall"/>
    <n v="133"/>
    <s v="NONE"/>
    <n v="216.5"/>
    <n v="49.5"/>
    <x v="9"/>
    <x v="8"/>
    <s v="HOME"/>
    <s v="AWAY"/>
    <n v="133"/>
    <n v="83.5"/>
  </r>
  <r>
    <n v="93"/>
    <n v="395"/>
    <n v="687"/>
    <n v="679"/>
    <n v="669"/>
    <x v="1"/>
    <x v="5"/>
    <n v="27"/>
    <s v="HSOD"/>
    <s v="Brian/Travis"/>
    <n v="80"/>
    <s v="TPTC"/>
    <s v="Trent/Colin"/>
    <n v="61.5"/>
    <s v="NONE"/>
    <n v="141.5"/>
    <n v="18.5"/>
    <x v="7"/>
    <x v="7"/>
    <s v="AWAY"/>
    <s v="HOME"/>
    <n v="80"/>
    <n v="61.5"/>
  </r>
  <r>
    <n v="94"/>
    <n v="264"/>
    <n v="672"/>
    <n v="646"/>
    <n v="669"/>
    <x v="1"/>
    <x v="5"/>
    <n v="28"/>
    <s v="KGWD"/>
    <s v="Walker/Cory"/>
    <n v="90"/>
    <s v="CPDL"/>
    <s v="Drew/Cam"/>
    <n v="61.5"/>
    <s v="NONE"/>
    <n v="151.5"/>
    <n v="28.5"/>
    <x v="1"/>
    <x v="0"/>
    <s v="AWAY"/>
    <s v="HOME"/>
    <n v="90"/>
    <n v="61.5"/>
  </r>
  <r>
    <n v="95"/>
    <n v="113"/>
    <n v="285"/>
    <n v="163"/>
    <n v="416"/>
    <x v="1"/>
    <x v="5"/>
    <n v="29"/>
    <s v="DBNG"/>
    <s v="Dave/Nolan"/>
    <n v="88.5"/>
    <s v="MSGG"/>
    <s v="Graham/Michael"/>
    <n v="133.5"/>
    <s v="NONE"/>
    <n v="222"/>
    <n v="45"/>
    <x v="0"/>
    <x v="1"/>
    <s v="HOME"/>
    <s v="AWAY"/>
    <n v="133.5"/>
    <n v="88.5"/>
  </r>
  <r>
    <n v="96"/>
    <n v="579"/>
    <n v="329"/>
    <n v="458"/>
    <n v="200"/>
    <x v="1"/>
    <x v="6"/>
    <n v="30"/>
    <s v="CSRT"/>
    <s v="Clay/Ryan"/>
    <n v="103.5"/>
    <s v="$MM$"/>
    <s v="Pat/Tucker"/>
    <n v="110.5"/>
    <s v="NONE"/>
    <n v="214"/>
    <n v="7"/>
    <x v="2"/>
    <x v="8"/>
    <s v="HOME"/>
    <s v="AWAY"/>
    <n v="110.5"/>
    <n v="103.5"/>
  </r>
  <r>
    <n v="97"/>
    <n v="552"/>
    <n v="540"/>
    <n v="593"/>
    <n v="408"/>
    <x v="1"/>
    <x v="6"/>
    <n v="31"/>
    <s v="DBNG"/>
    <s v="Dave/Nolan"/>
    <n v="89"/>
    <s v="KGWD"/>
    <s v="Walker/Cory"/>
    <n v="97.5"/>
    <s v="NONE"/>
    <n v="186.5"/>
    <n v="8.5"/>
    <x v="1"/>
    <x v="1"/>
    <s v="HOME"/>
    <s v="AWAY"/>
    <n v="97.5"/>
    <n v="89"/>
  </r>
  <r>
    <n v="98"/>
    <n v="213"/>
    <n v="695"/>
    <n v="691"/>
    <n v="695"/>
    <x v="1"/>
    <x v="6"/>
    <n v="32"/>
    <s v="TPTC"/>
    <s v="Trent/Colin"/>
    <n v="74"/>
    <s v="DKMB"/>
    <s v="David/Marshall"/>
    <n v="41"/>
    <s v="NONE"/>
    <n v="115"/>
    <n v="33"/>
    <x v="4"/>
    <x v="4"/>
    <s v="AWAY"/>
    <s v="HOME"/>
    <n v="74"/>
    <n v="41"/>
  </r>
  <r>
    <n v="99"/>
    <n v="10"/>
    <n v="467"/>
    <n v="127"/>
    <n v="673"/>
    <x v="1"/>
    <x v="6"/>
    <n v="33"/>
    <s v="MSGG"/>
    <s v="Graham/Michael"/>
    <n v="137.5"/>
    <s v="CPDL"/>
    <s v="Drew/Cam"/>
    <n v="60.5"/>
    <s v="NONE"/>
    <n v="198"/>
    <n v="77"/>
    <x v="0"/>
    <x v="0"/>
    <s v="AWAY"/>
    <s v="HOME"/>
    <n v="137.5"/>
    <n v="60.5"/>
  </r>
  <r>
    <n v="100"/>
    <n v="298"/>
    <n v="265"/>
    <n v="273"/>
    <n v="257"/>
    <x v="1"/>
    <x v="6"/>
    <n v="34"/>
    <s v="HSOD"/>
    <s v="Brian/Travis"/>
    <n v="124.5"/>
    <s v="DERS"/>
    <s v="Eric/Blake"/>
    <n v="99.5"/>
    <s v="NONE"/>
    <n v="224"/>
    <n v="25"/>
    <x v="7"/>
    <x v="2"/>
    <s v="AWAY"/>
    <s v="HOME"/>
    <n v="124.5"/>
    <n v="99.5"/>
  </r>
  <r>
    <n v="101"/>
    <n v="58"/>
    <n v="63"/>
    <n v="33"/>
    <n v="216"/>
    <x v="1"/>
    <x v="7"/>
    <n v="35"/>
    <s v="TPTC"/>
    <s v="Trent/Colin"/>
    <n v="156.5"/>
    <s v="DBNG"/>
    <s v="Dave/Nolan"/>
    <n v="102.5"/>
    <s v="NONE"/>
    <n v="259"/>
    <n v="54"/>
    <x v="4"/>
    <x v="1"/>
    <s v="AWAY"/>
    <s v="HOME"/>
    <n v="156.5"/>
    <n v="102.5"/>
  </r>
  <r>
    <n v="102"/>
    <n v="379"/>
    <n v="156"/>
    <n v="193"/>
    <n v="138"/>
    <x v="1"/>
    <x v="7"/>
    <n v="36"/>
    <s v="CSRT"/>
    <s v="Clay/Ryan"/>
    <n v="130.5"/>
    <s v="CPDL"/>
    <s v="Drew/Cam"/>
    <n v="110.5"/>
    <s v="NONE"/>
    <n v="241"/>
    <n v="20"/>
    <x v="3"/>
    <x v="0"/>
    <s v="AWAY"/>
    <s v="HOME"/>
    <n v="130.5"/>
    <n v="110.5"/>
  </r>
  <r>
    <n v="103"/>
    <n v="226"/>
    <n v="36"/>
    <n v="49"/>
    <n v="63"/>
    <x v="1"/>
    <x v="7"/>
    <n v="37"/>
    <s v="KGWD"/>
    <s v="Walker/Cory"/>
    <n v="119.5"/>
    <s v="MSGG"/>
    <s v="Graham/Michael"/>
    <n v="151.5"/>
    <s v="NONE"/>
    <n v="271"/>
    <n v="32"/>
    <x v="0"/>
    <x v="5"/>
    <s v="HOME"/>
    <s v="AWAY"/>
    <n v="151.5"/>
    <n v="119.5"/>
  </r>
  <r>
    <n v="104"/>
    <n v="542"/>
    <n v="345"/>
    <n v="458"/>
    <n v="226"/>
    <x v="1"/>
    <x v="7"/>
    <n v="38"/>
    <s v="HSOD"/>
    <s v="Brian/Travis"/>
    <n v="101.5"/>
    <s v="$MM$"/>
    <s v="Pat/Tucker"/>
    <n v="110.5"/>
    <s v="NONE"/>
    <n v="212"/>
    <n v="9"/>
    <x v="2"/>
    <x v="3"/>
    <s v="HOME"/>
    <s v="AWAY"/>
    <n v="110.5"/>
    <n v="101.5"/>
  </r>
  <r>
    <n v="105"/>
    <n v="100"/>
    <n v="192"/>
    <n v="99"/>
    <n v="336"/>
    <x v="1"/>
    <x v="7"/>
    <n v="39"/>
    <s v="DKMB"/>
    <s v="David/Marshall"/>
    <n v="94"/>
    <s v="DERS"/>
    <s v="Eric/Blake"/>
    <n v="141"/>
    <s v="NONE"/>
    <n v="235"/>
    <n v="47"/>
    <x v="5"/>
    <x v="4"/>
    <s v="HOME"/>
    <s v="AWAY"/>
    <n v="141"/>
    <n v="94"/>
  </r>
  <r>
    <n v="106"/>
    <n v="363"/>
    <n v="641"/>
    <n v="636"/>
    <n v="626"/>
    <x v="1"/>
    <x v="8"/>
    <n v="40"/>
    <s v="KGWD"/>
    <s v="Walker/Cory"/>
    <n v="71"/>
    <s v="HSOD"/>
    <s v="Brian/Travis"/>
    <n v="92"/>
    <s v="NONE"/>
    <n v="163"/>
    <n v="21"/>
    <x v="7"/>
    <x v="5"/>
    <s v="HOME"/>
    <s v="AWAY"/>
    <n v="92"/>
    <n v="71"/>
  </r>
  <r>
    <n v="107"/>
    <n v="601"/>
    <n v="248"/>
    <n v="383"/>
    <n v="143"/>
    <x v="1"/>
    <x v="8"/>
    <n v="41"/>
    <s v="CPDL"/>
    <s v="Drew/Cam"/>
    <n v="116"/>
    <s v="DBNG"/>
    <s v="Dave/Nolan"/>
    <n v="110"/>
    <s v="NONE"/>
    <n v="226"/>
    <n v="6"/>
    <x v="6"/>
    <x v="1"/>
    <s v="AWAY"/>
    <s v="HOME"/>
    <n v="116"/>
    <n v="110"/>
  </r>
  <r>
    <n v="108"/>
    <n v="264"/>
    <n v="578"/>
    <n v="523"/>
    <n v="569"/>
    <x v="1"/>
    <x v="8"/>
    <n v="42"/>
    <s v="DKMB"/>
    <s v="David/Marshall"/>
    <n v="104.5"/>
    <s v="$MM$"/>
    <s v="Pat/Tucker"/>
    <n v="76"/>
    <s v="NONE"/>
    <n v="180.5"/>
    <n v="28.5"/>
    <x v="9"/>
    <x v="9"/>
    <s v="AWAY"/>
    <s v="HOME"/>
    <n v="104.5"/>
    <n v="76"/>
  </r>
  <r>
    <n v="109"/>
    <n v="395"/>
    <n v="94"/>
    <n v="140"/>
    <n v="76"/>
    <x v="1"/>
    <x v="8"/>
    <n v="43"/>
    <s v="MSGG"/>
    <s v="Graham/Michael"/>
    <n v="117.5"/>
    <s v="CSRT"/>
    <s v="Clay/Ryan"/>
    <n v="136"/>
    <s v="NONE"/>
    <n v="253.5"/>
    <n v="18.5"/>
    <x v="3"/>
    <x v="6"/>
    <s v="HOME"/>
    <s v="AWAY"/>
    <n v="136"/>
    <n v="117.5"/>
  </r>
  <r>
    <n v="110"/>
    <n v="579"/>
    <n v="434"/>
    <n v="523"/>
    <n v="284"/>
    <x v="1"/>
    <x v="8"/>
    <n v="44"/>
    <s v="DERS"/>
    <s v="Eric/Blake"/>
    <n v="104.5"/>
    <s v="TPTC"/>
    <s v="Trent/Colin"/>
    <n v="97.5"/>
    <s v="NONE"/>
    <n v="202"/>
    <n v="7"/>
    <x v="5"/>
    <x v="7"/>
    <s v="AWAY"/>
    <s v="HOME"/>
    <n v="104.5"/>
    <n v="97.5"/>
  </r>
  <r>
    <n v="111"/>
    <n v="654"/>
    <n v="489"/>
    <n v="578"/>
    <n v="318"/>
    <x v="1"/>
    <x v="9"/>
    <n v="45"/>
    <s v="KGWD"/>
    <s v="Walker/Cory"/>
    <n v="95.5"/>
    <s v="CSRT"/>
    <s v="Clay/Ryan"/>
    <n v="98.5"/>
    <s v="NONE"/>
    <n v="194"/>
    <n v="3"/>
    <x v="3"/>
    <x v="5"/>
    <s v="HOME"/>
    <s v="AWAY"/>
    <n v="98.5"/>
    <n v="95.5"/>
  </r>
  <r>
    <n v="112"/>
    <n v="39"/>
    <n v="180"/>
    <n v="65"/>
    <n v="408"/>
    <x v="1"/>
    <x v="9"/>
    <n v="46"/>
    <s v="DERS"/>
    <s v="Eric/Blake"/>
    <n v="148.5"/>
    <s v="MSGG"/>
    <s v="Graham/Michael"/>
    <n v="89"/>
    <s v="NONE"/>
    <n v="237.5"/>
    <n v="59.5"/>
    <x v="5"/>
    <x v="6"/>
    <s v="AWAY"/>
    <s v="HOME"/>
    <n v="148.5"/>
    <n v="89"/>
  </r>
  <r>
    <n v="113"/>
    <n v="334"/>
    <n v="125"/>
    <n v="148"/>
    <n v="124"/>
    <x v="1"/>
    <x v="9"/>
    <n v="47"/>
    <s v="HSOD"/>
    <s v="Brian/Travis"/>
    <n v="134.5"/>
    <s v="DKMB"/>
    <s v="David/Marshall"/>
    <n v="112"/>
    <s v="NONE"/>
    <n v="246.5"/>
    <n v="22.5"/>
    <x v="7"/>
    <x v="4"/>
    <s v="AWAY"/>
    <s v="HOME"/>
    <n v="134.5"/>
    <n v="112"/>
  </r>
  <r>
    <n v="114"/>
    <n v="372"/>
    <n v="213"/>
    <n v="260"/>
    <n v="182"/>
    <x v="1"/>
    <x v="9"/>
    <n v="48"/>
    <s v="$MM$"/>
    <s v="Pat/Tucker"/>
    <n v="105"/>
    <s v="DBNG"/>
    <s v="Dave/Nolan"/>
    <n v="125.5"/>
    <s v="NONE"/>
    <n v="230.5"/>
    <n v="20.5"/>
    <x v="8"/>
    <x v="9"/>
    <s v="HOME"/>
    <s v="AWAY"/>
    <n v="125.5"/>
    <n v="105"/>
  </r>
  <r>
    <n v="115"/>
    <n v="579"/>
    <n v="575"/>
    <n v="622"/>
    <n v="447"/>
    <x v="1"/>
    <x v="9"/>
    <n v="49"/>
    <s v="CPDL"/>
    <s v="Drew/Cam"/>
    <n v="87"/>
    <s v="TPTC"/>
    <s v="Trent/Colin"/>
    <n v="94"/>
    <s v="NONE"/>
    <n v="181"/>
    <n v="7"/>
    <x v="4"/>
    <x v="0"/>
    <s v="HOME"/>
    <s v="AWAY"/>
    <n v="94"/>
    <n v="87"/>
  </r>
  <r>
    <n v="116"/>
    <n v="326"/>
    <n v="265"/>
    <n v="285"/>
    <n v="240"/>
    <x v="1"/>
    <x v="10"/>
    <n v="50"/>
    <s v="TPTC"/>
    <s v="Trent/Colin"/>
    <n v="100.5"/>
    <s v="$MM$"/>
    <s v="Pat/Tucker"/>
    <n v="123.5"/>
    <s v="NONE"/>
    <n v="224"/>
    <n v="23"/>
    <x v="2"/>
    <x v="7"/>
    <s v="HOME"/>
    <s v="AWAY"/>
    <n v="123.5"/>
    <n v="100.5"/>
  </r>
  <r>
    <n v="117"/>
    <n v="372"/>
    <n v="610"/>
    <n v="603"/>
    <n v="569"/>
    <x v="1"/>
    <x v="10"/>
    <n v="51"/>
    <s v="HSOD"/>
    <s v="Brian/Travis"/>
    <n v="96.5"/>
    <s v="CPDL"/>
    <s v="Drew/Cam"/>
    <n v="76"/>
    <s v="NONE"/>
    <n v="172.5"/>
    <n v="20.5"/>
    <x v="7"/>
    <x v="0"/>
    <s v="AWAY"/>
    <s v="HOME"/>
    <n v="96.5"/>
    <n v="76"/>
  </r>
  <r>
    <n v="118"/>
    <n v="601"/>
    <n v="505"/>
    <n v="578"/>
    <n v="354"/>
    <x v="1"/>
    <x v="10"/>
    <n v="52"/>
    <s v="KGWD"/>
    <s v="Walker/Cory"/>
    <n v="92.5"/>
    <s v="DERS"/>
    <s v="Eric/Blake"/>
    <n v="98.5"/>
    <s v="NONE"/>
    <n v="191"/>
    <n v="6"/>
    <x v="5"/>
    <x v="5"/>
    <s v="HOME"/>
    <s v="AWAY"/>
    <n v="98.5"/>
    <n v="92.5"/>
  </r>
  <r>
    <n v="119"/>
    <n v="64"/>
    <n v="643"/>
    <n v="482"/>
    <n v="684"/>
    <x v="1"/>
    <x v="10"/>
    <n v="53"/>
    <s v="CSRT"/>
    <s v="Clay/Ryan"/>
    <n v="107.5"/>
    <s v="DBNG"/>
    <s v="Dave/Nolan"/>
    <n v="54.5"/>
    <s v="NONE"/>
    <n v="162"/>
    <n v="53"/>
    <x v="3"/>
    <x v="1"/>
    <s v="AWAY"/>
    <s v="HOME"/>
    <n v="107.5"/>
    <n v="54.5"/>
  </r>
  <r>
    <n v="120"/>
    <n v="685"/>
    <n v="363"/>
    <n v="517"/>
    <n v="184"/>
    <x v="1"/>
    <x v="10"/>
    <n v="54"/>
    <s v="DKMB"/>
    <s v="David/Marshall"/>
    <n v="105"/>
    <s v="MSGG"/>
    <s v="Graham/Michael"/>
    <n v="104.5"/>
    <s v="NONE"/>
    <n v="209.5"/>
    <n v="0.5"/>
    <x v="9"/>
    <x v="6"/>
    <s v="AWAY"/>
    <s v="HOME"/>
    <n v="105"/>
    <n v="104.5"/>
  </r>
  <r>
    <n v="121"/>
    <n v="499"/>
    <n v="476"/>
    <n v="535"/>
    <n v="354"/>
    <x v="1"/>
    <x v="11"/>
    <n v="55"/>
    <s v="CSRT"/>
    <s v="Clay/Ryan"/>
    <n v="103.5"/>
    <s v="DERS"/>
    <s v="Eric/Blake"/>
    <n v="92.5"/>
    <s v="NONE"/>
    <n v="196"/>
    <n v="11"/>
    <x v="3"/>
    <x v="2"/>
    <s v="AWAY"/>
    <s v="HOME"/>
    <n v="103.5"/>
    <n v="92.5"/>
  </r>
  <r>
    <n v="122"/>
    <n v="552"/>
    <n v="429"/>
    <n v="511"/>
    <n v="292"/>
    <x v="1"/>
    <x v="11"/>
    <n v="56"/>
    <s v="TPTC"/>
    <s v="Trent/Colin"/>
    <n v="105.5"/>
    <s v="KGWD"/>
    <s v="Walker/Cory"/>
    <n v="97"/>
    <s v="NONE"/>
    <n v="202.5"/>
    <n v="8.5"/>
    <x v="4"/>
    <x v="5"/>
    <s v="AWAY"/>
    <s v="HOME"/>
    <n v="105.5"/>
    <n v="97"/>
  </r>
  <r>
    <n v="123"/>
    <n v="226"/>
    <n v="604"/>
    <n v="543"/>
    <n v="626"/>
    <x v="1"/>
    <x v="11"/>
    <n v="57"/>
    <s v="DKMB"/>
    <s v="David/Marshall"/>
    <n v="71"/>
    <s v="CPDL"/>
    <s v="Drew/Cam"/>
    <n v="103"/>
    <s v="NONE"/>
    <n v="174"/>
    <n v="32"/>
    <x v="6"/>
    <x v="4"/>
    <s v="HOME"/>
    <s v="AWAY"/>
    <n v="103"/>
    <n v="71"/>
  </r>
  <r>
    <n v="124"/>
    <n v="14"/>
    <n v="46"/>
    <n v="11"/>
    <n v="284"/>
    <x v="1"/>
    <x v="11"/>
    <n v="58"/>
    <s v="$MM$"/>
    <s v="Pat/Tucker"/>
    <n v="97.5"/>
    <s v="MSGG"/>
    <s v="Graham/Michael"/>
    <n v="169.5"/>
    <s v="NONE"/>
    <n v="267"/>
    <n v="72"/>
    <x v="0"/>
    <x v="9"/>
    <s v="HOME"/>
    <s v="AWAY"/>
    <n v="169.5"/>
    <n v="97.5"/>
  </r>
  <r>
    <n v="125"/>
    <n v="463"/>
    <n v="86"/>
    <n v="155"/>
    <n v="54"/>
    <x v="1"/>
    <x v="11"/>
    <n v="59"/>
    <s v="DBNG"/>
    <s v="Dave/Nolan"/>
    <n v="134"/>
    <s v="HSOD"/>
    <s v="Brian/Travis"/>
    <n v="120.5"/>
    <s v="NONE"/>
    <n v="254.5"/>
    <n v="13.5"/>
    <x v="8"/>
    <x v="3"/>
    <s v="AWAY"/>
    <s v="HOME"/>
    <n v="134"/>
    <n v="120.5"/>
  </r>
  <r>
    <n v="126"/>
    <n v="70"/>
    <n v="451"/>
    <n v="260"/>
    <n v="589"/>
    <x v="1"/>
    <x v="12"/>
    <n v="60"/>
    <s v="KGWD"/>
    <s v="Walker/Cory"/>
    <n v="125.5"/>
    <s v="$MM$"/>
    <s v="Pat/Tucker"/>
    <n v="74"/>
    <s v="NONE"/>
    <n v="199.5"/>
    <n v="51.5"/>
    <x v="1"/>
    <x v="9"/>
    <s v="AWAY"/>
    <s v="HOME"/>
    <n v="125.5"/>
    <n v="74"/>
  </r>
  <r>
    <n v="127"/>
    <n v="52"/>
    <n v="363"/>
    <n v="179"/>
    <n v="559"/>
    <x v="1"/>
    <x v="12"/>
    <n v="61"/>
    <s v="CSRT"/>
    <s v="Clay/Ryan"/>
    <n v="132.5"/>
    <s v="HSOD"/>
    <s v="Brian/Travis"/>
    <n v="77"/>
    <s v="NONE"/>
    <n v="209.5"/>
    <n v="55.5"/>
    <x v="3"/>
    <x v="3"/>
    <s v="AWAY"/>
    <s v="HOME"/>
    <n v="132.5"/>
    <n v="77"/>
  </r>
  <r>
    <n v="128"/>
    <n v="601"/>
    <n v="156"/>
    <n v="285"/>
    <n v="76"/>
    <x v="1"/>
    <x v="12"/>
    <n v="62"/>
    <s v="MSGG"/>
    <s v="Graham/Michael"/>
    <n v="117.5"/>
    <s v="TPTC"/>
    <s v="Trent/Colin"/>
    <n v="123.5"/>
    <s v="NONE"/>
    <n v="241"/>
    <n v="6"/>
    <x v="4"/>
    <x v="6"/>
    <s v="HOME"/>
    <s v="AWAY"/>
    <n v="123.5"/>
    <n v="117.5"/>
  </r>
  <r>
    <n v="129"/>
    <n v="195"/>
    <n v="79"/>
    <n v="81"/>
    <n v="138"/>
    <x v="1"/>
    <x v="12"/>
    <n v="63"/>
    <s v="DERS"/>
    <s v="Eric/Blake"/>
    <n v="110.5"/>
    <s v="CPDL"/>
    <s v="Drew/Cam"/>
    <n v="145.5"/>
    <s v="NONE"/>
    <n v="256"/>
    <n v="35"/>
    <x v="6"/>
    <x v="2"/>
    <s v="HOME"/>
    <s v="AWAY"/>
    <n v="145.5"/>
    <n v="110.5"/>
  </r>
  <r>
    <n v="130"/>
    <n v="134"/>
    <n v="561"/>
    <n v="420"/>
    <n v="626"/>
    <x v="1"/>
    <x v="12"/>
    <n v="64"/>
    <s v="DBNG"/>
    <s v="Dave/Nolan"/>
    <n v="113"/>
    <s v="DKMB"/>
    <s v="David/Marshall"/>
    <n v="71"/>
    <s v="NONE"/>
    <n v="184"/>
    <n v="42"/>
    <x v="8"/>
    <x v="4"/>
    <s v="AWAY"/>
    <s v="HOME"/>
    <n v="113"/>
    <n v="71"/>
  </r>
  <r>
    <n v="131"/>
    <n v="442"/>
    <n v="171"/>
    <n v="247"/>
    <n v="130"/>
    <x v="2"/>
    <x v="0"/>
    <n v="0"/>
    <s v="CPDL"/>
    <s v="Drew/Cam"/>
    <n v="111.5"/>
    <s v="MSGG"/>
    <s v="Graham/Michael"/>
    <n v="126.5"/>
    <s v="NONE"/>
    <n v="238"/>
    <n v="15"/>
    <x v="0"/>
    <x v="0"/>
    <s v="HOME"/>
    <s v="AWAY"/>
    <n v="126.5"/>
    <n v="111.5"/>
  </r>
  <r>
    <n v="132"/>
    <n v="264"/>
    <n v="619"/>
    <n v="568"/>
    <n v="626"/>
    <x v="2"/>
    <x v="0"/>
    <n v="1"/>
    <s v="DBNG"/>
    <s v="Dave/Nolan"/>
    <n v="99.5"/>
    <s v="$MM$"/>
    <s v="Pat/Tucker"/>
    <n v="71"/>
    <s v="NONE"/>
    <n v="170.5"/>
    <n v="28.5"/>
    <x v="8"/>
    <x v="9"/>
    <s v="AWAY"/>
    <s v="HOME"/>
    <n v="99.5"/>
    <n v="71"/>
  </r>
  <r>
    <n v="133"/>
    <n v="125"/>
    <n v="256"/>
    <n v="155"/>
    <n v="380"/>
    <x v="2"/>
    <x v="0"/>
    <n v="2"/>
    <s v="CSRT"/>
    <s v="Clay/Ryan"/>
    <n v="134"/>
    <s v="HSOD"/>
    <s v="Brian/Travis"/>
    <n v="91"/>
    <s v="NONE"/>
    <n v="225"/>
    <n v="43"/>
    <x v="3"/>
    <x v="3"/>
    <s v="AWAY"/>
    <s v="HOME"/>
    <n v="134"/>
    <n v="91"/>
  </r>
  <r>
    <n v="134"/>
    <n v="171"/>
    <n v="166"/>
    <n v="119"/>
    <n v="233"/>
    <x v="2"/>
    <x v="0"/>
    <n v="3"/>
    <s v="KGWD"/>
    <s v="Walker/Cory"/>
    <n v="138.5"/>
    <s v="DKMB"/>
    <s v="David/Marshall"/>
    <n v="101"/>
    <s v="NONE"/>
    <n v="239.5"/>
    <n v="37.5"/>
    <x v="1"/>
    <x v="4"/>
    <s v="AWAY"/>
    <s v="HOME"/>
    <n v="138.5"/>
    <n v="101"/>
  </r>
  <r>
    <n v="135"/>
    <n v="67"/>
    <n v="281"/>
    <n v="127"/>
    <n v="482"/>
    <x v="2"/>
    <x v="0"/>
    <n v="4"/>
    <s v="DERS"/>
    <s v="Eric/Blake"/>
    <n v="137.5"/>
    <s v="B2K"/>
    <s v="Trent/Colin"/>
    <n v="85"/>
    <s v="NONE"/>
    <n v="222.5"/>
    <n v="52.5"/>
    <x v="5"/>
    <x v="7"/>
    <s v="AWAY"/>
    <s v="HOME"/>
    <n v="137.5"/>
    <n v="85"/>
  </r>
  <r>
    <n v="136"/>
    <n v="644"/>
    <n v="530"/>
    <n v="608"/>
    <n v="362"/>
    <x v="2"/>
    <x v="1"/>
    <n v="5"/>
    <s v="$MM$"/>
    <s v="Pat/Tucker"/>
    <n v="92"/>
    <s v="HSOD"/>
    <s v="Brian/Travis"/>
    <n v="95.5"/>
    <s v="NONE"/>
    <n v="187.5"/>
    <n v="3.5"/>
    <x v="7"/>
    <x v="9"/>
    <s v="HOME"/>
    <s v="AWAY"/>
    <n v="95.5"/>
    <n v="92"/>
  </r>
  <r>
    <n v="137"/>
    <n v="218"/>
    <n v="341"/>
    <n v="305"/>
    <n v="388"/>
    <x v="2"/>
    <x v="1"/>
    <n v="6"/>
    <s v="DKMB"/>
    <s v="David/Marshall"/>
    <n v="122.5"/>
    <s v="CPDL"/>
    <s v="Drew/Cam"/>
    <n v="90"/>
    <s v="NONE"/>
    <n v="212.5"/>
    <n v="32.5"/>
    <x v="9"/>
    <x v="0"/>
    <s v="AWAY"/>
    <s v="HOME"/>
    <n v="122.5"/>
    <n v="90"/>
  </r>
  <r>
    <n v="138"/>
    <n v="226"/>
    <n v="400"/>
    <n v="350"/>
    <n v="447"/>
    <x v="2"/>
    <x v="1"/>
    <n v="7"/>
    <s v="B2K"/>
    <s v="Trent/Colin"/>
    <n v="119"/>
    <s v="MSGG"/>
    <s v="Graham/Michael"/>
    <n v="87"/>
    <s v="NONE"/>
    <n v="206"/>
    <n v="32"/>
    <x v="4"/>
    <x v="6"/>
    <s v="AWAY"/>
    <s v="HOME"/>
    <n v="119"/>
    <n v="87"/>
  </r>
  <r>
    <n v="139"/>
    <n v="35"/>
    <n v="227"/>
    <n v="85"/>
    <n v="494"/>
    <x v="2"/>
    <x v="1"/>
    <n v="8"/>
    <s v="KGWD"/>
    <s v="Walker/Cory"/>
    <n v="84"/>
    <s v="DBNG"/>
    <s v="Dave/Nolan"/>
    <n v="144.5"/>
    <s v="NONE"/>
    <n v="228.5"/>
    <n v="60.5"/>
    <x v="8"/>
    <x v="5"/>
    <s v="HOME"/>
    <s v="AWAY"/>
    <n v="144.5"/>
    <n v="84"/>
  </r>
  <r>
    <n v="140"/>
    <n v="395"/>
    <n v="647"/>
    <n v="646"/>
    <n v="622"/>
    <x v="2"/>
    <x v="1"/>
    <n v="9"/>
    <s v="DERS"/>
    <s v="Eric/Blake"/>
    <n v="90"/>
    <s v="CSRT"/>
    <s v="Clay/Ryan"/>
    <n v="71.5"/>
    <s v="NONE"/>
    <n v="161.5"/>
    <n v="18.5"/>
    <x v="5"/>
    <x v="8"/>
    <s v="AWAY"/>
    <s v="HOME"/>
    <n v="90"/>
    <n v="71.5"/>
  </r>
  <r>
    <n v="141"/>
    <n v="678"/>
    <n v="256"/>
    <n v="420"/>
    <n v="124"/>
    <x v="2"/>
    <x v="2"/>
    <n v="10"/>
    <s v="DKMB"/>
    <s v="David/Marshall"/>
    <n v="112"/>
    <s v="B2K"/>
    <s v="Trent/Colin"/>
    <n v="113"/>
    <s v="NONE"/>
    <n v="225"/>
    <n v="1"/>
    <x v="4"/>
    <x v="4"/>
    <s v="HOME"/>
    <s v="AWAY"/>
    <n v="113"/>
    <n v="112"/>
  </r>
  <r>
    <n v="142"/>
    <n v="15"/>
    <n v="86"/>
    <n v="23"/>
    <n v="370"/>
    <x v="2"/>
    <x v="2"/>
    <n v="11"/>
    <s v="$MM$"/>
    <s v="Pat/Tucker"/>
    <n v="91.5"/>
    <s v="KGWD"/>
    <s v="Walker/Cory"/>
    <n v="163"/>
    <s v="NONE"/>
    <n v="254.5"/>
    <n v="71.5"/>
    <x v="1"/>
    <x v="9"/>
    <s v="HOME"/>
    <s v="AWAY"/>
    <n v="163"/>
    <n v="91.5"/>
  </r>
  <r>
    <n v="143"/>
    <n v="96"/>
    <n v="24"/>
    <n v="23"/>
    <n v="97"/>
    <x v="2"/>
    <x v="2"/>
    <n v="12"/>
    <s v="HSOD"/>
    <s v="Brian/Travis"/>
    <n v="163"/>
    <s v="DERS"/>
    <s v="Eric/Blake"/>
    <n v="115.5"/>
    <s v="NONE"/>
    <n v="278.5"/>
    <n v="47.5"/>
    <x v="7"/>
    <x v="2"/>
    <s v="AWAY"/>
    <s v="HOME"/>
    <n v="163"/>
    <n v="115.5"/>
  </r>
  <r>
    <n v="144"/>
    <n v="80"/>
    <n v="456"/>
    <n v="273"/>
    <n v="583"/>
    <x v="2"/>
    <x v="2"/>
    <n v="13"/>
    <s v="CPDL"/>
    <s v="Drew/Cam"/>
    <n v="74.5"/>
    <s v="DBNG"/>
    <s v="Dave/Nolan"/>
    <n v="124.5"/>
    <s v="NONE"/>
    <n v="199"/>
    <n v="50"/>
    <x v="8"/>
    <x v="0"/>
    <s v="HOME"/>
    <s v="AWAY"/>
    <n v="124.5"/>
    <n v="74.5"/>
  </r>
  <r>
    <n v="145"/>
    <n v="512"/>
    <n v="478"/>
    <n v="543"/>
    <n v="354"/>
    <x v="2"/>
    <x v="2"/>
    <n v="14"/>
    <s v="MSGG"/>
    <s v="Graham/Michael"/>
    <n v="92.5"/>
    <s v="CSRT"/>
    <s v="Clay/Ryan"/>
    <n v="103"/>
    <s v="NONE"/>
    <n v="195.5"/>
    <n v="10.5"/>
    <x v="3"/>
    <x v="6"/>
    <s v="HOME"/>
    <s v="AWAY"/>
    <n v="103"/>
    <n v="92.5"/>
  </r>
  <r>
    <n v="146"/>
    <n v="573"/>
    <n v="540"/>
    <n v="597"/>
    <n v="405"/>
    <x v="2"/>
    <x v="3"/>
    <n v="15"/>
    <s v="KGWD"/>
    <s v="Walker/Cory"/>
    <n v="97"/>
    <s v="DERS"/>
    <s v="Eric/Blake"/>
    <n v="89.5"/>
    <s v="NONE"/>
    <n v="186.5"/>
    <n v="7.5"/>
    <x v="1"/>
    <x v="2"/>
    <s v="AWAY"/>
    <s v="HOME"/>
    <n v="97"/>
    <n v="89.5"/>
  </r>
  <r>
    <n v="147"/>
    <n v="594"/>
    <n v="420"/>
    <n v="517"/>
    <n v="272"/>
    <x v="2"/>
    <x v="3"/>
    <n v="16"/>
    <s v="DBNG"/>
    <s v="Dave/Nolan"/>
    <n v="98.5"/>
    <s v="DKMB"/>
    <s v="David/Marshall"/>
    <n v="105"/>
    <s v="NONE"/>
    <n v="203.5"/>
    <n v="6.5"/>
    <x v="9"/>
    <x v="1"/>
    <s v="HOME"/>
    <s v="AWAY"/>
    <n v="105"/>
    <n v="98.5"/>
  </r>
  <r>
    <n v="148"/>
    <n v="280"/>
    <n v="445"/>
    <n v="410"/>
    <n v="460"/>
    <x v="2"/>
    <x v="3"/>
    <n v="17"/>
    <s v="CSRT"/>
    <s v="Clay/Ryan"/>
    <n v="113.5"/>
    <s v="B2K"/>
    <s v="Trent/Colin"/>
    <n v="86.5"/>
    <s v="NONE"/>
    <n v="200"/>
    <n v="27"/>
    <x v="3"/>
    <x v="7"/>
    <s v="AWAY"/>
    <s v="HOME"/>
    <n v="113.5"/>
    <n v="86.5"/>
  </r>
  <r>
    <n v="149"/>
    <n v="601"/>
    <n v="668"/>
    <n v="682"/>
    <n v="609"/>
    <x v="2"/>
    <x v="3"/>
    <n v="18"/>
    <s v="CPDL"/>
    <s v="Drew/Cam"/>
    <n v="79"/>
    <s v="$MM$"/>
    <s v="Pat/Tucker"/>
    <n v="73"/>
    <s v="NONE"/>
    <n v="152"/>
    <n v="6"/>
    <x v="6"/>
    <x v="9"/>
    <s v="AWAY"/>
    <s v="HOME"/>
    <n v="79"/>
    <n v="73"/>
  </r>
  <r>
    <n v="150"/>
    <n v="304"/>
    <n v="619"/>
    <n v="593"/>
    <n v="609"/>
    <x v="2"/>
    <x v="3"/>
    <n v="19"/>
    <s v="MSGG"/>
    <s v="Graham/Michael"/>
    <n v="73"/>
    <s v="HSOD"/>
    <s v="Brian/Travis"/>
    <n v="97.5"/>
    <s v="NONE"/>
    <n v="170.5"/>
    <n v="24.5"/>
    <x v="7"/>
    <x v="6"/>
    <s v="HOME"/>
    <s v="AWAY"/>
    <n v="97.5"/>
    <n v="73"/>
  </r>
  <r>
    <n v="151"/>
    <n v="73"/>
    <n v="256"/>
    <n v="122"/>
    <n v="447"/>
    <x v="2"/>
    <x v="4"/>
    <n v="20"/>
    <s v="DBNG"/>
    <s v="Dave/Nolan"/>
    <n v="138"/>
    <s v="CSRT"/>
    <s v="Clay/Ryan"/>
    <n v="87"/>
    <s v="NONE"/>
    <n v="225"/>
    <n v="51"/>
    <x v="8"/>
    <x v="8"/>
    <s v="AWAY"/>
    <s v="HOME"/>
    <n v="138"/>
    <n v="87"/>
  </r>
  <r>
    <n v="152"/>
    <n v="482"/>
    <n v="329"/>
    <n v="420"/>
    <n v="233"/>
    <x v="2"/>
    <x v="4"/>
    <n v="21"/>
    <s v="KGWD"/>
    <s v="Walker/Cory"/>
    <n v="101"/>
    <s v="CPDL"/>
    <s v="Drew/Cam"/>
    <n v="113"/>
    <s v="NONE"/>
    <n v="214"/>
    <n v="12"/>
    <x v="6"/>
    <x v="5"/>
    <s v="HOME"/>
    <s v="AWAY"/>
    <n v="113"/>
    <n v="101"/>
  </r>
  <r>
    <n v="153"/>
    <n v="6"/>
    <n v="51"/>
    <n v="4"/>
    <n v="423"/>
    <x v="2"/>
    <x v="4"/>
    <n v="22"/>
    <s v="DERS"/>
    <s v="Eric/Blake"/>
    <n v="177"/>
    <s v="MSGG"/>
    <s v="Graham/Michael"/>
    <n v="88"/>
    <s v="NONE"/>
    <n v="265"/>
    <n v="89"/>
    <x v="5"/>
    <x v="6"/>
    <s v="AWAY"/>
    <s v="HOME"/>
    <n v="177"/>
    <n v="88"/>
  </r>
  <r>
    <n v="154"/>
    <n v="280"/>
    <n v="694"/>
    <n v="692"/>
    <n v="692"/>
    <x v="2"/>
    <x v="4"/>
    <n v="23"/>
    <s v="DKMB"/>
    <s v="David/Marshall"/>
    <n v="46"/>
    <s v="$MM$"/>
    <s v="Pat/Tucker"/>
    <n v="73"/>
    <s v="NONE"/>
    <n v="119"/>
    <n v="27"/>
    <x v="2"/>
    <x v="4"/>
    <s v="HOME"/>
    <s v="AWAY"/>
    <n v="73"/>
    <n v="46"/>
  </r>
  <r>
    <n v="155"/>
    <n v="512"/>
    <n v="662"/>
    <n v="672"/>
    <n v="622"/>
    <x v="2"/>
    <x v="4"/>
    <n v="24"/>
    <s v="B2K"/>
    <s v="Trent/Colin"/>
    <n v="71.5"/>
    <s v="HSOD"/>
    <s v="Brian/Travis"/>
    <n v="82"/>
    <s v="NONE"/>
    <n v="153.5"/>
    <n v="10.5"/>
    <x v="7"/>
    <x v="7"/>
    <s v="HOME"/>
    <s v="AWAY"/>
    <n v="82"/>
    <n v="71.5"/>
  </r>
  <r>
    <n v="156"/>
    <n v="33"/>
    <n v="192"/>
    <n v="68"/>
    <n v="447"/>
    <x v="2"/>
    <x v="5"/>
    <n v="25"/>
    <s v="MSGG"/>
    <s v="Graham/Michael"/>
    <n v="148"/>
    <s v="$MM$"/>
    <s v="Pat/Tucker"/>
    <n v="87"/>
    <s v="NONE"/>
    <n v="235"/>
    <n v="61"/>
    <x v="0"/>
    <x v="9"/>
    <s v="AWAY"/>
    <s v="HOME"/>
    <n v="148"/>
    <n v="87"/>
  </r>
  <r>
    <n v="157"/>
    <n v="667"/>
    <n v="406"/>
    <n v="535"/>
    <n v="226"/>
    <x v="2"/>
    <x v="5"/>
    <n v="26"/>
    <s v="HSOD"/>
    <s v="Brian/Travis"/>
    <n v="103.5"/>
    <s v="DKMB"/>
    <s v="David/Marshall"/>
    <n v="101.5"/>
    <s v="NONE"/>
    <n v="205"/>
    <n v="2"/>
    <x v="7"/>
    <x v="4"/>
    <s v="AWAY"/>
    <s v="HOME"/>
    <n v="103.5"/>
    <n v="101.5"/>
  </r>
  <r>
    <n v="158"/>
    <n v="134"/>
    <n v="215"/>
    <n v="140"/>
    <n v="336"/>
    <x v="2"/>
    <x v="5"/>
    <n v="27"/>
    <s v="B2K"/>
    <s v="Trent/Colin"/>
    <n v="94"/>
    <s v="KGWD"/>
    <s v="Walker/Cory"/>
    <n v="136"/>
    <s v="NONE"/>
    <n v="230"/>
    <n v="42"/>
    <x v="1"/>
    <x v="7"/>
    <s v="HOME"/>
    <s v="AWAY"/>
    <n v="136"/>
    <n v="94"/>
  </r>
  <r>
    <n v="159"/>
    <n v="45"/>
    <n v="318"/>
    <n v="135"/>
    <n v="544"/>
    <x v="2"/>
    <x v="5"/>
    <n v="28"/>
    <s v="DERS"/>
    <s v="Eric/Blake"/>
    <n v="137"/>
    <s v="DBNG"/>
    <s v="Dave/Nolan"/>
    <n v="79"/>
    <s v="NONE"/>
    <n v="216"/>
    <n v="58"/>
    <x v="5"/>
    <x v="1"/>
    <s v="AWAY"/>
    <s v="HOME"/>
    <n v="137"/>
    <n v="79"/>
  </r>
  <r>
    <n v="160"/>
    <n v="579"/>
    <n v="581"/>
    <n v="628"/>
    <n v="460"/>
    <x v="2"/>
    <x v="5"/>
    <n v="29"/>
    <s v="CSRT"/>
    <s v="Clay/Ryan"/>
    <n v="86.5"/>
    <s v="CPDL"/>
    <s v="Drew/Cam"/>
    <n v="93.5"/>
    <s v="NONE"/>
    <n v="180"/>
    <n v="7"/>
    <x v="6"/>
    <x v="8"/>
    <s v="HOME"/>
    <s v="AWAY"/>
    <n v="93.5"/>
    <n v="86.5"/>
  </r>
  <r>
    <n v="161"/>
    <n v="453"/>
    <n v="276"/>
    <n v="353"/>
    <n v="184"/>
    <x v="2"/>
    <x v="6"/>
    <n v="30"/>
    <s v="DKMB"/>
    <s v="David/Marshall"/>
    <n v="118.5"/>
    <s v="MSGG"/>
    <s v="Graham/Michael"/>
    <n v="104.5"/>
    <s v="NONE"/>
    <n v="223"/>
    <n v="14"/>
    <x v="9"/>
    <x v="6"/>
    <s v="AWAY"/>
    <s v="HOME"/>
    <n v="118.5"/>
    <n v="104.5"/>
  </r>
  <r>
    <n v="162"/>
    <n v="532"/>
    <n v="118"/>
    <n v="218"/>
    <n v="65"/>
    <x v="2"/>
    <x v="6"/>
    <n v="31"/>
    <s v="KGWD"/>
    <s v="Walker/Cory"/>
    <n v="119"/>
    <s v="HSOD"/>
    <s v="Brian/Travis"/>
    <n v="128.5"/>
    <s v="NONE"/>
    <n v="247.5"/>
    <n v="9.5"/>
    <x v="7"/>
    <x v="5"/>
    <s v="HOME"/>
    <s v="AWAY"/>
    <n v="128.5"/>
    <n v="119"/>
  </r>
  <r>
    <n v="163"/>
    <n v="176"/>
    <n v="591"/>
    <n v="482"/>
    <n v="635"/>
    <x v="2"/>
    <x v="6"/>
    <n v="32"/>
    <s v="DBNG"/>
    <s v="Dave/Nolan"/>
    <n v="70.5"/>
    <s v="B2K"/>
    <s v="Trent/Colin"/>
    <n v="107.5"/>
    <s v="NONE"/>
    <n v="178"/>
    <n v="37"/>
    <x v="4"/>
    <x v="1"/>
    <s v="HOME"/>
    <s v="AWAY"/>
    <n v="107.5"/>
    <n v="70.5"/>
  </r>
  <r>
    <n v="164"/>
    <n v="349"/>
    <n v="256"/>
    <n v="285"/>
    <n v="226"/>
    <x v="2"/>
    <x v="6"/>
    <n v="33"/>
    <s v="CPDL"/>
    <s v="Drew/Cam"/>
    <n v="101.5"/>
    <s v="DERS"/>
    <s v="Eric/Blake"/>
    <n v="123.5"/>
    <s v="NONE"/>
    <n v="225"/>
    <n v="22"/>
    <x v="5"/>
    <x v="0"/>
    <s v="HOME"/>
    <s v="AWAY"/>
    <n v="123.5"/>
    <n v="101.5"/>
  </r>
  <r>
    <n v="165"/>
    <n v="334"/>
    <n v="549"/>
    <n v="530"/>
    <n v="523"/>
    <x v="2"/>
    <x v="6"/>
    <n v="34"/>
    <s v="$MM$"/>
    <s v="Pat/Tucker"/>
    <n v="104"/>
    <s v="CSRT"/>
    <s v="Clay/Ryan"/>
    <n v="81.5"/>
    <s v="NONE"/>
    <n v="185.5"/>
    <n v="22.5"/>
    <x v="2"/>
    <x v="8"/>
    <s v="AWAY"/>
    <s v="HOME"/>
    <n v="104"/>
    <n v="81.5"/>
  </r>
  <r>
    <n v="166"/>
    <n v="552"/>
    <n v="619"/>
    <n v="653"/>
    <n v="527"/>
    <x v="2"/>
    <x v="7"/>
    <n v="35"/>
    <s v="MSGG"/>
    <s v="Graham/Michael"/>
    <n v="89.5"/>
    <s v="KGWD"/>
    <s v="Walker/Cory"/>
    <n v="81"/>
    <s v="NONE"/>
    <n v="170.5"/>
    <n v="8.5"/>
    <x v="0"/>
    <x v="5"/>
    <s v="AWAY"/>
    <s v="HOME"/>
    <n v="89.5"/>
    <n v="81"/>
  </r>
  <r>
    <n v="167"/>
    <n v="644"/>
    <n v="82"/>
    <n v="209"/>
    <n v="28"/>
    <x v="2"/>
    <x v="7"/>
    <n v="36"/>
    <s v="HSOD"/>
    <s v="Brian/Travis"/>
    <n v="126"/>
    <s v="DBNG"/>
    <s v="Dave/Nolan"/>
    <n v="129.5"/>
    <s v="NONE"/>
    <n v="255.5"/>
    <n v="3.5"/>
    <x v="8"/>
    <x v="3"/>
    <s v="HOME"/>
    <s v="AWAY"/>
    <n v="129.5"/>
    <n v="126"/>
  </r>
  <r>
    <n v="168"/>
    <n v="202"/>
    <n v="150"/>
    <n v="122"/>
    <n v="200"/>
    <x v="2"/>
    <x v="7"/>
    <n v="37"/>
    <s v="B2K"/>
    <s v="Trent/Colin"/>
    <n v="138"/>
    <s v="CPDL"/>
    <s v="Drew/Cam"/>
    <n v="103.5"/>
    <s v="NONE"/>
    <n v="241.5"/>
    <n v="34.5"/>
    <x v="4"/>
    <x v="0"/>
    <s v="AWAY"/>
    <s v="HOME"/>
    <n v="138"/>
    <n v="103.5"/>
  </r>
  <r>
    <n v="169"/>
    <n v="122"/>
    <n v="253"/>
    <n v="148"/>
    <n v="380"/>
    <x v="2"/>
    <x v="7"/>
    <n v="38"/>
    <s v="DERS"/>
    <s v="Eric/Blake"/>
    <n v="134.5"/>
    <s v="$MM$"/>
    <s v="Pat/Tucker"/>
    <n v="91"/>
    <s v="NONE"/>
    <n v="225.5"/>
    <n v="43.5"/>
    <x v="5"/>
    <x v="9"/>
    <s v="AWAY"/>
    <s v="HOME"/>
    <n v="134.5"/>
    <n v="91"/>
  </r>
  <r>
    <n v="170"/>
    <n v="349"/>
    <n v="632"/>
    <n v="622"/>
    <n v="619"/>
    <x v="2"/>
    <x v="7"/>
    <n v="39"/>
    <s v="CSRT"/>
    <s v="Clay/Ryan"/>
    <n v="94"/>
    <s v="DKMB"/>
    <s v="David/Marshall"/>
    <n v="72"/>
    <s v="NONE"/>
    <n v="166"/>
    <n v="22"/>
    <x v="3"/>
    <x v="4"/>
    <s v="AWAY"/>
    <s v="HOME"/>
    <n v="94"/>
    <n v="72"/>
  </r>
  <r>
    <n v="171"/>
    <n v="213"/>
    <n v="46"/>
    <n v="56"/>
    <n v="84"/>
    <x v="2"/>
    <x v="8"/>
    <n v="40"/>
    <s v="DBNG"/>
    <s v="Dave/Nolan"/>
    <n v="150"/>
    <s v="MSGG"/>
    <s v="Graham/Michael"/>
    <n v="117"/>
    <s v="NONE"/>
    <n v="267"/>
    <n v="33"/>
    <x v="8"/>
    <x v="6"/>
    <s v="AWAY"/>
    <s v="HOME"/>
    <n v="150"/>
    <n v="117"/>
  </r>
  <r>
    <n v="172"/>
    <n v="27"/>
    <n v="516"/>
    <n v="247"/>
    <n v="665"/>
    <x v="2"/>
    <x v="8"/>
    <n v="41"/>
    <s v="CPDL"/>
    <s v="Drew/Cam"/>
    <n v="63"/>
    <s v="KGWD"/>
    <s v="Walker/Cory"/>
    <n v="126.5"/>
    <s v="NONE"/>
    <n v="189.5"/>
    <n v="63.5"/>
    <x v="1"/>
    <x v="0"/>
    <s v="HOME"/>
    <s v="AWAY"/>
    <n v="126.5"/>
    <n v="63"/>
  </r>
  <r>
    <n v="173"/>
    <n v="87"/>
    <n v="516"/>
    <n v="350"/>
    <n v="635"/>
    <x v="2"/>
    <x v="8"/>
    <n v="42"/>
    <s v="HSOD"/>
    <s v="Brian/Travis"/>
    <n v="119"/>
    <s v="CSRT"/>
    <s v="Clay/Ryan"/>
    <n v="70.5"/>
    <s v="NONE"/>
    <n v="189.5"/>
    <n v="48.5"/>
    <x v="7"/>
    <x v="8"/>
    <s v="AWAY"/>
    <s v="HOME"/>
    <n v="119"/>
    <n v="70.5"/>
  </r>
  <r>
    <n v="174"/>
    <n v="160"/>
    <n v="468"/>
    <n v="358"/>
    <n v="541"/>
    <x v="2"/>
    <x v="8"/>
    <n v="43"/>
    <s v="$MM$"/>
    <s v="Pat/Tucker"/>
    <n v="79.5"/>
    <s v="DKMB"/>
    <s v="David/Marshall"/>
    <n v="118"/>
    <s v="NONE"/>
    <n v="197.5"/>
    <n v="38.5"/>
    <x v="9"/>
    <x v="9"/>
    <s v="HOME"/>
    <s v="AWAY"/>
    <n v="118"/>
    <n v="79.5"/>
  </r>
  <r>
    <n v="175"/>
    <n v="363"/>
    <n v="91"/>
    <n v="127"/>
    <n v="87"/>
    <x v="2"/>
    <x v="8"/>
    <n v="44"/>
    <s v="B2K"/>
    <s v="Trent/Colin"/>
    <n v="116.5"/>
    <s v="DERS"/>
    <s v="Eric/Blake"/>
    <n v="137.5"/>
    <s v="NONE"/>
    <n v="254"/>
    <n v="21"/>
    <x v="5"/>
    <x v="7"/>
    <s v="HOME"/>
    <s v="AWAY"/>
    <n v="137.5"/>
    <n v="116.5"/>
  </r>
  <r>
    <n v="176"/>
    <n v="419"/>
    <n v="318"/>
    <n v="378"/>
    <n v="257"/>
    <x v="2"/>
    <x v="9"/>
    <n v="45"/>
    <s v="CPDL"/>
    <s v="Drew/Cam"/>
    <n v="116.5"/>
    <s v="HSOD"/>
    <s v="Brian/Travis"/>
    <n v="99.5"/>
    <s v="NONE"/>
    <n v="216"/>
    <n v="17"/>
    <x v="6"/>
    <x v="3"/>
    <s v="AWAY"/>
    <s v="HOME"/>
    <n v="116.5"/>
    <n v="99.5"/>
  </r>
  <r>
    <n v="177"/>
    <n v="49"/>
    <n v="524"/>
    <n v="305"/>
    <n v="657"/>
    <x v="2"/>
    <x v="9"/>
    <n v="46"/>
    <s v="$MM$"/>
    <s v="Pat/Tucker"/>
    <n v="65.5"/>
    <s v="DBNG"/>
    <s v="Dave/Nolan"/>
    <n v="122.5"/>
    <s v="NONE"/>
    <n v="188"/>
    <n v="57"/>
    <x v="8"/>
    <x v="9"/>
    <s v="HOME"/>
    <s v="AWAY"/>
    <n v="122.5"/>
    <n v="65.5"/>
  </r>
  <r>
    <n v="178"/>
    <n v="154"/>
    <n v="406"/>
    <n v="313"/>
    <n v="509"/>
    <x v="2"/>
    <x v="9"/>
    <n v="47"/>
    <s v="MSGG"/>
    <s v="Graham/Michael"/>
    <n v="83"/>
    <s v="B2K"/>
    <s v="Trent/Colin"/>
    <n v="122"/>
    <s v="NONE"/>
    <n v="205"/>
    <n v="39"/>
    <x v="4"/>
    <x v="6"/>
    <s v="HOME"/>
    <s v="AWAY"/>
    <n v="122"/>
    <n v="83"/>
  </r>
  <r>
    <n v="179"/>
    <n v="573"/>
    <n v="470"/>
    <n v="554"/>
    <n v="325"/>
    <x v="2"/>
    <x v="9"/>
    <n v="48"/>
    <s v="DKMB"/>
    <s v="David/Marshall"/>
    <n v="94.5"/>
    <s v="KGWD"/>
    <s v="Walker/Cory"/>
    <n v="102"/>
    <s v="NONE"/>
    <n v="196.5"/>
    <n v="7.5"/>
    <x v="1"/>
    <x v="4"/>
    <s v="HOME"/>
    <s v="AWAY"/>
    <n v="102"/>
    <n v="94.5"/>
  </r>
  <r>
    <n v="180"/>
    <n v="318"/>
    <n v="606"/>
    <n v="578"/>
    <n v="579"/>
    <x v="2"/>
    <x v="9"/>
    <n v="49"/>
    <s v="CSRT"/>
    <s v="Clay/Ryan"/>
    <n v="75"/>
    <s v="DERS"/>
    <s v="Eric/Blake"/>
    <n v="98.5"/>
    <s v="NONE"/>
    <n v="173.5"/>
    <n v="23.5"/>
    <x v="5"/>
    <x v="8"/>
    <s v="HOME"/>
    <s v="AWAY"/>
    <n v="98.5"/>
    <n v="75"/>
  </r>
  <r>
    <n v="181"/>
    <n v="148"/>
    <n v="183"/>
    <n v="114"/>
    <n v="279"/>
    <x v="2"/>
    <x v="10"/>
    <n v="50"/>
    <s v="$MM$"/>
    <s v="Pat/Tucker"/>
    <n v="139"/>
    <s v="B2K"/>
    <s v="Trent/Colin"/>
    <n v="98"/>
    <s v="NONE"/>
    <n v="237"/>
    <n v="41"/>
    <x v="2"/>
    <x v="7"/>
    <s v="AWAY"/>
    <s v="HOME"/>
    <n v="139"/>
    <n v="98"/>
  </r>
  <r>
    <n v="182"/>
    <n v="134"/>
    <n v="681"/>
    <n v="622"/>
    <n v="687"/>
    <x v="2"/>
    <x v="10"/>
    <n v="51"/>
    <s v="CPDL"/>
    <s v="Drew/Cam"/>
    <n v="94"/>
    <s v="DKMB"/>
    <s v="David/Marshall"/>
    <n v="52"/>
    <s v="NONE"/>
    <n v="146"/>
    <n v="42"/>
    <x v="6"/>
    <x v="4"/>
    <s v="AWAY"/>
    <s v="HOME"/>
    <n v="94"/>
    <n v="52"/>
  </r>
  <r>
    <n v="183"/>
    <n v="246"/>
    <n v="597"/>
    <n v="535"/>
    <n v="600"/>
    <x v="2"/>
    <x v="10"/>
    <n v="52"/>
    <s v="DERS"/>
    <s v="Eric/Blake"/>
    <n v="103.5"/>
    <s v="HSOD"/>
    <s v="Brian/Travis"/>
    <n v="73.5"/>
    <s v="NONE"/>
    <n v="177"/>
    <n v="30"/>
    <x v="5"/>
    <x v="3"/>
    <s v="AWAY"/>
    <s v="HOME"/>
    <n v="103.5"/>
    <n v="73.5"/>
  </r>
  <r>
    <n v="184"/>
    <n v="453"/>
    <n v="693"/>
    <n v="694"/>
    <n v="680"/>
    <x v="2"/>
    <x v="10"/>
    <n v="53"/>
    <s v="DBNG"/>
    <s v="Dave/Nolan"/>
    <n v="70"/>
    <s v="KGWD"/>
    <s v="Walker/Cory"/>
    <n v="56"/>
    <s v="NONE"/>
    <n v="126"/>
    <n v="14"/>
    <x v="8"/>
    <x v="5"/>
    <s v="AWAY"/>
    <s v="HOME"/>
    <n v="70"/>
    <n v="56"/>
  </r>
  <r>
    <n v="185"/>
    <n v="349"/>
    <n v="685"/>
    <n v="670"/>
    <n v="672"/>
    <x v="2"/>
    <x v="10"/>
    <n v="54"/>
    <s v="CSRT"/>
    <s v="Clay/Ryan"/>
    <n v="61"/>
    <s v="MSGG"/>
    <s v="Graham/Michael"/>
    <n v="83"/>
    <s v="NONE"/>
    <n v="144"/>
    <n v="22"/>
    <x v="0"/>
    <x v="8"/>
    <s v="HOME"/>
    <s v="AWAY"/>
    <n v="83"/>
    <n v="61"/>
  </r>
  <r>
    <n v="186"/>
    <n v="298"/>
    <n v="581"/>
    <n v="548"/>
    <n v="556"/>
    <x v="2"/>
    <x v="11"/>
    <n v="55"/>
    <s v="DKMB"/>
    <s v="David/Marshall"/>
    <n v="102.5"/>
    <s v="DERS"/>
    <s v="Eric/Blake"/>
    <n v="77.5"/>
    <s v="NONE"/>
    <n v="180"/>
    <n v="25"/>
    <x v="9"/>
    <x v="2"/>
    <s v="AWAY"/>
    <s v="HOME"/>
    <n v="102.5"/>
    <n v="77.5"/>
  </r>
  <r>
    <n v="187"/>
    <n v="304"/>
    <n v="460"/>
    <n v="446"/>
    <n v="447"/>
    <x v="2"/>
    <x v="11"/>
    <n v="56"/>
    <s v="KGWD"/>
    <s v="Walker/Cory"/>
    <n v="87"/>
    <s v="$MM$"/>
    <s v="Pat/Tucker"/>
    <n v="111.5"/>
    <s v="NONE"/>
    <n v="198.5"/>
    <n v="24.5"/>
    <x v="2"/>
    <x v="5"/>
    <s v="HOME"/>
    <s v="AWAY"/>
    <n v="111.5"/>
    <n v="87"/>
  </r>
  <r>
    <n v="188"/>
    <n v="29"/>
    <n v="215"/>
    <n v="76"/>
    <n v="501"/>
    <x v="2"/>
    <x v="11"/>
    <n v="57"/>
    <s v="B2K"/>
    <s v="Trent/Colin"/>
    <n v="146.5"/>
    <s v="CSRT"/>
    <s v="Clay/Ryan"/>
    <n v="83.5"/>
    <s v="NONE"/>
    <n v="230"/>
    <n v="63"/>
    <x v="4"/>
    <x v="8"/>
    <s v="AWAY"/>
    <s v="HOME"/>
    <n v="146.5"/>
    <n v="83.5"/>
  </r>
  <r>
    <n v="189"/>
    <n v="404"/>
    <n v="501"/>
    <n v="511"/>
    <n v="437"/>
    <x v="2"/>
    <x v="11"/>
    <n v="58"/>
    <s v="DBNG"/>
    <s v="Dave/Nolan"/>
    <n v="87.5"/>
    <s v="CPDL"/>
    <s v="Drew/Cam"/>
    <n v="105.5"/>
    <s v="NONE"/>
    <n v="193"/>
    <n v="18"/>
    <x v="6"/>
    <x v="1"/>
    <s v="HOME"/>
    <s v="AWAY"/>
    <n v="105.5"/>
    <n v="87.5"/>
  </r>
  <r>
    <n v="190"/>
    <n v="17"/>
    <n v="215"/>
    <n v="60"/>
    <n v="535"/>
    <x v="2"/>
    <x v="11"/>
    <n v="59"/>
    <s v="HSOD"/>
    <s v="Brian/Travis"/>
    <n v="80.5"/>
    <s v="MSGG"/>
    <s v="Graham/Michael"/>
    <n v="149.5"/>
    <s v="NONE"/>
    <n v="230"/>
    <n v="69"/>
    <x v="0"/>
    <x v="3"/>
    <s v="HOME"/>
    <s v="AWAY"/>
    <n v="149.5"/>
    <n v="80.5"/>
  </r>
  <r>
    <n v="191"/>
    <n v="92"/>
    <n v="482"/>
    <n v="319"/>
    <n v="600"/>
    <x v="2"/>
    <x v="12"/>
    <n v="60"/>
    <s v="KGWD"/>
    <s v="Walker/Cory"/>
    <n v="73.5"/>
    <s v="CSRT"/>
    <s v="Clay/Ryan"/>
    <n v="121.5"/>
    <s v="NONE"/>
    <n v="195"/>
    <n v="48"/>
    <x v="3"/>
    <x v="5"/>
    <s v="HOME"/>
    <s v="AWAY"/>
    <n v="121.5"/>
    <n v="73.5"/>
  </r>
  <r>
    <n v="192"/>
    <n v="58"/>
    <n v="111"/>
    <n v="49"/>
    <n v="284"/>
    <x v="2"/>
    <x v="12"/>
    <n v="61"/>
    <s v="DKMB"/>
    <s v="David/Marshall"/>
    <n v="97.5"/>
    <s v="DBNG"/>
    <s v="Dave/Nolan"/>
    <n v="151.5"/>
    <s v="NONE"/>
    <n v="249"/>
    <n v="54"/>
    <x v="8"/>
    <x v="4"/>
    <s v="HOME"/>
    <s v="AWAY"/>
    <n v="151.5"/>
    <n v="97.5"/>
  </r>
  <r>
    <n v="193"/>
    <n v="176"/>
    <n v="183"/>
    <n v="135"/>
    <n v="248"/>
    <x v="2"/>
    <x v="12"/>
    <n v="62"/>
    <s v="MSGG"/>
    <s v="Graham/Michael"/>
    <n v="100"/>
    <s v="DERS"/>
    <s v="Eric/Blake"/>
    <n v="137"/>
    <s v="NONE"/>
    <n v="237"/>
    <n v="37"/>
    <x v="5"/>
    <x v="6"/>
    <s v="HOME"/>
    <s v="AWAY"/>
    <n v="137"/>
    <n v="100"/>
  </r>
  <r>
    <n v="194"/>
    <n v="388"/>
    <n v="415"/>
    <n v="446"/>
    <n v="354"/>
    <x v="2"/>
    <x v="12"/>
    <n v="63"/>
    <s v="$MM$"/>
    <s v="Pat/Tucker"/>
    <n v="111.5"/>
    <s v="CPDL"/>
    <s v="Drew/Cam"/>
    <n v="92.5"/>
    <s v="NONE"/>
    <n v="204"/>
    <n v="19"/>
    <x v="2"/>
    <x v="0"/>
    <s v="AWAY"/>
    <s v="HOME"/>
    <n v="111.5"/>
    <n v="92.5"/>
  </r>
  <r>
    <n v="195"/>
    <n v="195"/>
    <n v="208"/>
    <n v="163"/>
    <n v="272"/>
    <x v="2"/>
    <x v="12"/>
    <n v="64"/>
    <s v="HSOD"/>
    <s v="Brian/Travis"/>
    <n v="98.5"/>
    <s v="B2K"/>
    <s v="Trent/Colin"/>
    <n v="133.5"/>
    <s v="NONE"/>
    <n v="232"/>
    <n v="35"/>
    <x v="4"/>
    <x v="3"/>
    <s v="HOME"/>
    <s v="AWAY"/>
    <n v="133.5"/>
    <n v="98.5"/>
  </r>
  <r>
    <n v="196"/>
    <n v="395"/>
    <n v="253"/>
    <n v="313"/>
    <n v="200"/>
    <x v="3"/>
    <x v="0"/>
    <n v="0"/>
    <s v="CSRT"/>
    <s v="Clay/Ryan"/>
    <n v="122"/>
    <s v="$MM$"/>
    <s v="Pat/Tucker"/>
    <n v="103.5"/>
    <s v="NONE"/>
    <n v="225.5"/>
    <n v="18.5"/>
    <x v="3"/>
    <x v="9"/>
    <s v="AWAY"/>
    <s v="HOME"/>
    <n v="122"/>
    <n v="103.5"/>
  </r>
  <r>
    <n v="197"/>
    <n v="256"/>
    <n v="224"/>
    <n v="215"/>
    <n v="248"/>
    <x v="3"/>
    <x v="0"/>
    <n v="1"/>
    <s v="DKMB"/>
    <s v="David/Marshall"/>
    <n v="100"/>
    <s v="DERS"/>
    <s v="Eric/Blake"/>
    <n v="129"/>
    <s v="NONE"/>
    <n v="229"/>
    <n v="29"/>
    <x v="5"/>
    <x v="4"/>
    <s v="HOME"/>
    <s v="AWAY"/>
    <n v="129"/>
    <n v="100"/>
  </r>
  <r>
    <n v="198"/>
    <n v="363"/>
    <n v="305"/>
    <n v="345"/>
    <n v="272"/>
    <x v="3"/>
    <x v="0"/>
    <n v="2"/>
    <s v="TPTC"/>
    <s v="Trent/Colin"/>
    <n v="119.5"/>
    <s v="CPDL"/>
    <s v="Drew/Cam"/>
    <n v="98.5"/>
    <s v="NONE"/>
    <n v="218"/>
    <n v="21"/>
    <x v="4"/>
    <x v="0"/>
    <s v="AWAY"/>
    <s v="HOME"/>
    <n v="119.5"/>
    <n v="98.5"/>
  </r>
  <r>
    <n v="199"/>
    <n v="524"/>
    <n v="99"/>
    <n v="185"/>
    <n v="51"/>
    <x v="3"/>
    <x v="0"/>
    <n v="3"/>
    <s v="DBNG"/>
    <s v="Dave/Nolan"/>
    <n v="121"/>
    <s v="KGWD"/>
    <s v="Walker/Cory"/>
    <n v="131"/>
    <s v="NONE"/>
    <n v="252"/>
    <n v="10"/>
    <x v="1"/>
    <x v="1"/>
    <s v="HOME"/>
    <s v="AWAY"/>
    <n v="131"/>
    <n v="121"/>
  </r>
  <r>
    <n v="200"/>
    <n v="644"/>
    <n v="470"/>
    <n v="562"/>
    <n v="301"/>
    <x v="3"/>
    <x v="0"/>
    <n v="4"/>
    <s v="HSOD"/>
    <s v="Brian/Travis"/>
    <n v="100"/>
    <s v="MSGG"/>
    <s v="Graham/Michael"/>
    <n v="96.5"/>
    <s v="NONE"/>
    <n v="196.5"/>
    <n v="3.5"/>
    <x v="7"/>
    <x v="6"/>
    <s v="AWAY"/>
    <s v="HOME"/>
    <n v="100"/>
    <n v="96.5"/>
  </r>
  <r>
    <n v="201"/>
    <n v="234"/>
    <n v="196"/>
    <n v="170"/>
    <n v="226"/>
    <x v="3"/>
    <x v="1"/>
    <n v="5"/>
    <s v="DERS"/>
    <s v="Eric/Blake"/>
    <n v="101.5"/>
    <s v="CPDL"/>
    <s v="Drew/Cam"/>
    <n v="133"/>
    <s v="NONE"/>
    <n v="234.5"/>
    <n v="31.5"/>
    <x v="6"/>
    <x v="2"/>
    <s v="HOME"/>
    <s v="AWAY"/>
    <n v="133"/>
    <n v="101.5"/>
  </r>
  <r>
    <n v="202"/>
    <n v="404"/>
    <n v="649"/>
    <n v="653"/>
    <n v="622"/>
    <x v="3"/>
    <x v="1"/>
    <n v="6"/>
    <s v="KGWD"/>
    <s v="Walker/Cory"/>
    <n v="71.5"/>
    <s v="CSRT"/>
    <s v="Clay/Ryan"/>
    <n v="89.5"/>
    <s v="NONE"/>
    <n v="161"/>
    <n v="18"/>
    <x v="3"/>
    <x v="5"/>
    <s v="HOME"/>
    <s v="AWAY"/>
    <n v="89.5"/>
    <n v="71.5"/>
  </r>
  <r>
    <n v="203"/>
    <n v="270"/>
    <n v="211"/>
    <n v="209"/>
    <n v="226"/>
    <x v="3"/>
    <x v="1"/>
    <n v="7"/>
    <s v="MSGG"/>
    <s v="Graham/Michael"/>
    <n v="129.5"/>
    <s v="$MM$"/>
    <s v="Pat/Tucker"/>
    <n v="101.5"/>
    <s v="NONE"/>
    <n v="231"/>
    <n v="28"/>
    <x v="0"/>
    <x v="9"/>
    <s v="AWAY"/>
    <s v="HOME"/>
    <n v="129.5"/>
    <n v="101.5"/>
  </r>
  <r>
    <n v="204"/>
    <n v="467"/>
    <n v="668"/>
    <n v="671"/>
    <n v="640"/>
    <x v="3"/>
    <x v="1"/>
    <n v="8"/>
    <s v="DBNG"/>
    <s v="Dave/Nolan"/>
    <n v="69.5"/>
    <s v="DKMB"/>
    <s v="David/Marshall"/>
    <n v="82.5"/>
    <s v="NONE"/>
    <n v="152"/>
    <n v="13"/>
    <x v="9"/>
    <x v="1"/>
    <s v="HOME"/>
    <s v="AWAY"/>
    <n v="82.5"/>
    <n v="69.5"/>
  </r>
  <r>
    <n v="205"/>
    <n v="62"/>
    <n v="125"/>
    <n v="56"/>
    <n v="301"/>
    <x v="3"/>
    <x v="1"/>
    <n v="9"/>
    <s v="HSOD"/>
    <s v="Brian/Travis"/>
    <n v="96.5"/>
    <s v="TPTC"/>
    <s v="Trent/Colin"/>
    <n v="150"/>
    <s v="NONE"/>
    <n v="246.5"/>
    <n v="53.5"/>
    <x v="4"/>
    <x v="3"/>
    <s v="HOME"/>
    <s v="AWAY"/>
    <n v="150"/>
    <n v="96.5"/>
  </r>
  <r>
    <n v="206"/>
    <n v="128"/>
    <n v="619"/>
    <n v="498"/>
    <n v="663"/>
    <x v="3"/>
    <x v="2"/>
    <n v="10"/>
    <s v="KGWD"/>
    <s v="Walker/Cory"/>
    <n v="106.5"/>
    <s v="MSGG"/>
    <s v="Graham/Michael"/>
    <n v="64"/>
    <s v="NONE"/>
    <n v="170.5"/>
    <n v="42.5"/>
    <x v="1"/>
    <x v="6"/>
    <s v="AWAY"/>
    <s v="HOME"/>
    <n v="106.5"/>
    <n v="64"/>
  </r>
  <r>
    <n v="207"/>
    <n v="246"/>
    <n v="489"/>
    <n v="436"/>
    <n v="515"/>
    <x v="3"/>
    <x v="2"/>
    <n v="11"/>
    <s v="DERS"/>
    <s v="Eric/Blake"/>
    <n v="82"/>
    <s v="DBNG"/>
    <s v="Dave/Nolan"/>
    <n v="112"/>
    <s v="NONE"/>
    <n v="194"/>
    <n v="30"/>
    <x v="8"/>
    <x v="2"/>
    <s v="HOME"/>
    <s v="AWAY"/>
    <n v="112"/>
    <n v="82"/>
  </r>
  <r>
    <n v="208"/>
    <n v="467"/>
    <n v="561"/>
    <n v="578"/>
    <n v="474"/>
    <x v="3"/>
    <x v="2"/>
    <n v="12"/>
    <s v="CPDL"/>
    <s v="Drew/Cam"/>
    <n v="98.5"/>
    <s v="HSOD"/>
    <s v="Brian/Travis"/>
    <n v="85.5"/>
    <s v="NONE"/>
    <n v="184"/>
    <n v="13"/>
    <x v="6"/>
    <x v="3"/>
    <s v="AWAY"/>
    <s v="HOME"/>
    <n v="98.5"/>
    <n v="85.5"/>
  </r>
  <r>
    <n v="209"/>
    <n v="395"/>
    <n v="269"/>
    <n v="325"/>
    <n v="216"/>
    <x v="3"/>
    <x v="2"/>
    <n v="13"/>
    <s v="CSRT"/>
    <s v="Clay/Ryan"/>
    <n v="121"/>
    <s v="DKMB"/>
    <s v="David/Marshall"/>
    <n v="102.5"/>
    <s v="NONE"/>
    <n v="223.5"/>
    <n v="18.5"/>
    <x v="3"/>
    <x v="4"/>
    <s v="AWAY"/>
    <s v="HOME"/>
    <n v="121"/>
    <n v="102.5"/>
  </r>
  <r>
    <n v="210"/>
    <n v="482"/>
    <n v="111"/>
    <n v="193"/>
    <n v="68"/>
    <x v="3"/>
    <x v="2"/>
    <n v="14"/>
    <s v="$MM$"/>
    <s v="Pat/Tucker"/>
    <n v="118.5"/>
    <s v="TPTC"/>
    <s v="Trent/Colin"/>
    <n v="130.5"/>
    <s v="NONE"/>
    <n v="249"/>
    <n v="12"/>
    <x v="4"/>
    <x v="9"/>
    <s v="HOME"/>
    <s v="AWAY"/>
    <n v="130.5"/>
    <n v="118.5"/>
  </r>
  <r>
    <n v="211"/>
    <n v="192"/>
    <n v="484"/>
    <n v="399"/>
    <n v="541"/>
    <x v="3"/>
    <x v="3"/>
    <n v="15"/>
    <s v="DBNG"/>
    <s v="Dave/Nolan"/>
    <n v="115"/>
    <s v="HSOD"/>
    <s v="Brian/Travis"/>
    <n v="79.5"/>
    <s v="NONE"/>
    <n v="194.5"/>
    <n v="35.5"/>
    <x v="8"/>
    <x v="3"/>
    <s v="AWAY"/>
    <s v="HOME"/>
    <n v="115"/>
    <n v="79.5"/>
  </r>
  <r>
    <n v="212"/>
    <n v="318"/>
    <n v="540"/>
    <n v="517"/>
    <n v="523"/>
    <x v="3"/>
    <x v="3"/>
    <n v="16"/>
    <s v="DKMB"/>
    <s v="David/Marshall"/>
    <n v="81.5"/>
    <s v="KGWD"/>
    <s v="Walker/Cory"/>
    <n v="105"/>
    <s v="NONE"/>
    <n v="186.5"/>
    <n v="23.5"/>
    <x v="1"/>
    <x v="4"/>
    <s v="HOME"/>
    <s v="AWAY"/>
    <n v="105"/>
    <n v="81.5"/>
  </r>
  <r>
    <n v="213"/>
    <n v="334"/>
    <n v="346"/>
    <n v="373"/>
    <n v="325"/>
    <x v="3"/>
    <x v="3"/>
    <n v="17"/>
    <s v="TPTC"/>
    <s v="Trent/Colin"/>
    <n v="94.5"/>
    <s v="MSGG"/>
    <s v="Graham/Michael"/>
    <n v="117"/>
    <s v="NONE"/>
    <n v="211.5"/>
    <n v="22.5"/>
    <x v="0"/>
    <x v="7"/>
    <s v="HOME"/>
    <s v="AWAY"/>
    <n v="117"/>
    <n v="94.5"/>
  </r>
  <r>
    <n v="214"/>
    <n v="512"/>
    <n v="672"/>
    <n v="677"/>
    <n v="635"/>
    <x v="3"/>
    <x v="3"/>
    <n v="18"/>
    <s v="CSRT"/>
    <s v="Clay/Ryan"/>
    <n v="81"/>
    <s v="DERS"/>
    <s v="Eric/Blake"/>
    <n v="70.5"/>
    <s v="NONE"/>
    <n v="151.5"/>
    <n v="10.5"/>
    <x v="3"/>
    <x v="2"/>
    <s v="AWAY"/>
    <s v="HOME"/>
    <n v="81"/>
    <n v="70.5"/>
  </r>
  <r>
    <n v="215"/>
    <n v="453"/>
    <n v="235"/>
    <n v="325"/>
    <n v="168"/>
    <x v="3"/>
    <x v="3"/>
    <n v="19"/>
    <s v="$MM$"/>
    <s v="Pat/Tucker"/>
    <n v="107"/>
    <s v="CPDL"/>
    <s v="Drew/Cam"/>
    <n v="121"/>
    <s v="NONE"/>
    <n v="228"/>
    <n v="14"/>
    <x v="6"/>
    <x v="9"/>
    <s v="HOME"/>
    <s v="AWAY"/>
    <n v="121"/>
    <n v="107"/>
  </r>
  <r>
    <n v="216"/>
    <n v="334"/>
    <n v="166"/>
    <n v="185"/>
    <n v="157"/>
    <x v="3"/>
    <x v="4"/>
    <n v="20"/>
    <s v="DKMB"/>
    <s v="David/Marshall"/>
    <n v="108.5"/>
    <s v="TPTC"/>
    <s v="Trent/Colin"/>
    <n v="131"/>
    <s v="NONE"/>
    <n v="239.5"/>
    <n v="22.5"/>
    <x v="4"/>
    <x v="4"/>
    <s v="HOME"/>
    <s v="AWAY"/>
    <n v="131"/>
    <n v="108.5"/>
  </r>
  <r>
    <n v="217"/>
    <n v="304"/>
    <n v="341"/>
    <n v="353"/>
    <n v="336"/>
    <x v="3"/>
    <x v="4"/>
    <n v="21"/>
    <s v="DBNG"/>
    <s v="Dave/Nolan"/>
    <n v="118.5"/>
    <s v="CSRT"/>
    <s v="Clay/Ryan"/>
    <n v="94"/>
    <s v="NONE"/>
    <n v="212.5"/>
    <n v="24.5"/>
    <x v="8"/>
    <x v="8"/>
    <s v="AWAY"/>
    <s v="HOME"/>
    <n v="118.5"/>
    <n v="94"/>
  </r>
  <r>
    <n v="218"/>
    <n v="670"/>
    <n v="470"/>
    <n v="571"/>
    <n v="284"/>
    <x v="3"/>
    <x v="4"/>
    <n v="22"/>
    <s v="HSOD"/>
    <s v="Brian/Travis"/>
    <n v="97.5"/>
    <s v="$MM$"/>
    <s v="Pat/Tucker"/>
    <n v="99"/>
    <s v="NONE"/>
    <n v="196.5"/>
    <n v="1.5"/>
    <x v="2"/>
    <x v="3"/>
    <s v="HOME"/>
    <s v="AWAY"/>
    <n v="99"/>
    <n v="97.5"/>
  </r>
  <r>
    <n v="219"/>
    <n v="629"/>
    <n v="118"/>
    <n v="255"/>
    <n v="47"/>
    <x v="3"/>
    <x v="4"/>
    <n v="23"/>
    <s v="KGWD"/>
    <s v="Walker/Cory"/>
    <n v="121.5"/>
    <s v="DERS"/>
    <s v="Eric/Blake"/>
    <n v="126"/>
    <s v="NONE"/>
    <n v="247.5"/>
    <n v="4.5"/>
    <x v="5"/>
    <x v="5"/>
    <s v="HOME"/>
    <s v="AWAY"/>
    <n v="126"/>
    <n v="121.5"/>
  </r>
  <r>
    <n v="220"/>
    <n v="349"/>
    <n v="406"/>
    <n v="410"/>
    <n v="370"/>
    <x v="3"/>
    <x v="4"/>
    <n v="24"/>
    <s v="MSGG"/>
    <s v="Graham/Michael"/>
    <n v="113.5"/>
    <s v="CPDL"/>
    <s v="Drew/Cam"/>
    <n v="91.5"/>
    <s v="NONE"/>
    <n v="205"/>
    <n v="22"/>
    <x v="0"/>
    <x v="0"/>
    <s v="AWAY"/>
    <s v="HOME"/>
    <n v="113.5"/>
    <n v="91.5"/>
  </r>
  <r>
    <n v="221"/>
    <n v="629"/>
    <n v="460"/>
    <n v="557"/>
    <n v="292"/>
    <x v="3"/>
    <x v="5"/>
    <n v="25"/>
    <s v="$MM$"/>
    <s v="Pat/Tucker"/>
    <n v="97"/>
    <s v="DERS"/>
    <s v="Eric/Blake"/>
    <n v="101.5"/>
    <s v="NONE"/>
    <n v="198.5"/>
    <n v="4.5"/>
    <x v="5"/>
    <x v="9"/>
    <s v="HOME"/>
    <s v="AWAY"/>
    <n v="101.5"/>
    <n v="97"/>
  </r>
  <r>
    <n v="222"/>
    <n v="276"/>
    <n v="411"/>
    <n v="383"/>
    <n v="416"/>
    <x v="3"/>
    <x v="5"/>
    <n v="26"/>
    <s v="CPDL"/>
    <s v="Drew/Cam"/>
    <n v="88.5"/>
    <s v="KGWD"/>
    <s v="Walker/Cory"/>
    <n v="116"/>
    <s v="NONE"/>
    <n v="204.5"/>
    <n v="27.5"/>
    <x v="1"/>
    <x v="0"/>
    <s v="HOME"/>
    <s v="AWAY"/>
    <n v="116"/>
    <n v="88.5"/>
  </r>
  <r>
    <n v="223"/>
    <n v="152"/>
    <n v="14"/>
    <n v="21"/>
    <n v="41"/>
    <x v="3"/>
    <x v="5"/>
    <n v="27"/>
    <s v="MSGG"/>
    <s v="Graham/Michael"/>
    <n v="163.5"/>
    <s v="DBNG"/>
    <s v="Dave/Nolan"/>
    <n v="123.5"/>
    <s v="NONE"/>
    <n v="287"/>
    <n v="40"/>
    <x v="0"/>
    <x v="1"/>
    <s v="AWAY"/>
    <s v="HOME"/>
    <n v="163.5"/>
    <n v="123.5"/>
  </r>
  <r>
    <n v="224"/>
    <n v="388"/>
    <n v="649"/>
    <n v="646"/>
    <n v="626"/>
    <x v="3"/>
    <x v="5"/>
    <n v="28"/>
    <s v="HSOD"/>
    <s v="Brian/Travis"/>
    <n v="71"/>
    <s v="DKMB"/>
    <s v="David/Marshall"/>
    <n v="90"/>
    <s v="NONE"/>
    <n v="161"/>
    <n v="19"/>
    <x v="9"/>
    <x v="3"/>
    <s v="HOME"/>
    <s v="AWAY"/>
    <n v="90"/>
    <n v="71"/>
  </r>
  <r>
    <n v="225"/>
    <n v="134"/>
    <n v="591"/>
    <n v="464"/>
    <n v="644"/>
    <x v="3"/>
    <x v="5"/>
    <n v="29"/>
    <s v="TPTC"/>
    <s v="Trent/Colin"/>
    <n v="110"/>
    <s v="CSRT"/>
    <s v="Clay/Ryan"/>
    <n v="68"/>
    <s v="NONE"/>
    <n v="178"/>
    <n v="42"/>
    <x v="4"/>
    <x v="8"/>
    <s v="AWAY"/>
    <s v="HOME"/>
    <n v="110"/>
    <n v="68"/>
  </r>
  <r>
    <n v="226"/>
    <n v="621"/>
    <n v="400"/>
    <n v="511"/>
    <n v="240"/>
    <x v="3"/>
    <x v="6"/>
    <n v="30"/>
    <s v="KGWD"/>
    <s v="Walker/Cory"/>
    <n v="105.5"/>
    <s v="$MM$"/>
    <s v="Pat/Tucker"/>
    <n v="100.5"/>
    <s v="NONE"/>
    <n v="206"/>
    <n v="5"/>
    <x v="1"/>
    <x v="9"/>
    <s v="AWAY"/>
    <s v="HOME"/>
    <n v="105.5"/>
    <n v="100.5"/>
  </r>
  <r>
    <n v="227"/>
    <n v="453"/>
    <n v="187"/>
    <n v="265"/>
    <n v="135"/>
    <x v="3"/>
    <x v="6"/>
    <n v="31"/>
    <s v="DBNG"/>
    <s v="Dave/Nolan"/>
    <n v="125"/>
    <s v="CPDL"/>
    <s v="Drew/Cam"/>
    <n v="111"/>
    <s v="NONE"/>
    <n v="236"/>
    <n v="14"/>
    <x v="8"/>
    <x v="0"/>
    <s v="AWAY"/>
    <s v="HOME"/>
    <n v="125"/>
    <n v="111"/>
  </r>
  <r>
    <n v="228"/>
    <n v="326"/>
    <n v="628"/>
    <n v="608"/>
    <n v="618"/>
    <x v="3"/>
    <x v="6"/>
    <n v="32"/>
    <s v="DKMB"/>
    <s v="David/Marshall"/>
    <n v="72.5"/>
    <s v="MSGG"/>
    <s v="Graham/Michael"/>
    <n v="95.5"/>
    <s v="NONE"/>
    <n v="168"/>
    <n v="23"/>
    <x v="0"/>
    <x v="4"/>
    <s v="HOME"/>
    <s v="AWAY"/>
    <n v="95.5"/>
    <n v="72.5"/>
  </r>
  <r>
    <n v="229"/>
    <n v="579"/>
    <n v="683"/>
    <n v="688"/>
    <n v="642"/>
    <x v="3"/>
    <x v="6"/>
    <n v="33"/>
    <s v="CSRT"/>
    <s v="Clay/Ryan"/>
    <n v="76"/>
    <s v="HSOD"/>
    <s v="Brian/Travis"/>
    <n v="69"/>
    <s v="NONE"/>
    <n v="145"/>
    <n v="7"/>
    <x v="3"/>
    <x v="3"/>
    <s v="AWAY"/>
    <s v="HOME"/>
    <n v="76"/>
    <n v="69"/>
  </r>
  <r>
    <n v="230"/>
    <n v="560"/>
    <n v="248"/>
    <n v="373"/>
    <n v="151"/>
    <x v="3"/>
    <x v="6"/>
    <n v="34"/>
    <s v="DERS"/>
    <s v="Eric/Blake"/>
    <n v="117"/>
    <s v="TPTC"/>
    <s v="Trent/Colin"/>
    <n v="109"/>
    <s v="NONE"/>
    <n v="226"/>
    <n v="8"/>
    <x v="5"/>
    <x v="7"/>
    <s v="AWAY"/>
    <s v="HOME"/>
    <n v="117"/>
    <n v="109"/>
  </r>
  <r>
    <n v="231"/>
    <n v="176"/>
    <n v="383"/>
    <n v="305"/>
    <n v="474"/>
    <x v="3"/>
    <x v="7"/>
    <n v="35"/>
    <s v="$MM$"/>
    <s v="Pat/Tucker"/>
    <n v="85.5"/>
    <s v="DBNG"/>
    <s v="Dave/Nolan"/>
    <n v="122.5"/>
    <s v="NONE"/>
    <n v="208"/>
    <n v="37"/>
    <x v="8"/>
    <x v="9"/>
    <s v="HOME"/>
    <s v="AWAY"/>
    <n v="122.5"/>
    <n v="85.5"/>
  </r>
  <r>
    <n v="232"/>
    <n v="670"/>
    <n v="665"/>
    <n v="686"/>
    <n v="573"/>
    <x v="3"/>
    <x v="7"/>
    <n v="36"/>
    <s v="CPDL"/>
    <s v="Drew/Cam"/>
    <n v="77"/>
    <s v="DKMB"/>
    <s v="David/Marshall"/>
    <n v="75.5"/>
    <s v="NONE"/>
    <n v="152.5"/>
    <n v="1.5"/>
    <x v="6"/>
    <x v="4"/>
    <s v="AWAY"/>
    <s v="HOME"/>
    <n v="77"/>
    <n v="75.5"/>
  </r>
  <r>
    <n v="233"/>
    <n v="256"/>
    <n v="305"/>
    <n v="285"/>
    <n v="325"/>
    <x v="3"/>
    <x v="7"/>
    <n v="37"/>
    <s v="MSGG"/>
    <s v="Graham/Michael"/>
    <n v="94.5"/>
    <s v="CSRT"/>
    <s v="Clay/Ryan"/>
    <n v="123.5"/>
    <s v="NONE"/>
    <n v="218"/>
    <n v="29"/>
    <x v="3"/>
    <x v="6"/>
    <s v="HOME"/>
    <s v="AWAY"/>
    <n v="123.5"/>
    <n v="94.5"/>
  </r>
  <r>
    <n v="234"/>
    <n v="116"/>
    <n v="375"/>
    <n v="247"/>
    <n v="515"/>
    <x v="3"/>
    <x v="7"/>
    <n v="38"/>
    <s v="HSOD"/>
    <s v="Brian/Travis"/>
    <n v="82"/>
    <s v="DERS"/>
    <s v="Eric/Blake"/>
    <n v="126.5"/>
    <s v="NONE"/>
    <n v="208.5"/>
    <n v="44.5"/>
    <x v="5"/>
    <x v="3"/>
    <s v="HOME"/>
    <s v="AWAY"/>
    <n v="126.5"/>
    <n v="82"/>
  </r>
  <r>
    <n v="235"/>
    <n v="176"/>
    <n v="359"/>
    <n v="285"/>
    <n v="460"/>
    <x v="3"/>
    <x v="7"/>
    <n v="39"/>
    <s v="TPTC"/>
    <s v="Trent/Colin"/>
    <n v="123.5"/>
    <s v="KGWD"/>
    <s v="Walker/Cory"/>
    <n v="86.5"/>
    <s v="NONE"/>
    <n v="210"/>
    <n v="37"/>
    <x v="4"/>
    <x v="5"/>
    <s v="AWAY"/>
    <s v="HOME"/>
    <n v="123.5"/>
    <n v="86.5"/>
  </r>
  <r>
    <n v="236"/>
    <n v="105"/>
    <n v="34"/>
    <n v="29"/>
    <n v="117"/>
    <x v="3"/>
    <x v="8"/>
    <n v="40"/>
    <s v="DKMB"/>
    <s v="David/Marshall"/>
    <n v="113"/>
    <s v="$MM$"/>
    <s v="Pat/Tucker"/>
    <n v="159"/>
    <s v="NONE"/>
    <n v="272"/>
    <n v="46"/>
    <x v="2"/>
    <x v="4"/>
    <s v="HOME"/>
    <s v="AWAY"/>
    <n v="159"/>
    <n v="113"/>
  </r>
  <r>
    <n v="237"/>
    <n v="334"/>
    <n v="460"/>
    <n v="458"/>
    <n v="423"/>
    <x v="3"/>
    <x v="8"/>
    <n v="41"/>
    <s v="CSRT"/>
    <s v="Clay/Ryan"/>
    <n v="88"/>
    <s v="DBNG"/>
    <s v="Dave/Nolan"/>
    <n v="110.5"/>
    <s v="NONE"/>
    <n v="198.5"/>
    <n v="22.5"/>
    <x v="8"/>
    <x v="8"/>
    <s v="HOME"/>
    <s v="AWAY"/>
    <n v="110.5"/>
    <n v="88"/>
  </r>
  <r>
    <n v="238"/>
    <n v="434"/>
    <n v="269"/>
    <n v="345"/>
    <n v="189"/>
    <x v="3"/>
    <x v="8"/>
    <n v="42"/>
    <s v="CPDL"/>
    <s v="Drew/Cam"/>
    <n v="104"/>
    <s v="TPTC"/>
    <s v="Trent/Colin"/>
    <n v="119.5"/>
    <s v="NONE"/>
    <n v="223.5"/>
    <n v="15.5"/>
    <x v="4"/>
    <x v="0"/>
    <s v="HOME"/>
    <s v="AWAY"/>
    <n v="119.5"/>
    <n v="104"/>
  </r>
  <r>
    <n v="239"/>
    <n v="611"/>
    <n v="665"/>
    <n v="682"/>
    <n v="600"/>
    <x v="3"/>
    <x v="8"/>
    <n v="43"/>
    <s v="DERS"/>
    <s v="Eric/Blake"/>
    <n v="79"/>
    <s v="KGWD"/>
    <s v="Walker/Cory"/>
    <n v="73.5"/>
    <s v="NONE"/>
    <n v="152.5"/>
    <n v="5.5"/>
    <x v="5"/>
    <x v="5"/>
    <s v="AWAY"/>
    <s v="HOME"/>
    <n v="79"/>
    <n v="73.5"/>
  </r>
  <r>
    <n v="240"/>
    <n v="512"/>
    <n v="540"/>
    <n v="578"/>
    <n v="423"/>
    <x v="3"/>
    <x v="8"/>
    <n v="44"/>
    <s v="MSGG"/>
    <s v="Graham/Michael"/>
    <n v="98.5"/>
    <s v="HSOD"/>
    <s v="Brian/Travis"/>
    <n v="88"/>
    <s v="NONE"/>
    <n v="186.5"/>
    <n v="10.5"/>
    <x v="0"/>
    <x v="3"/>
    <s v="AWAY"/>
    <s v="HOME"/>
    <n v="98.5"/>
    <n v="88"/>
  </r>
  <r>
    <n v="241"/>
    <n v="434"/>
    <n v="313"/>
    <n v="383"/>
    <n v="240"/>
    <x v="3"/>
    <x v="9"/>
    <n v="45"/>
    <s v="CSRT"/>
    <s v="Clay/Ryan"/>
    <n v="100.5"/>
    <s v="CPDL"/>
    <s v="Drew/Cam"/>
    <n v="116"/>
    <s v="NONE"/>
    <n v="216.5"/>
    <n v="15.5"/>
    <x v="6"/>
    <x v="8"/>
    <s v="HOME"/>
    <s v="AWAY"/>
    <n v="116"/>
    <n v="100.5"/>
  </r>
  <r>
    <n v="242"/>
    <n v="384"/>
    <n v="626"/>
    <n v="615"/>
    <n v="579"/>
    <x v="3"/>
    <x v="9"/>
    <n v="46"/>
    <s v="DERS"/>
    <s v="Eric/Blake"/>
    <n v="75"/>
    <s v="DKMB"/>
    <s v="David/Marshall"/>
    <n v="94.5"/>
    <s v="NONE"/>
    <n v="169.5"/>
    <n v="19.5"/>
    <x v="9"/>
    <x v="2"/>
    <s v="HOME"/>
    <s v="AWAY"/>
    <n v="94.5"/>
    <n v="75"/>
  </r>
  <r>
    <n v="243"/>
    <n v="358"/>
    <n v="346"/>
    <n v="378"/>
    <n v="324"/>
    <x v="3"/>
    <x v="9"/>
    <n v="47"/>
    <s v="$MM$"/>
    <s v="Pat/Tucker"/>
    <n v="116.5"/>
    <s v="MSGG"/>
    <s v="Graham/Michael"/>
    <n v="95"/>
    <s v="NONE"/>
    <n v="211.5"/>
    <n v="21.5"/>
    <x v="2"/>
    <x v="6"/>
    <s v="AWAY"/>
    <s v="HOME"/>
    <n v="116.5"/>
    <n v="95"/>
  </r>
  <r>
    <n v="244"/>
    <n v="379"/>
    <n v="426"/>
    <n v="446"/>
    <n v="370"/>
    <x v="3"/>
    <x v="9"/>
    <n v="48"/>
    <s v="KGWD"/>
    <s v="Walker/Cory"/>
    <n v="111.5"/>
    <s v="DBNG"/>
    <s v="Dave/Nolan"/>
    <n v="91.5"/>
    <s v="NONE"/>
    <n v="203"/>
    <n v="20"/>
    <x v="1"/>
    <x v="1"/>
    <s v="AWAY"/>
    <s v="HOME"/>
    <n v="111.5"/>
    <n v="91.5"/>
  </r>
  <r>
    <n v="245"/>
    <n v="412"/>
    <n v="13"/>
    <n v="46"/>
    <n v="11"/>
    <x v="3"/>
    <x v="9"/>
    <n v="49"/>
    <s v="TPTC"/>
    <s v="Trent/Colin"/>
    <n v="152.5"/>
    <s v="HSOD"/>
    <s v="Brian/Travis"/>
    <n v="135"/>
    <s v="NONE"/>
    <n v="287.5"/>
    <n v="17.5"/>
    <x v="4"/>
    <x v="3"/>
    <s v="AWAY"/>
    <s v="HOME"/>
    <n v="152.5"/>
    <n v="135"/>
  </r>
  <r>
    <n v="246"/>
    <n v="334"/>
    <n v="504"/>
    <n v="492"/>
    <n v="491"/>
    <x v="3"/>
    <x v="10"/>
    <n v="50"/>
    <s v="DERS"/>
    <s v="Eric/Blake"/>
    <n v="107"/>
    <s v="MSGG"/>
    <s v="Graham/Michael"/>
    <n v="84.5"/>
    <s v="NONE"/>
    <n v="191.5"/>
    <n v="22.5"/>
    <x v="5"/>
    <x v="6"/>
    <s v="AWAY"/>
    <s v="HOME"/>
    <n v="107"/>
    <n v="84.5"/>
  </r>
  <r>
    <n v="247"/>
    <n v="304"/>
    <n v="227"/>
    <n v="247"/>
    <n v="220"/>
    <x v="3"/>
    <x v="10"/>
    <n v="51"/>
    <s v="CSRT"/>
    <s v="Clay/Ryan"/>
    <n v="126.5"/>
    <s v="KGWD"/>
    <s v="Walker/Cory"/>
    <n v="102"/>
    <s v="NONE"/>
    <n v="228.5"/>
    <n v="24.5"/>
    <x v="3"/>
    <x v="5"/>
    <s v="AWAY"/>
    <s v="HOME"/>
    <n v="126.5"/>
    <n v="102"/>
  </r>
  <r>
    <n v="248"/>
    <n v="358"/>
    <n v="355"/>
    <n v="383"/>
    <n v="325"/>
    <x v="3"/>
    <x v="10"/>
    <n v="52"/>
    <s v="HSOD"/>
    <s v="Brian/Travis"/>
    <n v="116"/>
    <s v="CPDL"/>
    <s v="Drew/Cam"/>
    <n v="94.5"/>
    <s v="NONE"/>
    <n v="210.5"/>
    <n v="21.5"/>
    <x v="7"/>
    <x v="0"/>
    <s v="AWAY"/>
    <s v="HOME"/>
    <n v="116"/>
    <n v="94.5"/>
  </r>
  <r>
    <n v="249"/>
    <n v="311"/>
    <n v="575"/>
    <n v="548"/>
    <n v="546"/>
    <x v="3"/>
    <x v="10"/>
    <n v="53"/>
    <s v="DKMB"/>
    <s v="David/Marshall"/>
    <n v="102.5"/>
    <s v="DBNG"/>
    <s v="Dave/Nolan"/>
    <n v="78.5"/>
    <s v="NONE"/>
    <n v="181"/>
    <n v="24"/>
    <x v="9"/>
    <x v="1"/>
    <s v="AWAY"/>
    <s v="HOME"/>
    <n v="102.5"/>
    <n v="78.5"/>
  </r>
  <r>
    <n v="250"/>
    <n v="678"/>
    <n v="643"/>
    <n v="674"/>
    <n v="535"/>
    <x v="3"/>
    <x v="10"/>
    <n v="54"/>
    <s v="TPTC"/>
    <s v="Trent/Colin"/>
    <n v="81.5"/>
    <s v="$MM$"/>
    <s v="Pat/Tucker"/>
    <n v="80.5"/>
    <s v="NONE"/>
    <n v="162"/>
    <n v="1"/>
    <x v="4"/>
    <x v="9"/>
    <s v="AWAY"/>
    <s v="HOME"/>
    <n v="81.5"/>
    <n v="80.5"/>
  </r>
  <r>
    <n v="251"/>
    <n v="594"/>
    <n v="570"/>
    <n v="615"/>
    <n v="423"/>
    <x v="3"/>
    <x v="11"/>
    <n v="55"/>
    <s v="KGWD"/>
    <s v="Walker/Cory"/>
    <n v="88"/>
    <s v="HSOD"/>
    <s v="Brian/Travis"/>
    <n v="94.5"/>
    <s v="NONE"/>
    <n v="182.5"/>
    <n v="6.5"/>
    <x v="7"/>
    <x v="5"/>
    <s v="HOME"/>
    <s v="AWAY"/>
    <n v="94.5"/>
    <n v="88"/>
  </r>
  <r>
    <n v="252"/>
    <n v="264"/>
    <n v="484"/>
    <n v="446"/>
    <n v="509"/>
    <x v="3"/>
    <x v="11"/>
    <n v="56"/>
    <s v="DBNG"/>
    <s v="Dave/Nolan"/>
    <n v="111.5"/>
    <s v="DERS"/>
    <s v="Eric/Blake"/>
    <n v="83"/>
    <s v="NONE"/>
    <n v="194.5"/>
    <n v="28.5"/>
    <x v="8"/>
    <x v="2"/>
    <s v="AWAY"/>
    <s v="HOME"/>
    <n v="111.5"/>
    <n v="83"/>
  </r>
  <r>
    <n v="253"/>
    <n v="611"/>
    <n v="420"/>
    <n v="523"/>
    <n v="266"/>
    <x v="3"/>
    <x v="11"/>
    <n v="57"/>
    <s v="MSGG"/>
    <s v="Graham/Michael"/>
    <n v="99"/>
    <s v="TPTC"/>
    <s v="Trent/Colin"/>
    <n v="104.5"/>
    <s v="NONE"/>
    <n v="203.5"/>
    <n v="5.5"/>
    <x v="4"/>
    <x v="6"/>
    <s v="HOME"/>
    <s v="AWAY"/>
    <n v="104.5"/>
    <n v="99"/>
  </r>
  <r>
    <n v="254"/>
    <n v="207"/>
    <n v="434"/>
    <n v="358"/>
    <n v="494"/>
    <x v="3"/>
    <x v="11"/>
    <n v="58"/>
    <s v="DKMB"/>
    <s v="David/Marshall"/>
    <n v="84"/>
    <s v="CSRT"/>
    <s v="Clay/Ryan"/>
    <n v="118"/>
    <s v="NONE"/>
    <n v="202"/>
    <n v="34"/>
    <x v="3"/>
    <x v="4"/>
    <s v="HOME"/>
    <s v="AWAY"/>
    <n v="118"/>
    <n v="84"/>
  </r>
  <r>
    <n v="255"/>
    <n v="654"/>
    <n v="148"/>
    <n v="305"/>
    <n v="63"/>
    <x v="3"/>
    <x v="11"/>
    <n v="59"/>
    <s v="CPDL"/>
    <s v="Drew/Cam"/>
    <n v="122.5"/>
    <s v="$MM$"/>
    <s v="Pat/Tucker"/>
    <n v="119.5"/>
    <s v="NONE"/>
    <n v="242"/>
    <n v="3"/>
    <x v="6"/>
    <x v="9"/>
    <s v="AWAY"/>
    <s v="HOME"/>
    <n v="122.5"/>
    <n v="119.5"/>
  </r>
  <r>
    <n v="256"/>
    <n v="601"/>
    <n v="291"/>
    <n v="410"/>
    <n v="165"/>
    <x v="3"/>
    <x v="12"/>
    <n v="60"/>
    <s v="DBNG"/>
    <s v="Dave/Nolan"/>
    <n v="113.5"/>
    <s v="TPTC"/>
    <s v="Trent/Colin"/>
    <n v="107.5"/>
    <s v="NONE"/>
    <n v="221"/>
    <n v="6"/>
    <x v="8"/>
    <x v="7"/>
    <s v="AWAY"/>
    <s v="HOME"/>
    <n v="113.5"/>
    <n v="107.5"/>
  </r>
  <r>
    <n v="257"/>
    <n v="326"/>
    <n v="248"/>
    <n v="273"/>
    <n v="226"/>
    <x v="3"/>
    <x v="12"/>
    <n v="61"/>
    <s v="KGWD"/>
    <s v="Walker/Cory"/>
    <n v="124.5"/>
    <s v="DKMB"/>
    <s v="David/Marshall"/>
    <n v="101.5"/>
    <s v="NONE"/>
    <n v="226"/>
    <n v="23"/>
    <x v="1"/>
    <x v="4"/>
    <s v="AWAY"/>
    <s v="HOME"/>
    <n v="124.5"/>
    <n v="101.5"/>
  </r>
  <r>
    <n v="258"/>
    <n v="499"/>
    <n v="616"/>
    <n v="639"/>
    <n v="538"/>
    <x v="3"/>
    <x v="12"/>
    <n v="62"/>
    <s v="$MM$"/>
    <s v="Pat/Tucker"/>
    <n v="91"/>
    <s v="HSOD"/>
    <s v="Brian/Travis"/>
    <n v="80"/>
    <s v="NONE"/>
    <n v="171"/>
    <n v="11"/>
    <x v="2"/>
    <x v="3"/>
    <s v="AWAY"/>
    <s v="HOME"/>
    <n v="91"/>
    <n v="80"/>
  </r>
  <r>
    <n v="259"/>
    <n v="134"/>
    <n v="318"/>
    <n v="215"/>
    <n v="447"/>
    <x v="3"/>
    <x v="12"/>
    <n v="63"/>
    <s v="DERS"/>
    <s v="Eric/Blake"/>
    <n v="129"/>
    <s v="CSRT"/>
    <s v="Clay/Ryan"/>
    <n v="87"/>
    <s v="NONE"/>
    <n v="216"/>
    <n v="42"/>
    <x v="5"/>
    <x v="8"/>
    <s v="AWAY"/>
    <s v="HOME"/>
    <n v="129"/>
    <n v="87"/>
  </r>
  <r>
    <n v="260"/>
    <n v="453"/>
    <n v="489"/>
    <n v="530"/>
    <n v="388"/>
    <x v="3"/>
    <x v="12"/>
    <n v="64"/>
    <s v="CPDL"/>
    <s v="Drew/Cam"/>
    <n v="90"/>
    <s v="MSGG"/>
    <s v="Graham/Michael"/>
    <n v="104"/>
    <s v="NONE"/>
    <n v="194"/>
    <n v="14"/>
    <x v="0"/>
    <x v="0"/>
    <s v="HOME"/>
    <s v="AWAY"/>
    <n v="104"/>
    <n v="90"/>
  </r>
  <r>
    <n v="261"/>
    <n v="611"/>
    <n v="496"/>
    <n v="568"/>
    <n v="336"/>
    <x v="4"/>
    <x v="0"/>
    <n v="0"/>
    <s v="CSRT"/>
    <s v="Clay/Ryan"/>
    <n v="94"/>
    <s v="$MM$"/>
    <s v="Pat/Tucker"/>
    <n v="99.5"/>
    <s v="NONE"/>
    <n v="193.5"/>
    <n v="5.5"/>
    <x v="2"/>
    <x v="8"/>
    <s v="HOME"/>
    <s v="AWAY"/>
    <n v="99.5"/>
    <n v="94"/>
  </r>
  <r>
    <n v="262"/>
    <n v="611"/>
    <n v="509"/>
    <n v="590"/>
    <n v="354"/>
    <x v="4"/>
    <x v="0"/>
    <n v="1"/>
    <s v="DKMB"/>
    <s v="David/Marshall"/>
    <n v="92.5"/>
    <s v="DERS"/>
    <s v="Eric/Blake"/>
    <n v="98"/>
    <s v="NONE"/>
    <n v="190.5"/>
    <n v="5.5"/>
    <x v="5"/>
    <x v="4"/>
    <s v="HOME"/>
    <s v="AWAY"/>
    <n v="98"/>
    <n v="92.5"/>
  </r>
  <r>
    <n v="263"/>
    <n v="234"/>
    <n v="587"/>
    <n v="511"/>
    <n v="589"/>
    <x v="4"/>
    <x v="0"/>
    <n v="2"/>
    <s v="BALL"/>
    <s v="Trent/Colin"/>
    <n v="105.5"/>
    <s v="CPDL"/>
    <s v="Drew/Cam"/>
    <n v="74"/>
    <s v="NONE"/>
    <n v="179.5"/>
    <n v="31.5"/>
    <x v="4"/>
    <x v="0"/>
    <s v="AWAY"/>
    <s v="HOME"/>
    <n v="105.5"/>
    <n v="74"/>
  </r>
  <r>
    <n v="264"/>
    <n v="363"/>
    <n v="489"/>
    <n v="482"/>
    <n v="460"/>
    <x v="4"/>
    <x v="0"/>
    <n v="3"/>
    <s v="DBNG"/>
    <s v="Dave/Nolan"/>
    <n v="86.5"/>
    <s v="CSWD"/>
    <s v="Walker/Cory"/>
    <n v="107.5"/>
    <s v="NONE"/>
    <n v="194"/>
    <n v="21"/>
    <x v="1"/>
    <x v="1"/>
    <s v="HOME"/>
    <s v="AWAY"/>
    <n v="107.5"/>
    <n v="86.5"/>
  </r>
  <r>
    <n v="265"/>
    <n v="284"/>
    <n v="619"/>
    <n v="578"/>
    <n v="619"/>
    <x v="4"/>
    <x v="0"/>
    <n v="4"/>
    <s v="HSOD"/>
    <s v="Brian/Travis"/>
    <n v="72"/>
    <s v="WAHO"/>
    <s v="Graham/Michael"/>
    <n v="98.5"/>
    <s v="NONE"/>
    <n v="170.5"/>
    <n v="26.5"/>
    <x v="0"/>
    <x v="3"/>
    <s v="HOME"/>
    <s v="AWAY"/>
    <n v="98.5"/>
    <n v="72"/>
  </r>
  <r>
    <n v="266"/>
    <n v="318"/>
    <n v="323"/>
    <n v="345"/>
    <n v="314"/>
    <x v="4"/>
    <x v="1"/>
    <n v="5"/>
    <s v="DERS"/>
    <s v="Eric/Blake"/>
    <n v="119.5"/>
    <s v="CPDL"/>
    <s v="Drew/Cam"/>
    <n v="96"/>
    <s v="NONE"/>
    <n v="215.5"/>
    <n v="23.5"/>
    <x v="5"/>
    <x v="0"/>
    <s v="AWAY"/>
    <s v="HOME"/>
    <n v="119.5"/>
    <n v="96"/>
  </r>
  <r>
    <n v="267"/>
    <n v="241"/>
    <n v="346"/>
    <n v="325"/>
    <n v="385"/>
    <x v="4"/>
    <x v="1"/>
    <n v="6"/>
    <s v="CSWD"/>
    <s v="Walker/Cory"/>
    <n v="90.5"/>
    <s v="CSRT"/>
    <s v="Clay/Ryan"/>
    <n v="121"/>
    <s v="NONE"/>
    <n v="211.5"/>
    <n v="30.5"/>
    <x v="3"/>
    <x v="5"/>
    <s v="HOME"/>
    <s v="AWAY"/>
    <n v="121"/>
    <n v="90.5"/>
  </r>
  <r>
    <n v="268"/>
    <n v="453"/>
    <n v="591"/>
    <n v="605"/>
    <n v="515"/>
    <x v="4"/>
    <x v="1"/>
    <n v="7"/>
    <s v="WAHO"/>
    <s v="Graham/Michael"/>
    <n v="82"/>
    <s v="$MM$"/>
    <s v="Pat/Tucker"/>
    <n v="96"/>
    <s v="NONE"/>
    <n v="178"/>
    <n v="14"/>
    <x v="2"/>
    <x v="6"/>
    <s v="HOME"/>
    <s v="AWAY"/>
    <n v="96"/>
    <n v="82"/>
  </r>
  <r>
    <n v="269"/>
    <n v="218"/>
    <n v="429"/>
    <n v="366"/>
    <n v="482"/>
    <x v="4"/>
    <x v="1"/>
    <n v="8"/>
    <s v="DBNG"/>
    <s v="Dave/Nolan"/>
    <n v="117.5"/>
    <s v="DKMB"/>
    <s v="David/Marshall"/>
    <n v="85"/>
    <s v="NONE"/>
    <n v="202.5"/>
    <n v="32.5"/>
    <x v="8"/>
    <x v="4"/>
    <s v="AWAY"/>
    <s v="HOME"/>
    <n v="117.5"/>
    <n v="85"/>
  </r>
  <r>
    <n v="270"/>
    <n v="694"/>
    <n v="534"/>
    <n v="628"/>
    <n v="346"/>
    <x v="4"/>
    <x v="1"/>
    <n v="9"/>
    <s v="HSOD"/>
    <s v="Brian/Travis"/>
    <n v="93.5"/>
    <s v="BALL"/>
    <s v="Trent/Colin"/>
    <n v="93.5"/>
    <s v="NONE"/>
    <n v="187"/>
    <n v="0"/>
    <x v="7"/>
    <x v="7"/>
    <s v="AWAY"/>
    <s v="HOME"/>
    <n v="93.5"/>
    <n v="93.5"/>
  </r>
  <r>
    <n v="271"/>
    <n v="629"/>
    <n v="610"/>
    <n v="659"/>
    <n v="494"/>
    <x v="4"/>
    <x v="2"/>
    <n v="10"/>
    <s v="CSWD"/>
    <s v="Walker/Cory"/>
    <n v="88.5"/>
    <s v="WAHO"/>
    <s v="Graham/Michael"/>
    <n v="84"/>
    <s v="NONE"/>
    <n v="172.5"/>
    <n v="4.5"/>
    <x v="1"/>
    <x v="6"/>
    <s v="AWAY"/>
    <s v="HOME"/>
    <n v="88.5"/>
    <n v="84"/>
  </r>
  <r>
    <n v="272"/>
    <n v="92"/>
    <n v="300"/>
    <n v="155"/>
    <n v="469"/>
    <x v="4"/>
    <x v="2"/>
    <n v="11"/>
    <s v="DERS"/>
    <s v="Eric/Blake"/>
    <n v="134"/>
    <s v="DBNG"/>
    <s v="Dave/Nolan"/>
    <n v="86"/>
    <s v="NONE"/>
    <n v="220"/>
    <n v="48"/>
    <x v="5"/>
    <x v="1"/>
    <s v="AWAY"/>
    <s v="HOME"/>
    <n v="134"/>
    <n v="86"/>
  </r>
  <r>
    <n v="273"/>
    <n v="601"/>
    <n v="692"/>
    <n v="695"/>
    <n v="665"/>
    <x v="4"/>
    <x v="2"/>
    <n v="12"/>
    <s v="CPDL"/>
    <s v="Drew/Cam"/>
    <n v="69"/>
    <s v="HSOD"/>
    <s v="Brian/Travis"/>
    <n v="63"/>
    <s v="NONE"/>
    <n v="132"/>
    <n v="6"/>
    <x v="6"/>
    <x v="3"/>
    <s v="AWAY"/>
    <s v="HOME"/>
    <n v="69"/>
    <n v="63"/>
  </r>
  <r>
    <n v="274"/>
    <n v="284"/>
    <n v="269"/>
    <n v="265"/>
    <n v="272"/>
    <x v="4"/>
    <x v="2"/>
    <n v="13"/>
    <s v="CSRT"/>
    <s v="Clay/Ryan"/>
    <n v="125"/>
    <s v="DKMB"/>
    <s v="David/Marshall"/>
    <n v="98.5"/>
    <s v="NONE"/>
    <n v="223.5"/>
    <n v="26.5"/>
    <x v="3"/>
    <x v="4"/>
    <s v="AWAY"/>
    <s v="HOME"/>
    <n v="125"/>
    <n v="98.5"/>
  </r>
  <r>
    <n v="275"/>
    <n v="635"/>
    <n v="581"/>
    <n v="636"/>
    <n v="423"/>
    <x v="4"/>
    <x v="2"/>
    <n v="14"/>
    <s v="$MM$"/>
    <s v="Pat/Tucker"/>
    <n v="92"/>
    <s v="BALL"/>
    <s v="Trent/Colin"/>
    <n v="88"/>
    <s v="NONE"/>
    <n v="180"/>
    <n v="4"/>
    <x v="2"/>
    <x v="7"/>
    <s v="AWAY"/>
    <s v="HOME"/>
    <n v="92"/>
    <n v="88"/>
  </r>
  <r>
    <n v="276"/>
    <n v="579"/>
    <n v="613"/>
    <n v="653"/>
    <n v="513"/>
    <x v="4"/>
    <x v="3"/>
    <n v="15"/>
    <s v="DBNG"/>
    <s v="Dave/Nolan"/>
    <n v="89.5"/>
    <s v="HSOD"/>
    <s v="Brian/Travis"/>
    <n v="82.5"/>
    <s v="NONE"/>
    <n v="172"/>
    <n v="7"/>
    <x v="8"/>
    <x v="3"/>
    <s v="AWAY"/>
    <s v="HOME"/>
    <n v="89.5"/>
    <n v="82.5"/>
  </r>
  <r>
    <n v="277"/>
    <n v="160"/>
    <n v="313"/>
    <n v="233"/>
    <n v="408"/>
    <x v="4"/>
    <x v="3"/>
    <n v="16"/>
    <s v="DKMB"/>
    <s v="David/Marshall"/>
    <n v="127.5"/>
    <s v="CSWD"/>
    <s v="Walker/Cory"/>
    <n v="89"/>
    <s v="NONE"/>
    <n v="216.5"/>
    <n v="38.5"/>
    <x v="9"/>
    <x v="5"/>
    <s v="AWAY"/>
    <s v="HOME"/>
    <n v="127.5"/>
    <n v="89"/>
  </r>
  <r>
    <n v="278"/>
    <n v="467"/>
    <n v="383"/>
    <n v="458"/>
    <n v="284"/>
    <x v="4"/>
    <x v="3"/>
    <n v="17"/>
    <s v="BALL"/>
    <s v="Trent/Colin"/>
    <n v="97.5"/>
    <s v="WAHO"/>
    <s v="Graham/Michael"/>
    <n v="110.5"/>
    <s v="NONE"/>
    <n v="208"/>
    <n v="13"/>
    <x v="0"/>
    <x v="7"/>
    <s v="HOME"/>
    <s v="AWAY"/>
    <n v="110.5"/>
    <n v="97.5"/>
  </r>
  <r>
    <n v="279"/>
    <n v="467"/>
    <n v="369"/>
    <n v="456"/>
    <n v="279"/>
    <x v="4"/>
    <x v="3"/>
    <n v="18"/>
    <s v="CSRT"/>
    <s v="Clay/Ryan"/>
    <n v="98"/>
    <s v="DERS"/>
    <s v="Eric/Blake"/>
    <n v="111"/>
    <s v="NONE"/>
    <n v="209"/>
    <n v="13"/>
    <x v="5"/>
    <x v="8"/>
    <s v="HOME"/>
    <s v="AWAY"/>
    <n v="111"/>
    <n v="98"/>
  </r>
  <r>
    <n v="280"/>
    <n v="395"/>
    <n v="509"/>
    <n v="523"/>
    <n v="469"/>
    <x v="4"/>
    <x v="3"/>
    <n v="19"/>
    <s v="$MM$"/>
    <s v="Pat/Tucker"/>
    <n v="104.5"/>
    <s v="CPDL"/>
    <s v="Drew/Cam"/>
    <n v="86"/>
    <s v="NONE"/>
    <n v="190.5"/>
    <n v="18.5"/>
    <x v="2"/>
    <x v="0"/>
    <s v="AWAY"/>
    <s v="HOME"/>
    <n v="104.5"/>
    <n v="86"/>
  </r>
  <r>
    <n v="281"/>
    <n v="621"/>
    <n v="581"/>
    <n v="634"/>
    <n v="437"/>
    <x v="4"/>
    <x v="4"/>
    <n v="20"/>
    <s v="DKMB"/>
    <s v="David/Marshall"/>
    <n v="92.5"/>
    <s v="BALL"/>
    <s v="Trent/Colin"/>
    <n v="87.5"/>
    <s v="NONE"/>
    <n v="180"/>
    <n v="5"/>
    <x v="9"/>
    <x v="7"/>
    <s v="AWAY"/>
    <s v="HOME"/>
    <n v="92.5"/>
    <n v="87.5"/>
  </r>
  <r>
    <n v="282"/>
    <n v="192"/>
    <n v="573"/>
    <n v="476"/>
    <n v="609"/>
    <x v="4"/>
    <x v="4"/>
    <n v="21"/>
    <s v="DBNG"/>
    <s v="Dave/Nolan"/>
    <n v="108.5"/>
    <s v="CSRT"/>
    <s v="Clay/Ryan"/>
    <n v="73"/>
    <s v="NONE"/>
    <n v="181.5"/>
    <n v="35.5"/>
    <x v="8"/>
    <x v="8"/>
    <s v="AWAY"/>
    <s v="HOME"/>
    <n v="108.5"/>
    <n v="73"/>
  </r>
  <r>
    <n v="283"/>
    <n v="55"/>
    <n v="415"/>
    <n v="209"/>
    <n v="583"/>
    <x v="4"/>
    <x v="4"/>
    <n v="22"/>
    <s v="HSOD"/>
    <s v="Brian/Travis"/>
    <n v="129.5"/>
    <s v="$MM$"/>
    <s v="Pat/Tucker"/>
    <n v="74.5"/>
    <s v="NONE"/>
    <n v="204"/>
    <n v="55"/>
    <x v="7"/>
    <x v="9"/>
    <s v="AWAY"/>
    <s v="HOME"/>
    <n v="129.5"/>
    <n v="74.5"/>
  </r>
  <r>
    <n v="284"/>
    <n v="453"/>
    <n v="631"/>
    <n v="642"/>
    <n v="563"/>
    <x v="4"/>
    <x v="4"/>
    <n v="23"/>
    <s v="CSWD"/>
    <s v="Walker/Cory"/>
    <n v="90.5"/>
    <s v="DERS"/>
    <s v="Eric/Blake"/>
    <n v="76.5"/>
    <s v="NONE"/>
    <n v="167"/>
    <n v="14"/>
    <x v="1"/>
    <x v="2"/>
    <s v="AWAY"/>
    <s v="HOME"/>
    <n v="90.5"/>
    <n v="76.5"/>
  </r>
  <r>
    <n v="285"/>
    <n v="482"/>
    <n v="400"/>
    <n v="470"/>
    <n v="292"/>
    <x v="4"/>
    <x v="4"/>
    <n v="24"/>
    <s v="WAHO"/>
    <s v="Graham/Michael"/>
    <n v="97"/>
    <s v="CPDL"/>
    <s v="Drew/Cam"/>
    <n v="109"/>
    <s v="NONE"/>
    <n v="206"/>
    <n v="12"/>
    <x v="6"/>
    <x v="6"/>
    <s v="HOME"/>
    <s v="AWAY"/>
    <n v="109"/>
    <n v="97"/>
  </r>
  <r>
    <n v="286"/>
    <n v="524"/>
    <n v="224"/>
    <n v="345"/>
    <n v="146"/>
    <x v="4"/>
    <x v="5"/>
    <n v="25"/>
    <s v="$MM$"/>
    <s v="Pat/Tucker"/>
    <n v="109.5"/>
    <s v="DERS"/>
    <s v="Eric/Blake"/>
    <n v="119.5"/>
    <s v="NONE"/>
    <n v="229"/>
    <n v="10"/>
    <x v="5"/>
    <x v="9"/>
    <s v="HOME"/>
    <s v="AWAY"/>
    <n v="119.5"/>
    <n v="109.5"/>
  </r>
  <r>
    <n v="287"/>
    <n v="128"/>
    <n v="394"/>
    <n v="273"/>
    <n v="515"/>
    <x v="4"/>
    <x v="5"/>
    <n v="26"/>
    <s v="CPDL"/>
    <s v="Drew/Cam"/>
    <n v="124.5"/>
    <s v="CSWD"/>
    <s v="Walker/Cory"/>
    <n v="82"/>
    <s v="NONE"/>
    <n v="206.5"/>
    <n v="42.5"/>
    <x v="6"/>
    <x v="5"/>
    <s v="AWAY"/>
    <s v="HOME"/>
    <n v="124.5"/>
    <n v="82"/>
  </r>
  <r>
    <n v="288"/>
    <n v="560"/>
    <n v="591"/>
    <n v="631"/>
    <n v="482"/>
    <x v="4"/>
    <x v="5"/>
    <n v="27"/>
    <s v="WAHO"/>
    <s v="Graham/Michael"/>
    <n v="93"/>
    <s v="DBNG"/>
    <s v="Dave/Nolan"/>
    <n v="85"/>
    <s v="NONE"/>
    <n v="178"/>
    <n v="8"/>
    <x v="0"/>
    <x v="1"/>
    <s v="AWAY"/>
    <s v="HOME"/>
    <n v="93"/>
    <n v="85"/>
  </r>
  <r>
    <n v="289"/>
    <n v="25"/>
    <n v="335"/>
    <n v="114"/>
    <n v="589"/>
    <x v="4"/>
    <x v="5"/>
    <n v="28"/>
    <s v="HSOD"/>
    <s v="Brian/Travis"/>
    <n v="74"/>
    <s v="DKMB"/>
    <s v="David/Marshall"/>
    <n v="139"/>
    <s v="NONE"/>
    <n v="213"/>
    <n v="65"/>
    <x v="9"/>
    <x v="3"/>
    <s v="HOME"/>
    <s v="AWAY"/>
    <n v="139"/>
    <n v="74"/>
  </r>
  <r>
    <n v="290"/>
    <n v="512"/>
    <n v="323"/>
    <n v="420"/>
    <n v="216"/>
    <x v="4"/>
    <x v="5"/>
    <n v="29"/>
    <s v="BALL"/>
    <s v="Trent/Colin"/>
    <n v="102.5"/>
    <s v="CSRT"/>
    <s v="Clay/Ryan"/>
    <n v="113"/>
    <s v="NONE"/>
    <n v="215.5"/>
    <n v="10.5"/>
    <x v="3"/>
    <x v="7"/>
    <s v="HOME"/>
    <s v="AWAY"/>
    <n v="113"/>
    <n v="102.5"/>
  </r>
  <r>
    <n v="291"/>
    <n v="96"/>
    <n v="295"/>
    <n v="155"/>
    <n v="460"/>
    <x v="4"/>
    <x v="6"/>
    <n v="30"/>
    <s v="CSWD"/>
    <s v="Walker/Cory"/>
    <n v="86.5"/>
    <s v="$MM$"/>
    <s v="Pat/Tucker"/>
    <n v="134"/>
    <s v="NONE"/>
    <n v="220.5"/>
    <n v="47.5"/>
    <x v="2"/>
    <x v="5"/>
    <s v="HOME"/>
    <s v="AWAY"/>
    <n v="134"/>
    <n v="86.5"/>
  </r>
  <r>
    <n v="292"/>
    <n v="105"/>
    <n v="426"/>
    <n v="273"/>
    <n v="546"/>
    <x v="4"/>
    <x v="6"/>
    <n v="31"/>
    <s v="DBNG"/>
    <s v="Dave/Nolan"/>
    <n v="78.5"/>
    <s v="CPDL"/>
    <s v="Drew/Cam"/>
    <n v="124.5"/>
    <s v="NONE"/>
    <n v="203"/>
    <n v="46"/>
    <x v="6"/>
    <x v="1"/>
    <s v="HOME"/>
    <s v="AWAY"/>
    <n v="124.5"/>
    <n v="78.5"/>
  </r>
  <r>
    <n v="293"/>
    <n v="349"/>
    <n v="599"/>
    <n v="571"/>
    <n v="559"/>
    <x v="4"/>
    <x v="6"/>
    <n v="32"/>
    <s v="DKMB"/>
    <s v="David/Marshall"/>
    <n v="99"/>
    <s v="WAHO"/>
    <s v="Graham/Michael"/>
    <n v="77"/>
    <s v="NONE"/>
    <n v="176"/>
    <n v="22"/>
    <x v="9"/>
    <x v="6"/>
    <s v="AWAY"/>
    <s v="HOME"/>
    <n v="99"/>
    <n v="77"/>
  </r>
  <r>
    <n v="294"/>
    <n v="670"/>
    <n v="610"/>
    <n v="662"/>
    <n v="474"/>
    <x v="4"/>
    <x v="6"/>
    <n v="33"/>
    <s v="CSRT"/>
    <s v="Clay/Ryan"/>
    <n v="85.5"/>
    <s v="HSOD"/>
    <s v="Brian/Travis"/>
    <n v="87"/>
    <s v="NONE"/>
    <n v="172.5"/>
    <n v="1.5"/>
    <x v="7"/>
    <x v="8"/>
    <s v="HOME"/>
    <s v="AWAY"/>
    <n v="87"/>
    <n v="85.5"/>
  </r>
  <r>
    <n v="295"/>
    <n v="427"/>
    <n v="308"/>
    <n v="378"/>
    <n v="240"/>
    <x v="4"/>
    <x v="6"/>
    <n v="34"/>
    <s v="DERS"/>
    <s v="Eric/Blake"/>
    <n v="116.5"/>
    <s v="BALL"/>
    <s v="Trent/Colin"/>
    <n v="100.5"/>
    <s v="NONE"/>
    <n v="217"/>
    <n v="16"/>
    <x v="5"/>
    <x v="7"/>
    <s v="AWAY"/>
    <s v="HOME"/>
    <n v="116.5"/>
    <n v="100.5"/>
  </r>
  <r>
    <n v="296"/>
    <n v="644"/>
    <n v="689"/>
    <n v="693"/>
    <n v="646"/>
    <x v="4"/>
    <x v="7"/>
    <n v="35"/>
    <s v="$MM$"/>
    <s v="Pat/Tucker"/>
    <n v="67"/>
    <s v="DBNG"/>
    <s v="Dave/Nolan"/>
    <n v="70.5"/>
    <s v="NONE"/>
    <n v="137.5"/>
    <n v="3.5"/>
    <x v="8"/>
    <x v="9"/>
    <s v="HOME"/>
    <s v="AWAY"/>
    <n v="70.5"/>
    <n v="67"/>
  </r>
  <r>
    <n v="297"/>
    <n v="663"/>
    <n v="355"/>
    <n v="498"/>
    <n v="189"/>
    <x v="4"/>
    <x v="7"/>
    <n v="36"/>
    <s v="CPDL"/>
    <s v="Drew/Cam"/>
    <n v="106.5"/>
    <s v="DKMB"/>
    <s v="David/Marshall"/>
    <n v="104"/>
    <s v="NONE"/>
    <n v="210.5"/>
    <n v="2.5"/>
    <x v="6"/>
    <x v="4"/>
    <s v="AWAY"/>
    <s v="HOME"/>
    <n v="106.5"/>
    <n v="104"/>
  </r>
  <r>
    <n v="298"/>
    <n v="44"/>
    <n v="375"/>
    <n v="163"/>
    <n v="579"/>
    <x v="4"/>
    <x v="7"/>
    <n v="37"/>
    <s v="WAHO"/>
    <s v="Graham/Michael"/>
    <n v="133.5"/>
    <s v="CSRT"/>
    <s v="Clay/Ryan"/>
    <n v="75"/>
    <s v="NONE"/>
    <n v="208.5"/>
    <n v="58.5"/>
    <x v="0"/>
    <x v="8"/>
    <s v="AWAY"/>
    <s v="HOME"/>
    <n v="133.5"/>
    <n v="75"/>
  </r>
  <r>
    <n v="299"/>
    <n v="427"/>
    <n v="476"/>
    <n v="506"/>
    <n v="388"/>
    <x v="4"/>
    <x v="7"/>
    <n v="38"/>
    <s v="HSOD"/>
    <s v="Brian/Travis"/>
    <n v="106"/>
    <s v="DERS"/>
    <s v="Eric/Blake"/>
    <n v="90"/>
    <s v="NONE"/>
    <n v="196"/>
    <n v="16"/>
    <x v="7"/>
    <x v="2"/>
    <s v="AWAY"/>
    <s v="HOME"/>
    <n v="106"/>
    <n v="90"/>
  </r>
  <r>
    <n v="300"/>
    <n v="160"/>
    <n v="626"/>
    <n v="530"/>
    <n v="657"/>
    <x v="4"/>
    <x v="7"/>
    <n v="39"/>
    <s v="BALL"/>
    <s v="Trent/Colin"/>
    <n v="65.5"/>
    <s v="CSWD"/>
    <s v="Walker/Cory"/>
    <n v="104"/>
    <s v="NONE"/>
    <n v="169.5"/>
    <n v="38.5"/>
    <x v="1"/>
    <x v="7"/>
    <s v="HOME"/>
    <s v="AWAY"/>
    <n v="104"/>
    <n v="65.5"/>
  </r>
  <r>
    <n v="301"/>
    <n v="190"/>
    <n v="359"/>
    <n v="298"/>
    <n v="447"/>
    <x v="4"/>
    <x v="8"/>
    <n v="40"/>
    <s v="DKMB"/>
    <s v="David/Marshall"/>
    <n v="87"/>
    <s v="$MM$"/>
    <s v="Pat/Tucker"/>
    <n v="123"/>
    <s v="NONE"/>
    <n v="210"/>
    <n v="36"/>
    <x v="2"/>
    <x v="4"/>
    <s v="HOME"/>
    <s v="AWAY"/>
    <n v="123"/>
    <n v="87"/>
  </r>
  <r>
    <n v="302"/>
    <n v="209"/>
    <n v="682"/>
    <n v="653"/>
    <n v="680"/>
    <x v="4"/>
    <x v="8"/>
    <n v="41"/>
    <s v="CSRT"/>
    <s v="Clay/Ryan"/>
    <n v="89.5"/>
    <s v="DBNG"/>
    <s v="Dave/Nolan"/>
    <n v="56"/>
    <s v="NONE"/>
    <n v="145.5"/>
    <n v="33.5"/>
    <x v="3"/>
    <x v="1"/>
    <s v="AWAY"/>
    <s v="HOME"/>
    <n v="89.5"/>
    <n v="56"/>
  </r>
  <r>
    <n v="303"/>
    <n v="294"/>
    <n v="530"/>
    <n v="498"/>
    <n v="527"/>
    <x v="4"/>
    <x v="8"/>
    <n v="42"/>
    <s v="CPDL"/>
    <s v="Drew/Cam"/>
    <n v="106.5"/>
    <s v="BALL"/>
    <s v="Trent/Colin"/>
    <n v="81"/>
    <s v="NONE"/>
    <n v="187.5"/>
    <n v="25.5"/>
    <x v="6"/>
    <x v="7"/>
    <s v="AWAY"/>
    <s v="HOME"/>
    <n v="106.5"/>
    <n v="81"/>
  </r>
  <r>
    <n v="304"/>
    <n v="424"/>
    <n v="588"/>
    <n v="593"/>
    <n v="527"/>
    <x v="4"/>
    <x v="8"/>
    <n v="43"/>
    <s v="DERS"/>
    <s v="Eric/Blake"/>
    <n v="81"/>
    <s v="CSWD"/>
    <s v="Walker/Cory"/>
    <n v="97.5"/>
    <s v="NONE"/>
    <n v="178.5"/>
    <n v="16.5"/>
    <x v="1"/>
    <x v="2"/>
    <s v="HOME"/>
    <s v="AWAY"/>
    <n v="97.5"/>
    <n v="81"/>
  </r>
  <r>
    <n v="305"/>
    <n v="41"/>
    <n v="276"/>
    <n v="99"/>
    <n v="515"/>
    <x v="4"/>
    <x v="8"/>
    <n v="44"/>
    <s v="WAHO"/>
    <s v="Graham/Michael"/>
    <n v="82"/>
    <s v="HSOD"/>
    <s v="Brian/Travis"/>
    <n v="141"/>
    <s v="NONE"/>
    <n v="223"/>
    <n v="59"/>
    <x v="7"/>
    <x v="6"/>
    <s v="HOME"/>
    <s v="AWAY"/>
    <n v="141"/>
    <n v="82"/>
  </r>
  <r>
    <n v="306"/>
    <n v="298"/>
    <n v="608"/>
    <n v="571"/>
    <n v="589"/>
    <x v="4"/>
    <x v="9"/>
    <n v="45"/>
    <s v="CSRT"/>
    <s v="Clay/Ryan"/>
    <n v="99"/>
    <s v="CPDL"/>
    <s v="Drew/Cam"/>
    <n v="74"/>
    <s v="NONE"/>
    <n v="173"/>
    <n v="25"/>
    <x v="3"/>
    <x v="0"/>
    <s v="AWAY"/>
    <s v="HOME"/>
    <n v="99"/>
    <n v="74"/>
  </r>
  <r>
    <n v="307"/>
    <n v="39"/>
    <n v="238"/>
    <n v="88"/>
    <n v="494"/>
    <x v="4"/>
    <x v="9"/>
    <n v="46"/>
    <s v="DERS"/>
    <s v="Eric/Blake"/>
    <n v="84"/>
    <s v="DKMB"/>
    <s v="David/Marshall"/>
    <n v="143.5"/>
    <s v="NONE"/>
    <n v="227.5"/>
    <n v="59.5"/>
    <x v="9"/>
    <x v="2"/>
    <s v="HOME"/>
    <s v="AWAY"/>
    <n v="143.5"/>
    <n v="84"/>
  </r>
  <r>
    <n v="308"/>
    <n v="424"/>
    <n v="496"/>
    <n v="517"/>
    <n v="416"/>
    <x v="4"/>
    <x v="9"/>
    <n v="47"/>
    <s v="$MM$"/>
    <s v="Pat/Tucker"/>
    <n v="88.5"/>
    <s v="WAHO"/>
    <s v="Graham/Michael"/>
    <n v="105"/>
    <s v="NONE"/>
    <n v="193.5"/>
    <n v="16.5"/>
    <x v="0"/>
    <x v="9"/>
    <s v="HOME"/>
    <s v="AWAY"/>
    <n v="105"/>
    <n v="88.5"/>
  </r>
  <r>
    <n v="309"/>
    <n v="463"/>
    <n v="691"/>
    <n v="690"/>
    <n v="669"/>
    <x v="4"/>
    <x v="9"/>
    <n v="48"/>
    <s v="CSWD"/>
    <s v="Walker/Cory"/>
    <n v="61.5"/>
    <s v="DBNG"/>
    <s v="Dave/Nolan"/>
    <n v="75"/>
    <s v="NONE"/>
    <n v="136.5"/>
    <n v="13.5"/>
    <x v="8"/>
    <x v="5"/>
    <s v="HOME"/>
    <s v="AWAY"/>
    <n v="75"/>
    <n v="61.5"/>
  </r>
  <r>
    <n v="310"/>
    <n v="635"/>
    <n v="653"/>
    <n v="672"/>
    <n v="551"/>
    <x v="4"/>
    <x v="9"/>
    <n v="49"/>
    <s v="BALL"/>
    <s v="Trent/Colin"/>
    <n v="82"/>
    <s v="HSOD"/>
    <s v="Brian/Travis"/>
    <n v="78"/>
    <s v="NONE"/>
    <n v="160"/>
    <n v="4"/>
    <x v="4"/>
    <x v="3"/>
    <s v="AWAY"/>
    <s v="HOME"/>
    <n v="82"/>
    <n v="78"/>
  </r>
  <r>
    <n v="311"/>
    <n v="644"/>
    <n v="243"/>
    <n v="399"/>
    <n v="130"/>
    <x v="4"/>
    <x v="10"/>
    <n v="50"/>
    <s v="DERS"/>
    <s v="Eric/Blake"/>
    <n v="115"/>
    <s v="WAHO"/>
    <s v="Graham/Michael"/>
    <n v="111.5"/>
    <s v="NONE"/>
    <n v="226.5"/>
    <n v="3.5"/>
    <x v="5"/>
    <x v="6"/>
    <s v="AWAY"/>
    <s v="HOME"/>
    <n v="115"/>
    <n v="111.5"/>
  </r>
  <r>
    <n v="312"/>
    <n v="467"/>
    <n v="335"/>
    <n v="420"/>
    <n v="248"/>
    <x v="4"/>
    <x v="10"/>
    <n v="51"/>
    <s v="CSRT"/>
    <s v="Clay/Ryan"/>
    <n v="113"/>
    <s v="CSWD"/>
    <s v="Walker/Cory"/>
    <n v="100"/>
    <s v="NONE"/>
    <n v="213"/>
    <n v="13"/>
    <x v="3"/>
    <x v="5"/>
    <s v="AWAY"/>
    <s v="HOME"/>
    <n v="113"/>
    <n v="100"/>
  </r>
  <r>
    <n v="313"/>
    <n v="167"/>
    <n v="41"/>
    <n v="43"/>
    <n v="102"/>
    <x v="4"/>
    <x v="10"/>
    <n v="52"/>
    <s v="HSOD"/>
    <s v="Brian/Travis"/>
    <n v="153"/>
    <s v="CPDL"/>
    <s v="Drew/Cam"/>
    <n v="115"/>
    <s v="NONE"/>
    <n v="268"/>
    <n v="38"/>
    <x v="7"/>
    <x v="0"/>
    <s v="AWAY"/>
    <s v="HOME"/>
    <n v="153"/>
    <n v="115"/>
  </r>
  <r>
    <n v="314"/>
    <n v="621"/>
    <n v="439"/>
    <n v="543"/>
    <n v="279"/>
    <x v="4"/>
    <x v="10"/>
    <n v="53"/>
    <s v="DKMB"/>
    <s v="David/Marshall"/>
    <n v="103"/>
    <s v="DBNG"/>
    <s v="Dave/Nolan"/>
    <n v="98"/>
    <s v="NONE"/>
    <n v="201"/>
    <n v="5"/>
    <x v="9"/>
    <x v="1"/>
    <s v="AWAY"/>
    <s v="HOME"/>
    <n v="103"/>
    <n v="98"/>
  </r>
  <r>
    <n v="315"/>
    <n v="78"/>
    <n v="303"/>
    <n v="148"/>
    <n v="494"/>
    <x v="4"/>
    <x v="10"/>
    <n v="54"/>
    <s v="BALL"/>
    <s v="Trent/Colin"/>
    <n v="84"/>
    <s v="$MM$"/>
    <s v="Pat/Tucker"/>
    <n v="134.5"/>
    <s v="NONE"/>
    <n v="218.5"/>
    <n v="50.5"/>
    <x v="2"/>
    <x v="7"/>
    <s v="HOME"/>
    <s v="AWAY"/>
    <n v="134.5"/>
    <n v="84"/>
  </r>
  <r>
    <n v="316"/>
    <n v="21"/>
    <n v="363"/>
    <n v="119"/>
    <n v="626"/>
    <x v="4"/>
    <x v="11"/>
    <n v="55"/>
    <s v="CSWD"/>
    <s v="Walker/Cory"/>
    <n v="71"/>
    <s v="HSOD"/>
    <s v="Brian/Travis"/>
    <n v="138.5"/>
    <s v="NONE"/>
    <n v="209.5"/>
    <n v="67.5"/>
    <x v="7"/>
    <x v="5"/>
    <s v="HOME"/>
    <s v="AWAY"/>
    <n v="138.5"/>
    <n v="71"/>
  </r>
  <r>
    <n v="317"/>
    <n v="218"/>
    <n v="540"/>
    <n v="467"/>
    <n v="559"/>
    <x v="4"/>
    <x v="11"/>
    <n v="56"/>
    <s v="DBNG"/>
    <s v="Dave/Nolan"/>
    <n v="109.5"/>
    <s v="DERS"/>
    <s v="Eric/Blake"/>
    <n v="77"/>
    <s v="NONE"/>
    <n v="186.5"/>
    <n v="32.5"/>
    <x v="8"/>
    <x v="2"/>
    <s v="AWAY"/>
    <s v="HOME"/>
    <n v="109.5"/>
    <n v="77"/>
  </r>
  <r>
    <n v="318"/>
    <n v="51"/>
    <n v="460"/>
    <n v="233"/>
    <n v="626"/>
    <x v="4"/>
    <x v="11"/>
    <n v="57"/>
    <s v="WAHO"/>
    <s v="Graham/Michael"/>
    <n v="71"/>
    <s v="BALL"/>
    <s v="Trent/Colin"/>
    <n v="127.5"/>
    <s v="NONE"/>
    <n v="198.5"/>
    <n v="56.5"/>
    <x v="4"/>
    <x v="6"/>
    <s v="HOME"/>
    <s v="AWAY"/>
    <n v="127.5"/>
    <n v="71"/>
  </r>
  <r>
    <n v="319"/>
    <n v="512"/>
    <n v="578"/>
    <n v="608"/>
    <n v="482"/>
    <x v="4"/>
    <x v="11"/>
    <n v="58"/>
    <s v="DKMB"/>
    <s v="David/Marshall"/>
    <n v="85"/>
    <s v="CSRT"/>
    <s v="Clay/Ryan"/>
    <n v="95.5"/>
    <s v="NONE"/>
    <n v="180.5"/>
    <n v="10.5"/>
    <x v="3"/>
    <x v="4"/>
    <s v="HOME"/>
    <s v="AWAY"/>
    <n v="95.5"/>
    <n v="85"/>
  </r>
  <r>
    <n v="320"/>
    <n v="542"/>
    <n v="25"/>
    <n v="91"/>
    <n v="12"/>
    <x v="4"/>
    <x v="11"/>
    <n v="59"/>
    <s v="CPDL"/>
    <s v="Drew/Cam"/>
    <n v="143"/>
    <s v="$MM$"/>
    <s v="Pat/Tucker"/>
    <n v="134"/>
    <s v="NONE"/>
    <n v="277"/>
    <n v="9"/>
    <x v="6"/>
    <x v="9"/>
    <s v="AWAY"/>
    <s v="HOME"/>
    <n v="143"/>
    <n v="134"/>
  </r>
  <r>
    <n v="321"/>
    <n v="663"/>
    <n v="94"/>
    <n v="226"/>
    <n v="30"/>
    <x v="4"/>
    <x v="12"/>
    <n v="60"/>
    <s v="DBNG"/>
    <s v="Dave/Nolan"/>
    <n v="125.5"/>
    <s v="BALL"/>
    <s v="Trent/Colin"/>
    <n v="128"/>
    <s v="NONE"/>
    <n v="253.5"/>
    <n v="2.5"/>
    <x v="4"/>
    <x v="1"/>
    <s v="HOME"/>
    <s v="AWAY"/>
    <n v="128"/>
    <n v="125.5"/>
  </r>
  <r>
    <n v="322"/>
    <n v="176"/>
    <n v="505"/>
    <n v="408"/>
    <n v="559"/>
    <x v="4"/>
    <x v="12"/>
    <n v="61"/>
    <s v="CSWD"/>
    <s v="Walker/Cory"/>
    <n v="77"/>
    <s v="DKMB"/>
    <s v="David/Marshall"/>
    <n v="114"/>
    <s v="NONE"/>
    <n v="191"/>
    <n v="37"/>
    <x v="9"/>
    <x v="5"/>
    <s v="HOME"/>
    <s v="AWAY"/>
    <n v="114"/>
    <n v="77"/>
  </r>
  <r>
    <n v="323"/>
    <n v="419"/>
    <n v="406"/>
    <n v="456"/>
    <n v="336"/>
    <x v="4"/>
    <x v="12"/>
    <n v="62"/>
    <s v="$MM$"/>
    <s v="Pat/Tucker"/>
    <n v="111"/>
    <s v="HSOD"/>
    <s v="Brian/Travis"/>
    <n v="94"/>
    <s v="NONE"/>
    <n v="205"/>
    <n v="17"/>
    <x v="2"/>
    <x v="3"/>
    <s v="AWAY"/>
    <s v="HOME"/>
    <n v="111"/>
    <n v="94"/>
  </r>
  <r>
    <n v="324"/>
    <n v="542"/>
    <n v="653"/>
    <n v="666"/>
    <n v="573"/>
    <x v="4"/>
    <x v="12"/>
    <n v="63"/>
    <s v="DERS"/>
    <s v="Eric/Blake"/>
    <n v="75.5"/>
    <s v="CSRT"/>
    <s v="Clay/Ryan"/>
    <n v="84.5"/>
    <s v="NONE"/>
    <n v="160"/>
    <n v="9"/>
    <x v="3"/>
    <x v="2"/>
    <s v="HOME"/>
    <s v="AWAY"/>
    <n v="84.5"/>
    <n v="75.5"/>
  </r>
  <r>
    <n v="325"/>
    <n v="573"/>
    <n v="341"/>
    <n v="464"/>
    <n v="216"/>
    <x v="4"/>
    <x v="12"/>
    <n v="64"/>
    <s v="CPDL"/>
    <s v="Drew/Cam"/>
    <n v="110"/>
    <s v="WAHO"/>
    <s v="Graham/Michael"/>
    <n v="102.5"/>
    <s v="NONE"/>
    <n v="212.5"/>
    <n v="7.5"/>
    <x v="6"/>
    <x v="6"/>
    <s v="AWAY"/>
    <s v="HOME"/>
    <n v="110"/>
    <n v="102.5"/>
  </r>
  <r>
    <n v="326"/>
    <n v="668"/>
    <n v="413"/>
    <n v="541"/>
    <n v="232"/>
    <x v="5"/>
    <x v="0"/>
    <n v="0"/>
    <s v="CSRT"/>
    <s v="Clay/Ryan"/>
    <n v="103.12"/>
    <s v="$MM$"/>
    <s v="Pat/Tucker"/>
    <n v="101.24"/>
    <s v="NONE"/>
    <n v="204.36"/>
    <n v="1.8800000000000097"/>
    <x v="3"/>
    <x v="9"/>
    <s v="AWAY"/>
    <s v="HOME"/>
    <n v="103.12"/>
    <n v="101.24"/>
  </r>
  <r>
    <n v="327"/>
    <n v="478"/>
    <n v="76"/>
    <n v="148"/>
    <n v="46"/>
    <x v="5"/>
    <x v="0"/>
    <n v="1"/>
    <s v="DKMB"/>
    <s v="David/Marshall"/>
    <n v="121.98"/>
    <s v="DERS"/>
    <s v="Eric/Blake"/>
    <n v="134.5"/>
    <s v="NONE"/>
    <n v="256.48"/>
    <n v="12.519999999999996"/>
    <x v="5"/>
    <x v="4"/>
    <s v="HOME"/>
    <s v="AWAY"/>
    <n v="134.5"/>
    <n v="121.98"/>
  </r>
  <r>
    <n v="328"/>
    <n v="386"/>
    <n v="352"/>
    <n v="397"/>
    <n v="313"/>
    <x v="5"/>
    <x v="0"/>
    <n v="2"/>
    <s v="GGGG"/>
    <s v="Trent/Colin"/>
    <n v="115.24"/>
    <s v="CPDL"/>
    <s v="Drew/Cam"/>
    <n v="96.04"/>
    <s v="NONE"/>
    <n v="211.28"/>
    <n v="19.199999999999989"/>
    <x v="4"/>
    <x v="0"/>
    <s v="AWAY"/>
    <s v="HOME"/>
    <n v="115.24"/>
    <n v="96.04"/>
  </r>
  <r>
    <n v="329"/>
    <n v="63"/>
    <n v="148"/>
    <n v="69"/>
    <n v="333"/>
    <x v="5"/>
    <x v="0"/>
    <n v="3"/>
    <s v="DBNG"/>
    <s v="Dave/Nolan"/>
    <n v="94.26"/>
    <s v="SACS"/>
    <s v="Walker/Cory"/>
    <n v="147.74"/>
    <s v="NONE"/>
    <n v="242"/>
    <n v="53.480000000000004"/>
    <x v="1"/>
    <x v="1"/>
    <s v="HOME"/>
    <s v="AWAY"/>
    <n v="147.74"/>
    <n v="94.26"/>
  </r>
  <r>
    <n v="330"/>
    <n v="548"/>
    <n v="311"/>
    <n v="427"/>
    <n v="193"/>
    <x v="5"/>
    <x v="0"/>
    <n v="4"/>
    <s v="HSOD"/>
    <s v="Brian/Travis"/>
    <n v="103.96"/>
    <s v="MSGG"/>
    <s v="Graham/Michael"/>
    <n v="112.76"/>
    <s v="NONE"/>
    <n v="216.72"/>
    <n v="8.8000000000000114"/>
    <x v="0"/>
    <x v="3"/>
    <s v="HOME"/>
    <s v="AWAY"/>
    <n v="112.76"/>
    <n v="103.96"/>
  </r>
  <r>
    <n v="331"/>
    <n v="490"/>
    <n v="145"/>
    <n v="237"/>
    <n v="98"/>
    <x v="5"/>
    <x v="1"/>
    <n v="5"/>
    <s v="DERS"/>
    <s v="Eric/Blake"/>
    <n v="127.18"/>
    <s v="CPDL"/>
    <s v="Drew/Cam"/>
    <n v="115.28"/>
    <s v="NONE"/>
    <n v="242.46"/>
    <n v="11.900000000000006"/>
    <x v="5"/>
    <x v="0"/>
    <s v="AWAY"/>
    <s v="HOME"/>
    <n v="127.18"/>
    <n v="115.28"/>
  </r>
  <r>
    <n v="332"/>
    <n v="376"/>
    <n v="494"/>
    <n v="494"/>
    <n v="456"/>
    <x v="5"/>
    <x v="1"/>
    <n v="6"/>
    <s v="SACS"/>
    <s v="Walker/Cory"/>
    <n v="86.74"/>
    <s v="CSRT"/>
    <s v="Clay/Ryan"/>
    <n v="106.84"/>
    <s v="NONE"/>
    <n v="193.57999999999998"/>
    <n v="20.100000000000009"/>
    <x v="3"/>
    <x v="5"/>
    <s v="HOME"/>
    <s v="AWAY"/>
    <n v="106.84"/>
    <n v="86.74"/>
  </r>
  <r>
    <n v="333"/>
    <n v="692"/>
    <n v="97"/>
    <n v="251"/>
    <n v="27"/>
    <x v="5"/>
    <x v="1"/>
    <n v="7"/>
    <s v="MSGG"/>
    <s v="Graham/Michael"/>
    <n v="126.3"/>
    <s v="$MM$"/>
    <s v="Pat/Tucker"/>
    <n v="126.38"/>
    <s v="NONE"/>
    <n v="252.68"/>
    <n v="7.9999999999998295E-2"/>
    <x v="2"/>
    <x v="6"/>
    <s v="HOME"/>
    <s v="AWAY"/>
    <n v="126.38"/>
    <n v="126.3"/>
  </r>
  <r>
    <n v="334"/>
    <n v="666"/>
    <n v="547"/>
    <n v="626"/>
    <n v="366"/>
    <x v="5"/>
    <x v="1"/>
    <n v="8"/>
    <s v="DBNG"/>
    <s v="Dave/Nolan"/>
    <n v="91.92"/>
    <s v="DKMB"/>
    <s v="David/Marshall"/>
    <n v="93.96"/>
    <s v="NONE"/>
    <n v="185.88"/>
    <n v="2.039999999999992"/>
    <x v="9"/>
    <x v="1"/>
    <s v="HOME"/>
    <s v="AWAY"/>
    <n v="93.96"/>
    <n v="91.92"/>
  </r>
  <r>
    <n v="335"/>
    <n v="466"/>
    <n v="179"/>
    <n v="262"/>
    <n v="122"/>
    <x v="5"/>
    <x v="1"/>
    <n v="9"/>
    <s v="HSOD"/>
    <s v="Brian/Travis"/>
    <n v="112.26"/>
    <s v="GGGG"/>
    <s v="Trent/Colin"/>
    <n v="125.3"/>
    <s v="NONE"/>
    <n v="237.56"/>
    <n v="13.039999999999992"/>
    <x v="4"/>
    <x v="3"/>
    <s v="HOME"/>
    <s v="AWAY"/>
    <n v="125.3"/>
    <n v="112.26"/>
  </r>
  <r>
    <n v="336"/>
    <n v="410"/>
    <n v="450"/>
    <n v="474"/>
    <n v="380"/>
    <x v="5"/>
    <x v="2"/>
    <n v="10"/>
    <s v="SACS"/>
    <s v="Walker/Cory"/>
    <n v="91"/>
    <s v="MSGG"/>
    <s v="Graham/Michael"/>
    <n v="108.64"/>
    <s v="NONE"/>
    <n v="199.64"/>
    <n v="17.64"/>
    <x v="0"/>
    <x v="5"/>
    <s v="HOME"/>
    <s v="AWAY"/>
    <n v="108.64"/>
    <n v="91"/>
  </r>
  <r>
    <n v="337"/>
    <n v="587"/>
    <n v="64"/>
    <n v="174"/>
    <n v="29"/>
    <x v="5"/>
    <x v="2"/>
    <n v="11"/>
    <s v="DERS"/>
    <s v="Eric/Blake"/>
    <n v="125.76"/>
    <s v="DBNG"/>
    <s v="Dave/Nolan"/>
    <n v="132.74"/>
    <s v="NONE"/>
    <n v="258.5"/>
    <n v="6.980000000000004"/>
    <x v="8"/>
    <x v="2"/>
    <s v="HOME"/>
    <s v="AWAY"/>
    <n v="132.74"/>
    <n v="125.76"/>
  </r>
  <r>
    <n v="338"/>
    <n v="273"/>
    <n v="386"/>
    <n v="363"/>
    <n v="394"/>
    <x v="5"/>
    <x v="2"/>
    <n v="12"/>
    <s v="CPDL"/>
    <s v="Drew/Cam"/>
    <n v="117.76"/>
    <s v="HSOD"/>
    <s v="Brian/Travis"/>
    <n v="89.96"/>
    <s v="NONE"/>
    <n v="207.72"/>
    <n v="27.800000000000011"/>
    <x v="6"/>
    <x v="3"/>
    <s v="AWAY"/>
    <s v="HOME"/>
    <n v="117.76"/>
    <n v="89.96"/>
  </r>
  <r>
    <n v="339"/>
    <n v="505"/>
    <n v="423"/>
    <n v="491"/>
    <n v="311"/>
    <x v="5"/>
    <x v="2"/>
    <n v="13"/>
    <s v="CSRT"/>
    <s v="Clay/Ryan"/>
    <n v="107.08"/>
    <s v="DKMB"/>
    <s v="David/Marshall"/>
    <n v="96.22"/>
    <s v="NONE"/>
    <n v="203.3"/>
    <n v="10.86"/>
    <x v="3"/>
    <x v="4"/>
    <s v="AWAY"/>
    <s v="HOME"/>
    <n v="107.08"/>
    <n v="96.22"/>
  </r>
  <r>
    <n v="340"/>
    <n v="109"/>
    <n v="274"/>
    <n v="148"/>
    <n v="413"/>
    <x v="5"/>
    <x v="2"/>
    <n v="14"/>
    <s v="$MM$"/>
    <s v="Pat/Tucker"/>
    <n v="88.94"/>
    <s v="GGGG"/>
    <s v="Trent/Colin"/>
    <n v="134.5"/>
    <s v="NONE"/>
    <n v="223.44"/>
    <n v="45.56"/>
    <x v="4"/>
    <x v="9"/>
    <s v="HOME"/>
    <s v="AWAY"/>
    <n v="134.5"/>
    <n v="88.94"/>
  </r>
  <r>
    <n v="341"/>
    <n v="361"/>
    <n v="38"/>
    <n v="78"/>
    <n v="32"/>
    <x v="5"/>
    <x v="3"/>
    <n v="15"/>
    <s v="DBNG"/>
    <s v="Dave/Nolan"/>
    <n v="146.18"/>
    <s v="HSOD"/>
    <s v="Brian/Travis"/>
    <n v="124.76"/>
    <s v="NONE"/>
    <n v="270.94"/>
    <n v="21.42"/>
    <x v="8"/>
    <x v="3"/>
    <s v="AWAY"/>
    <s v="HOME"/>
    <n v="146.18"/>
    <n v="124.76"/>
  </r>
  <r>
    <n v="342"/>
    <n v="521"/>
    <n v="404"/>
    <n v="480"/>
    <n v="283"/>
    <x v="5"/>
    <x v="3"/>
    <n v="16"/>
    <s v="DKMB"/>
    <s v="David/Marshall"/>
    <n v="107.76"/>
    <s v="SACS"/>
    <s v="Walker/Cory"/>
    <n v="97.52"/>
    <s v="NONE"/>
    <n v="205.28"/>
    <n v="10.240000000000009"/>
    <x v="9"/>
    <x v="5"/>
    <s v="AWAY"/>
    <s v="HOME"/>
    <n v="107.76"/>
    <n v="97.52"/>
  </r>
  <r>
    <n v="343"/>
    <n v="249"/>
    <n v="247"/>
    <n v="226"/>
    <n v="278"/>
    <x v="5"/>
    <x v="3"/>
    <n v="17"/>
    <s v="GGGG"/>
    <s v="Trent/Colin"/>
    <n v="128"/>
    <s v="MSGG"/>
    <s v="Graham/Michael"/>
    <n v="98.02"/>
    <s v="NONE"/>
    <n v="226.01999999999998"/>
    <n v="29.980000000000004"/>
    <x v="4"/>
    <x v="6"/>
    <s v="AWAY"/>
    <s v="HOME"/>
    <n v="128"/>
    <n v="98.02"/>
  </r>
  <r>
    <n v="344"/>
    <n v="392"/>
    <n v="176"/>
    <n v="222"/>
    <n v="149"/>
    <x v="5"/>
    <x v="3"/>
    <n v="18"/>
    <s v="CSRT"/>
    <s v="Clay/Ryan"/>
    <n v="109.38"/>
    <s v="DERS"/>
    <s v="Eric/Blake"/>
    <n v="128.36000000000001"/>
    <s v="NONE"/>
    <n v="237.74"/>
    <n v="18.980000000000018"/>
    <x v="5"/>
    <x v="8"/>
    <s v="HOME"/>
    <s v="AWAY"/>
    <n v="128.36000000000001"/>
    <n v="109.38"/>
  </r>
  <r>
    <n v="345"/>
    <n v="693"/>
    <n v="227"/>
    <n v="407"/>
    <n v="110"/>
    <x v="5"/>
    <x v="3"/>
    <n v="19"/>
    <s v="$MM$"/>
    <s v="Pat/Tucker"/>
    <n v="114.24"/>
    <s v="CPDL"/>
    <s v="Drew/Cam"/>
    <n v="114.26"/>
    <s v="NONE"/>
    <n v="228.5"/>
    <n v="2.0000000000010232E-2"/>
    <x v="6"/>
    <x v="9"/>
    <s v="HOME"/>
    <s v="AWAY"/>
    <n v="114.26"/>
    <n v="114.24"/>
  </r>
  <r>
    <n v="346"/>
    <n v="217"/>
    <n v="508"/>
    <n v="445"/>
    <n v="545"/>
    <x v="5"/>
    <x v="4"/>
    <n v="20"/>
    <s v="DKMB"/>
    <s v="David/Marshall"/>
    <n v="78.94"/>
    <s v="GGGG"/>
    <s v="Trent/Colin"/>
    <n v="111.58"/>
    <s v="NONE"/>
    <n v="190.51999999999998"/>
    <n v="32.64"/>
    <x v="4"/>
    <x v="4"/>
    <s v="HOME"/>
    <s v="AWAY"/>
    <n v="111.58"/>
    <n v="78.94"/>
  </r>
  <r>
    <n v="347"/>
    <n v="287"/>
    <n v="590"/>
    <n v="552"/>
    <n v="568"/>
    <x v="5"/>
    <x v="4"/>
    <n v="21"/>
    <s v="DBNG"/>
    <s v="Dave/Nolan"/>
    <n v="102.32"/>
    <s v="CSRT"/>
    <s v="Clay/Ryan"/>
    <n v="76.02"/>
    <s v="NONE"/>
    <n v="178.33999999999997"/>
    <n v="26.299999999999997"/>
    <x v="8"/>
    <x v="8"/>
    <s v="AWAY"/>
    <s v="HOME"/>
    <n v="102.32"/>
    <n v="76.02"/>
  </r>
  <r>
    <n v="348"/>
    <n v="536"/>
    <n v="128"/>
    <n v="236"/>
    <n v="74"/>
    <x v="5"/>
    <x v="4"/>
    <n v="22"/>
    <s v="HSOD"/>
    <s v="Brian/Travis"/>
    <n v="127.44"/>
    <s v="$MM$"/>
    <s v="Pat/Tucker"/>
    <n v="118"/>
    <s v="NONE"/>
    <n v="245.44"/>
    <n v="9.4399999999999977"/>
    <x v="7"/>
    <x v="9"/>
    <s v="AWAY"/>
    <s v="HOME"/>
    <n v="127.44"/>
    <n v="118"/>
  </r>
  <r>
    <n v="349"/>
    <n v="511"/>
    <n v="61"/>
    <n v="146"/>
    <n v="34"/>
    <x v="5"/>
    <x v="4"/>
    <n v="23"/>
    <s v="SACS"/>
    <s v="Walker/Cory"/>
    <n v="135.08000000000001"/>
    <s v="DERS"/>
    <s v="Eric/Blake"/>
    <n v="124.58"/>
    <s v="NONE"/>
    <n v="259.66000000000003"/>
    <n v="10.500000000000014"/>
    <x v="1"/>
    <x v="2"/>
    <s v="AWAY"/>
    <s v="HOME"/>
    <n v="135.08000000000001"/>
    <n v="124.58"/>
  </r>
  <r>
    <n v="350"/>
    <n v="510"/>
    <n v="545"/>
    <n v="589"/>
    <n v="431"/>
    <x v="5"/>
    <x v="4"/>
    <n v="24"/>
    <s v="MSGG"/>
    <s v="Graham/Michael"/>
    <n v="98.34"/>
    <s v="CPDL"/>
    <s v="Drew/Cam"/>
    <n v="87.8"/>
    <s v="NONE"/>
    <n v="186.14"/>
    <n v="10.540000000000006"/>
    <x v="0"/>
    <x v="0"/>
    <s v="AWAY"/>
    <s v="HOME"/>
    <n v="98.34"/>
    <n v="87.8"/>
  </r>
  <r>
    <n v="351"/>
    <n v="283"/>
    <n v="96"/>
    <n v="107"/>
    <n v="115"/>
    <x v="5"/>
    <x v="5"/>
    <n v="25"/>
    <s v="$MM$"/>
    <s v="Pat/Tucker"/>
    <n v="113.18"/>
    <s v="DERS"/>
    <s v="Eric/Blake"/>
    <n v="139.78"/>
    <s v="NONE"/>
    <n v="252.96"/>
    <n v="26.599999999999994"/>
    <x v="5"/>
    <x v="9"/>
    <s v="HOME"/>
    <s v="AWAY"/>
    <n v="139.78"/>
    <n v="113.18"/>
  </r>
  <r>
    <n v="352"/>
    <n v="176"/>
    <n v="68"/>
    <n v="70"/>
    <n v="138"/>
    <x v="5"/>
    <x v="5"/>
    <n v="26"/>
    <s v="CPDL"/>
    <s v="Drew/Cam"/>
    <n v="147.5"/>
    <s v="SACS"/>
    <s v="Walker/Cory"/>
    <n v="110.5"/>
    <s v="NONE"/>
    <n v="258"/>
    <n v="37"/>
    <x v="6"/>
    <x v="5"/>
    <s v="AWAY"/>
    <s v="HOME"/>
    <n v="147.5"/>
    <n v="110.5"/>
  </r>
  <r>
    <n v="353"/>
    <n v="439"/>
    <n v="558"/>
    <n v="565"/>
    <n v="490"/>
    <x v="5"/>
    <x v="5"/>
    <n v="27"/>
    <s v="MSGG"/>
    <s v="Graham/Michael"/>
    <n v="99.82"/>
    <s v="DBNG"/>
    <s v="Dave/Nolan"/>
    <n v="84.52"/>
    <s v="NONE"/>
    <n v="184.33999999999997"/>
    <n v="15.299999999999997"/>
    <x v="0"/>
    <x v="1"/>
    <s v="AWAY"/>
    <s v="HOME"/>
    <n v="99.82"/>
    <n v="84.52"/>
  </r>
  <r>
    <n v="354"/>
    <n v="393"/>
    <n v="671"/>
    <n v="663"/>
    <n v="652"/>
    <x v="5"/>
    <x v="5"/>
    <n v="28"/>
    <s v="HSOD"/>
    <s v="Brian/Travis"/>
    <n v="85.24"/>
    <s v="DKMB"/>
    <s v="David/Marshall"/>
    <n v="66.28"/>
    <s v="NONE"/>
    <n v="151.51999999999998"/>
    <n v="18.959999999999994"/>
    <x v="7"/>
    <x v="4"/>
    <s v="AWAY"/>
    <s v="HOME"/>
    <n v="85.24"/>
    <n v="66.28"/>
  </r>
  <r>
    <n v="355"/>
    <n v="640"/>
    <n v="139"/>
    <n v="285"/>
    <n v="60"/>
    <x v="5"/>
    <x v="5"/>
    <n v="29"/>
    <s v="GGGG"/>
    <s v="Trent/Colin"/>
    <n v="123.5"/>
    <s v="CSRT"/>
    <s v="Clay/Ryan"/>
    <n v="119.76"/>
    <s v="NONE"/>
    <n v="243.26"/>
    <n v="3.7399999999999949"/>
    <x v="4"/>
    <x v="8"/>
    <s v="AWAY"/>
    <s v="HOME"/>
    <n v="123.5"/>
    <n v="119.76"/>
  </r>
  <r>
    <n v="356"/>
    <n v="590"/>
    <n v="78"/>
    <n v="183"/>
    <n v="31"/>
    <x v="5"/>
    <x v="6"/>
    <n v="30"/>
    <s v="SACS"/>
    <s v="Walker/Cory"/>
    <n v="124.84"/>
    <s v="$MM$"/>
    <s v="Pat/Tucker"/>
    <n v="131.47999999999999"/>
    <s v="NONE"/>
    <n v="256.32"/>
    <n v="6.6399999999999864"/>
    <x v="2"/>
    <x v="5"/>
    <s v="HOME"/>
    <s v="AWAY"/>
    <n v="131.47999999999999"/>
    <n v="124.84"/>
  </r>
  <r>
    <n v="357"/>
    <n v="324"/>
    <n v="443"/>
    <n v="442"/>
    <n v="415"/>
    <x v="5"/>
    <x v="6"/>
    <n v="31"/>
    <s v="DBNG"/>
    <s v="Dave/Nolan"/>
    <n v="88.68"/>
    <s v="CPDL"/>
    <s v="Drew/Cam"/>
    <n v="111.76"/>
    <s v="NONE"/>
    <n v="200.44"/>
    <n v="23.08"/>
    <x v="6"/>
    <x v="1"/>
    <s v="HOME"/>
    <s v="AWAY"/>
    <n v="111.76"/>
    <n v="88.68"/>
  </r>
  <r>
    <n v="358"/>
    <n v="634"/>
    <n v="565"/>
    <n v="622"/>
    <n v="396"/>
    <x v="5"/>
    <x v="6"/>
    <n v="32"/>
    <s v="DKMB"/>
    <s v="David/Marshall"/>
    <n v="89.84"/>
    <s v="MSGG"/>
    <s v="Graham/Michael"/>
    <n v="94"/>
    <s v="NONE"/>
    <n v="183.84"/>
    <n v="4.1599999999999966"/>
    <x v="0"/>
    <x v="4"/>
    <s v="HOME"/>
    <s v="AWAY"/>
    <n v="94"/>
    <n v="89.84"/>
  </r>
  <r>
    <n v="359"/>
    <n v="473"/>
    <n v="387"/>
    <n v="462"/>
    <n v="290"/>
    <x v="5"/>
    <x v="6"/>
    <n v="33"/>
    <s v="CSRT"/>
    <s v="Clay/Ryan"/>
    <n v="110.3"/>
    <s v="HSOD"/>
    <s v="Brian/Travis"/>
    <n v="97.34"/>
    <s v="NONE"/>
    <n v="207.64"/>
    <n v="12.959999999999994"/>
    <x v="3"/>
    <x v="3"/>
    <s v="AWAY"/>
    <s v="HOME"/>
    <n v="110.3"/>
    <n v="97.34"/>
  </r>
  <r>
    <n v="360"/>
    <n v="438"/>
    <n v="8"/>
    <n v="37"/>
    <n v="8"/>
    <x v="5"/>
    <x v="6"/>
    <n v="34"/>
    <s v="DERS"/>
    <s v="Eric/Blake"/>
    <n v="155.02000000000001"/>
    <s v="GGGG"/>
    <s v="Trent/Colin"/>
    <n v="139.66"/>
    <s v="NONE"/>
    <n v="294.68"/>
    <n v="15.360000000000014"/>
    <x v="5"/>
    <x v="7"/>
    <s v="AWAY"/>
    <s v="HOME"/>
    <n v="155.02000000000001"/>
    <n v="139.66"/>
  </r>
  <r>
    <n v="361"/>
    <n v="571"/>
    <n v="660"/>
    <n v="676"/>
    <n v="600"/>
    <x v="5"/>
    <x v="7"/>
    <n v="35"/>
    <s v="$MM$"/>
    <s v="Pat/Tucker"/>
    <n v="81.099999999999994"/>
    <s v="DBNG"/>
    <s v="Dave/Nolan"/>
    <n v="73.5"/>
    <s v="NONE"/>
    <n v="154.6"/>
    <n v="7.5999999999999943"/>
    <x v="2"/>
    <x v="1"/>
    <s v="AWAY"/>
    <s v="HOME"/>
    <n v="81.099999999999994"/>
    <n v="73.5"/>
  </r>
  <r>
    <n v="362"/>
    <n v="303"/>
    <n v="414"/>
    <n v="405"/>
    <n v="400"/>
    <x v="5"/>
    <x v="7"/>
    <n v="36"/>
    <s v="CPDL"/>
    <s v="Drew/Cam"/>
    <n v="114.52"/>
    <s v="DKMB"/>
    <s v="David/Marshall"/>
    <n v="89.76"/>
    <s v="NONE"/>
    <n v="204.28"/>
    <n v="24.759999999999991"/>
    <x v="6"/>
    <x v="4"/>
    <s v="AWAY"/>
    <s v="HOME"/>
    <n v="114.52"/>
    <n v="89.76"/>
  </r>
  <r>
    <n v="363"/>
    <n v="547"/>
    <n v="174"/>
    <n v="293"/>
    <n v="106"/>
    <x v="5"/>
    <x v="7"/>
    <n v="37"/>
    <s v="MSGG"/>
    <s v="Graham/Michael"/>
    <n v="123.36"/>
    <s v="CSRT"/>
    <s v="Clay/Ryan"/>
    <n v="114.44"/>
    <s v="NONE"/>
    <n v="237.8"/>
    <n v="8.9200000000000017"/>
    <x v="0"/>
    <x v="8"/>
    <s v="AWAY"/>
    <s v="HOME"/>
    <n v="123.36"/>
    <n v="114.44"/>
  </r>
  <r>
    <n v="364"/>
    <n v="368"/>
    <n v="23"/>
    <n v="58"/>
    <n v="21"/>
    <x v="5"/>
    <x v="7"/>
    <n v="38"/>
    <s v="HSOD"/>
    <s v="Brian/Travis"/>
    <n v="149.76"/>
    <s v="DERS"/>
    <s v="Eric/Blake"/>
    <n v="129.12"/>
    <s v="NONE"/>
    <n v="278.88"/>
    <n v="20.639999999999986"/>
    <x v="7"/>
    <x v="2"/>
    <s v="AWAY"/>
    <s v="HOME"/>
    <n v="149.76"/>
    <n v="129.12"/>
  </r>
  <r>
    <n v="365"/>
    <n v="556"/>
    <n v="397"/>
    <n v="489"/>
    <n v="262"/>
    <x v="5"/>
    <x v="7"/>
    <n v="39"/>
    <s v="GGGG"/>
    <s v="Trent/Colin"/>
    <n v="99.1"/>
    <s v="SACS"/>
    <s v="Walker/Cory"/>
    <n v="107.34"/>
    <s v="NONE"/>
    <n v="206.44"/>
    <n v="8.2400000000000091"/>
    <x v="1"/>
    <x v="7"/>
    <s v="HOME"/>
    <s v="AWAY"/>
    <n v="107.34"/>
    <n v="99.1"/>
  </r>
  <r>
    <n v="366"/>
    <n v="99"/>
    <n v="133"/>
    <n v="80"/>
    <n v="270"/>
    <x v="5"/>
    <x v="8"/>
    <n v="40"/>
    <s v="DKMB"/>
    <s v="David/Marshall"/>
    <n v="98.76"/>
    <s v="$MM$"/>
    <s v="Pat/Tucker"/>
    <n v="145.82"/>
    <s v="NONE"/>
    <n v="244.57999999999998"/>
    <n v="47.059999999999988"/>
    <x v="2"/>
    <x v="4"/>
    <s v="HOME"/>
    <s v="AWAY"/>
    <n v="145.82"/>
    <n v="98.76"/>
  </r>
  <r>
    <n v="367"/>
    <n v="321"/>
    <n v="81"/>
    <n v="109"/>
    <n v="91"/>
    <x v="5"/>
    <x v="8"/>
    <n v="41"/>
    <s v="CSRT"/>
    <s v="Clay/Ryan"/>
    <n v="139.72"/>
    <s v="DBNG"/>
    <s v="Dave/Nolan"/>
    <n v="116.24"/>
    <s v="NONE"/>
    <n v="255.95999999999998"/>
    <n v="23.480000000000004"/>
    <x v="3"/>
    <x v="1"/>
    <s v="AWAY"/>
    <s v="HOME"/>
    <n v="139.72"/>
    <n v="116.24"/>
  </r>
  <r>
    <n v="368"/>
    <n v="310"/>
    <n v="252"/>
    <n v="270"/>
    <n v="237"/>
    <x v="5"/>
    <x v="8"/>
    <n v="42"/>
    <s v="CPDL"/>
    <s v="Drew/Cam"/>
    <n v="124.9"/>
    <s v="GGGG"/>
    <s v="Trent/Colin"/>
    <n v="100.88"/>
    <s v="NONE"/>
    <n v="225.78"/>
    <n v="24.02000000000001"/>
    <x v="6"/>
    <x v="7"/>
    <s v="AWAY"/>
    <s v="HOME"/>
    <n v="124.9"/>
    <n v="100.88"/>
  </r>
  <r>
    <n v="369"/>
    <n v="347"/>
    <n v="129"/>
    <n v="162"/>
    <n v="129"/>
    <x v="5"/>
    <x v="8"/>
    <n v="43"/>
    <s v="DERS"/>
    <s v="Eric/Blake"/>
    <n v="111.58"/>
    <s v="SACS"/>
    <s v="Walker/Cory"/>
    <n v="133.66"/>
    <s v="NONE"/>
    <n v="245.24"/>
    <n v="22.08"/>
    <x v="1"/>
    <x v="2"/>
    <s v="HOME"/>
    <s v="AWAY"/>
    <n v="133.66"/>
    <n v="111.58"/>
  </r>
  <r>
    <n v="370"/>
    <n v="141"/>
    <n v="557"/>
    <n v="418"/>
    <n v="625"/>
    <x v="5"/>
    <x v="8"/>
    <n v="44"/>
    <s v="MSGG"/>
    <s v="Graham/Michael"/>
    <n v="71.260000000000005"/>
    <s v="HSOD"/>
    <s v="Brian/Travis"/>
    <n v="113.14"/>
    <s v="NONE"/>
    <n v="184.4"/>
    <n v="41.879999999999995"/>
    <x v="7"/>
    <x v="6"/>
    <s v="HOME"/>
    <s v="AWAY"/>
    <n v="113.14"/>
    <n v="71.260000000000005"/>
  </r>
  <r>
    <n v="371"/>
    <n v="549"/>
    <n v="282"/>
    <n v="391"/>
    <n v="169"/>
    <x v="5"/>
    <x v="9"/>
    <n v="45"/>
    <s v="CSRT"/>
    <s v="Clay/Ryan"/>
    <n v="106.84"/>
    <s v="CPDL"/>
    <s v="Drew/Cam"/>
    <n v="115.6"/>
    <s v="NONE"/>
    <n v="222.44"/>
    <n v="8.7599999999999909"/>
    <x v="6"/>
    <x v="8"/>
    <s v="HOME"/>
    <s v="AWAY"/>
    <n v="115.6"/>
    <n v="106.84"/>
  </r>
  <r>
    <n v="372"/>
    <n v="117"/>
    <n v="275"/>
    <n v="161"/>
    <n v="404"/>
    <x v="5"/>
    <x v="9"/>
    <n v="46"/>
    <s v="DERS"/>
    <s v="Eric/Blake"/>
    <n v="133.76"/>
    <s v="DKMB"/>
    <s v="David/Marshall"/>
    <n v="89.52"/>
    <s v="NONE"/>
    <n v="223.27999999999997"/>
    <n v="44.239999999999995"/>
    <x v="5"/>
    <x v="4"/>
    <s v="AWAY"/>
    <s v="HOME"/>
    <n v="133.76"/>
    <n v="89.52"/>
  </r>
  <r>
    <n v="373"/>
    <n v="356"/>
    <n v="191"/>
    <n v="221"/>
    <n v="171"/>
    <x v="5"/>
    <x v="9"/>
    <n v="47"/>
    <s v="$MM$"/>
    <s v="Pat/Tucker"/>
    <n v="106.66"/>
    <s v="MSGG"/>
    <s v="Graham/Michael"/>
    <n v="128.4"/>
    <s v="NONE"/>
    <n v="235.06"/>
    <n v="21.740000000000009"/>
    <x v="0"/>
    <x v="9"/>
    <s v="HOME"/>
    <s v="AWAY"/>
    <n v="128.4"/>
    <n v="106.66"/>
  </r>
  <r>
    <n v="374"/>
    <n v="555"/>
    <n v="117"/>
    <n v="230"/>
    <n v="62"/>
    <x v="5"/>
    <x v="9"/>
    <n v="48"/>
    <s v="SACS"/>
    <s v="Walker/Cory"/>
    <n v="127.96"/>
    <s v="DBNG"/>
    <s v="Dave/Nolan"/>
    <n v="119.7"/>
    <s v="NONE"/>
    <n v="247.66"/>
    <n v="8.2599999999999909"/>
    <x v="1"/>
    <x v="1"/>
    <s v="AWAY"/>
    <s v="HOME"/>
    <n v="127.96"/>
    <n v="119.7"/>
  </r>
  <r>
    <n v="375"/>
    <n v="451"/>
    <n v="146"/>
    <n v="224"/>
    <n v="112"/>
    <x v="5"/>
    <x v="9"/>
    <n v="49"/>
    <s v="GGGG"/>
    <s v="Trent/Colin"/>
    <n v="128.22"/>
    <s v="HSOD"/>
    <s v="Brian/Travis"/>
    <n v="114.12"/>
    <s v="NONE"/>
    <n v="242.34"/>
    <n v="14.099999999999994"/>
    <x v="4"/>
    <x v="3"/>
    <s v="AWAY"/>
    <s v="HOME"/>
    <n v="128.22"/>
    <n v="114.12"/>
  </r>
  <r>
    <n v="376"/>
    <n v="86"/>
    <n v="26"/>
    <n v="26"/>
    <n v="114"/>
    <x v="5"/>
    <x v="10"/>
    <n v="50"/>
    <s v="DERS"/>
    <s v="Eric/Blake"/>
    <n v="162.62"/>
    <s v="MSGG"/>
    <s v="Graham/Michael"/>
    <n v="113.84"/>
    <s v="NONE"/>
    <n v="276.46000000000004"/>
    <n v="48.78"/>
    <x v="5"/>
    <x v="6"/>
    <s v="AWAY"/>
    <s v="HOME"/>
    <n v="162.62"/>
    <n v="113.84"/>
  </r>
  <r>
    <n v="377"/>
    <n v="625"/>
    <n v="101"/>
    <n v="223"/>
    <n v="41"/>
    <x v="5"/>
    <x v="10"/>
    <n v="51"/>
    <s v="CSRT"/>
    <s v="Clay/Ryan"/>
    <n v="123.5"/>
    <s v="SACS"/>
    <s v="Walker/Cory"/>
    <n v="128.28"/>
    <s v="NONE"/>
    <n v="251.78"/>
    <n v="4.7800000000000011"/>
    <x v="1"/>
    <x v="8"/>
    <s v="HOME"/>
    <s v="AWAY"/>
    <n v="128.28"/>
    <n v="123.5"/>
  </r>
  <r>
    <n v="378"/>
    <n v="413"/>
    <n v="261"/>
    <n v="324"/>
    <n v="198"/>
    <x v="5"/>
    <x v="10"/>
    <n v="52"/>
    <s v="HSOD"/>
    <s v="Brian/Travis"/>
    <n v="121.02"/>
    <s v="CPDL"/>
    <s v="Drew/Cam"/>
    <n v="103.54"/>
    <s v="NONE"/>
    <n v="224.56"/>
    <n v="17.47999999999999"/>
    <x v="7"/>
    <x v="0"/>
    <s v="AWAY"/>
    <s v="HOME"/>
    <n v="121.02"/>
    <n v="103.54"/>
  </r>
  <r>
    <n v="379"/>
    <n v="131"/>
    <n v="307"/>
    <n v="200"/>
    <n v="434"/>
    <x v="5"/>
    <x v="10"/>
    <n v="53"/>
    <s v="DKMB"/>
    <s v="David/Marshall"/>
    <n v="87.64"/>
    <s v="DBNG"/>
    <s v="Dave/Nolan"/>
    <n v="130.02000000000001"/>
    <s v="NONE"/>
    <n v="217.66000000000003"/>
    <n v="42.38000000000001"/>
    <x v="8"/>
    <x v="4"/>
    <s v="HOME"/>
    <s v="AWAY"/>
    <n v="130.02000000000001"/>
    <n v="87.64"/>
  </r>
  <r>
    <n v="380"/>
    <n v="609"/>
    <n v="253"/>
    <n v="390"/>
    <n v="145"/>
    <x v="5"/>
    <x v="10"/>
    <n v="54"/>
    <s v="GGGG"/>
    <s v="Trent/Colin"/>
    <n v="109.88"/>
    <s v="$MM$"/>
    <s v="Pat/Tucker"/>
    <n v="115.62"/>
    <s v="NONE"/>
    <n v="225.5"/>
    <n v="5.7400000000000091"/>
    <x v="2"/>
    <x v="7"/>
    <s v="HOME"/>
    <s v="AWAY"/>
    <n v="115.62"/>
    <n v="109.88"/>
  </r>
  <r>
    <n v="381"/>
    <n v="103"/>
    <n v="114"/>
    <n v="71"/>
    <n v="236"/>
    <x v="5"/>
    <x v="11"/>
    <n v="55"/>
    <s v="SACS"/>
    <s v="Walker/Cory"/>
    <n v="100.92"/>
    <s v="HSOD"/>
    <s v="Brian/Travis"/>
    <n v="147.22"/>
    <s v="NONE"/>
    <n v="248.14"/>
    <n v="46.3"/>
    <x v="7"/>
    <x v="5"/>
    <s v="HOME"/>
    <s v="AWAY"/>
    <n v="147.22"/>
    <n v="100.92"/>
  </r>
  <r>
    <n v="382"/>
    <n v="628"/>
    <n v="417"/>
    <n v="528"/>
    <n v="256"/>
    <x v="5"/>
    <x v="11"/>
    <n v="56"/>
    <s v="DBNG"/>
    <s v="Dave/Nolan"/>
    <n v="99.64"/>
    <s v="DERS"/>
    <s v="Eric/Blake"/>
    <n v="104.18"/>
    <s v="NONE"/>
    <n v="203.82"/>
    <n v="4.5400000000000063"/>
    <x v="5"/>
    <x v="1"/>
    <s v="HOME"/>
    <s v="AWAY"/>
    <n v="104.18"/>
    <n v="99.64"/>
  </r>
  <r>
    <n v="383"/>
    <n v="493"/>
    <n v="103"/>
    <n v="184"/>
    <n v="59"/>
    <x v="5"/>
    <x v="11"/>
    <n v="57"/>
    <s v="MSGG"/>
    <s v="Graham/Michael"/>
    <n v="119.78"/>
    <s v="GGGG"/>
    <s v="Trent/Colin"/>
    <n v="131.34"/>
    <s v="NONE"/>
    <n v="251.12"/>
    <n v="11.560000000000002"/>
    <x v="4"/>
    <x v="6"/>
    <s v="HOME"/>
    <s v="AWAY"/>
    <n v="131.34"/>
    <n v="119.78"/>
  </r>
  <r>
    <n v="384"/>
    <n v="370"/>
    <n v="262"/>
    <n v="310"/>
    <n v="223"/>
    <x v="5"/>
    <x v="11"/>
    <n v="58"/>
    <s v="DKMB"/>
    <s v="David/Marshall"/>
    <n v="101.96"/>
    <s v="CSRT"/>
    <s v="Clay/Ryan"/>
    <n v="122.48"/>
    <s v="NONE"/>
    <n v="224.44"/>
    <n v="20.52000000000001"/>
    <x v="3"/>
    <x v="4"/>
    <s v="HOME"/>
    <s v="AWAY"/>
    <n v="122.48"/>
    <n v="101.96"/>
  </r>
  <r>
    <n v="385"/>
    <n v="452"/>
    <n v="122"/>
    <n v="197"/>
    <n v="90"/>
    <x v="5"/>
    <x v="11"/>
    <n v="59"/>
    <s v="CPDL"/>
    <s v="Drew/Cam"/>
    <n v="130.38"/>
    <s v="$MM$"/>
    <s v="Pat/Tucker"/>
    <n v="116.3"/>
    <s v="NONE"/>
    <n v="246.68"/>
    <n v="14.079999999999998"/>
    <x v="6"/>
    <x v="9"/>
    <s v="AWAY"/>
    <s v="HOME"/>
    <n v="130.38"/>
    <n v="116.3"/>
  </r>
  <r>
    <n v="386"/>
    <n v="401"/>
    <n v="122"/>
    <n v="177"/>
    <n v="113"/>
    <x v="5"/>
    <x v="12"/>
    <n v="60"/>
    <s v="DBNG"/>
    <s v="Dave/Nolan"/>
    <n v="132.58000000000001"/>
    <s v="GGGG"/>
    <s v="Trent/Colin"/>
    <n v="114.1"/>
    <s v="NONE"/>
    <n v="246.68"/>
    <n v="18.480000000000018"/>
    <x v="8"/>
    <x v="7"/>
    <s v="AWAY"/>
    <s v="HOME"/>
    <n v="132.58000000000001"/>
    <n v="114.1"/>
  </r>
  <r>
    <n v="387"/>
    <n v="182"/>
    <n v="422"/>
    <n v="340"/>
    <n v="506"/>
    <x v="5"/>
    <x v="12"/>
    <n v="61"/>
    <s v="SACS"/>
    <s v="Walker/Cory"/>
    <n v="120.12"/>
    <s v="DKMB"/>
    <s v="David/Marshall"/>
    <n v="83.26"/>
    <s v="NONE"/>
    <n v="203.38"/>
    <n v="36.86"/>
    <x v="1"/>
    <x v="4"/>
    <s v="AWAY"/>
    <s v="HOME"/>
    <n v="120.12"/>
    <n v="83.26"/>
  </r>
  <r>
    <n v="388"/>
    <n v="13"/>
    <n v="655"/>
    <n v="377"/>
    <n v="694"/>
    <x v="5"/>
    <x v="12"/>
    <n v="62"/>
    <s v="$MM$"/>
    <s v="Pat/Tucker"/>
    <n v="43.36"/>
    <s v="HSOD"/>
    <s v="Brian/Travis"/>
    <n v="116.58"/>
    <s v="NONE"/>
    <n v="159.94"/>
    <n v="73.22"/>
    <x v="7"/>
    <x v="9"/>
    <s v="HOME"/>
    <s v="AWAY"/>
    <n v="116.58"/>
    <n v="43.36"/>
  </r>
  <r>
    <n v="389"/>
    <n v="495"/>
    <n v="136"/>
    <n v="235"/>
    <n v="92"/>
    <x v="5"/>
    <x v="12"/>
    <n v="63"/>
    <s v="DERS"/>
    <s v="Eric/Blake"/>
    <n v="127.46"/>
    <s v="CSRT"/>
    <s v="Clay/Ryan"/>
    <n v="116.1"/>
    <s v="NONE"/>
    <n v="243.56"/>
    <n v="11.36"/>
    <x v="5"/>
    <x v="8"/>
    <s v="AWAY"/>
    <s v="HOME"/>
    <n v="127.46"/>
    <n v="116.1"/>
  </r>
  <r>
    <n v="390"/>
    <n v="223"/>
    <n v="637"/>
    <n v="577"/>
    <n v="653"/>
    <x v="5"/>
    <x v="12"/>
    <n v="64"/>
    <s v="CPDL"/>
    <s v="Drew/Cam"/>
    <n v="66.239999999999995"/>
    <s v="MSGG"/>
    <s v="Graham/Michael"/>
    <n v="98.54"/>
    <s v="NONE"/>
    <n v="164.78"/>
    <n v="32.300000000000011"/>
    <x v="0"/>
    <x v="0"/>
    <s v="HOME"/>
    <s v="AWAY"/>
    <n v="98.54"/>
    <n v="66.239999999999995"/>
  </r>
  <r>
    <n v="391"/>
    <n v="7"/>
    <n v="159"/>
    <n v="22"/>
    <n v="558"/>
    <x v="6"/>
    <x v="0"/>
    <n v="0"/>
    <s v="CSRT"/>
    <s v="Clay/Ryan"/>
    <n v="163.32"/>
    <s v="$MM$"/>
    <s v="Pat/Tucker"/>
    <n v="77.319999999999993"/>
    <s v="NONE"/>
    <n v="240.64"/>
    <n v="86"/>
    <x v="3"/>
    <x v="9"/>
    <s v="AWAY"/>
    <s v="HOME"/>
    <n v="163.32"/>
    <n v="77.319999999999993"/>
  </r>
  <r>
    <n v="392"/>
    <n v="315"/>
    <n v="322"/>
    <n v="344"/>
    <n v="316"/>
    <x v="6"/>
    <x v="0"/>
    <n v="1"/>
    <s v="DKMB"/>
    <s v="David/Marshall"/>
    <n v="95.9"/>
    <s v="DERS"/>
    <s v="Eric/Blake"/>
    <n v="119.82"/>
    <s v="NONE"/>
    <n v="215.72"/>
    <n v="23.919999999999987"/>
    <x v="5"/>
    <x v="4"/>
    <s v="HOME"/>
    <s v="AWAY"/>
    <n v="119.82"/>
    <n v="95.9"/>
  </r>
  <r>
    <n v="393"/>
    <n v="362"/>
    <n v="630"/>
    <n v="621"/>
    <n v="609"/>
    <x v="6"/>
    <x v="0"/>
    <n v="2"/>
    <s v="ODEL"/>
    <s v="Trent/Colin"/>
    <n v="73"/>
    <s v="CPDL"/>
    <s v="Drew/Cam"/>
    <n v="94.04"/>
    <s v="NONE"/>
    <n v="167.04000000000002"/>
    <n v="21.040000000000006"/>
    <x v="6"/>
    <x v="7"/>
    <s v="HOME"/>
    <s v="AWAY"/>
    <n v="94.04"/>
    <n v="73"/>
  </r>
  <r>
    <n v="394"/>
    <n v="75"/>
    <n v="11"/>
    <n v="10"/>
    <n v="56"/>
    <x v="6"/>
    <x v="0"/>
    <n v="3"/>
    <s v="DBNG"/>
    <s v="Dave/Nolan"/>
    <n v="170.8"/>
    <s v="SACS"/>
    <s v="Walker/Cory"/>
    <n v="120.16"/>
    <s v="NONE"/>
    <n v="290.96000000000004"/>
    <n v="50.640000000000015"/>
    <x v="8"/>
    <x v="5"/>
    <s v="AWAY"/>
    <s v="HOME"/>
    <n v="170.8"/>
    <n v="120.16"/>
  </r>
  <r>
    <n v="395"/>
    <n v="121"/>
    <n v="106"/>
    <n v="73"/>
    <n v="205"/>
    <x v="6"/>
    <x v="0"/>
    <n v="4"/>
    <s v="HSOD"/>
    <s v="Brian/Travis"/>
    <n v="103.4"/>
    <s v="LUCK"/>
    <s v="Graham/Michael"/>
    <n v="147.16"/>
    <s v="NONE"/>
    <n v="250.56"/>
    <n v="43.759999999999991"/>
    <x v="0"/>
    <x v="3"/>
    <s v="HOME"/>
    <s v="AWAY"/>
    <n v="147.16"/>
    <n v="103.4"/>
  </r>
  <r>
    <n v="396"/>
    <n v="417"/>
    <n v="389"/>
    <n v="434"/>
    <n v="321"/>
    <x v="6"/>
    <x v="1"/>
    <n v="5"/>
    <s v="DERS"/>
    <s v="Eric/Blake"/>
    <n v="95.16"/>
    <s v="CPDL"/>
    <s v="Drew/Cam"/>
    <n v="112.32"/>
    <s v="NONE"/>
    <n v="207.48"/>
    <n v="17.159999999999997"/>
    <x v="6"/>
    <x v="2"/>
    <s v="HOME"/>
    <s v="AWAY"/>
    <n v="112.32"/>
    <n v="95.16"/>
  </r>
  <r>
    <n v="397"/>
    <n v="529"/>
    <n v="289"/>
    <n v="392"/>
    <n v="173"/>
    <x v="6"/>
    <x v="1"/>
    <n v="6"/>
    <s v="SACS"/>
    <s v="Walker/Cory"/>
    <n v="115.5"/>
    <s v="CSRT"/>
    <s v="Clay/Ryan"/>
    <n v="105.84"/>
    <s v="NONE"/>
    <n v="221.34"/>
    <n v="9.6599999999999966"/>
    <x v="1"/>
    <x v="8"/>
    <s v="AWAY"/>
    <s v="HOME"/>
    <n v="115.5"/>
    <n v="105.84"/>
  </r>
  <r>
    <n v="398"/>
    <n v="411"/>
    <n v="304"/>
    <n v="362"/>
    <n v="245"/>
    <x v="6"/>
    <x v="1"/>
    <n v="7"/>
    <s v="LUCK"/>
    <s v="Graham/Michael"/>
    <n v="100.38"/>
    <s v="$MM$"/>
    <s v="Pat/Tucker"/>
    <n v="117.92"/>
    <s v="NONE"/>
    <n v="218.3"/>
    <n v="17.540000000000006"/>
    <x v="2"/>
    <x v="6"/>
    <s v="HOME"/>
    <s v="AWAY"/>
    <n v="117.92"/>
    <n v="100.38"/>
  </r>
  <r>
    <n v="399"/>
    <n v="677"/>
    <n v="116"/>
    <n v="280"/>
    <n v="43"/>
    <x v="6"/>
    <x v="1"/>
    <n v="8"/>
    <s v="DBNG"/>
    <s v="Dave/Nolan"/>
    <n v="124.36"/>
    <s v="DKMB"/>
    <s v="David/Marshall"/>
    <n v="123.32"/>
    <s v="NONE"/>
    <n v="247.68"/>
    <n v="1.0400000000000063"/>
    <x v="8"/>
    <x v="4"/>
    <s v="AWAY"/>
    <s v="HOME"/>
    <n v="124.36"/>
    <n v="123.32"/>
  </r>
  <r>
    <n v="400"/>
    <n v="566"/>
    <n v="388"/>
    <n v="481"/>
    <n v="251"/>
    <x v="6"/>
    <x v="1"/>
    <n v="9"/>
    <s v="HSOD"/>
    <s v="Brian/Travis"/>
    <n v="99.86"/>
    <s v="ODEL"/>
    <s v="Trent/Colin"/>
    <n v="107.7"/>
    <s v="NONE"/>
    <n v="207.56"/>
    <n v="7.8400000000000034"/>
    <x v="4"/>
    <x v="3"/>
    <s v="HOME"/>
    <s v="AWAY"/>
    <n v="107.7"/>
    <n v="99.86"/>
  </r>
  <r>
    <n v="401"/>
    <n v="557"/>
    <n v="9"/>
    <n v="55"/>
    <n v="6"/>
    <x v="6"/>
    <x v="2"/>
    <n v="10"/>
    <s v="SACS"/>
    <s v="Walker/Cory"/>
    <n v="142.26"/>
    <s v="LUCK"/>
    <s v="Graham/Michael"/>
    <n v="150.47999999999999"/>
    <s v="NONE"/>
    <n v="292.74"/>
    <n v="8.2199999999999989"/>
    <x v="0"/>
    <x v="5"/>
    <s v="HOME"/>
    <s v="AWAY"/>
    <n v="150.47999999999999"/>
    <n v="142.26"/>
  </r>
  <r>
    <n v="402"/>
    <n v="204"/>
    <n v="172"/>
    <n v="139"/>
    <n v="224"/>
    <x v="6"/>
    <x v="2"/>
    <n v="11"/>
    <s v="DERS"/>
    <s v="Eric/Blake"/>
    <n v="101.9"/>
    <s v="DBNG"/>
    <s v="Dave/Nolan"/>
    <n v="136.04"/>
    <s v="NONE"/>
    <n v="237.94"/>
    <n v="34.139999999999986"/>
    <x v="8"/>
    <x v="2"/>
    <s v="HOME"/>
    <s v="AWAY"/>
    <n v="136.04"/>
    <n v="101.9"/>
  </r>
  <r>
    <n v="403"/>
    <n v="98"/>
    <n v="371"/>
    <n v="224"/>
    <n v="534"/>
    <x v="6"/>
    <x v="2"/>
    <n v="12"/>
    <s v="CPDL"/>
    <s v="Drew/Cam"/>
    <n v="128.22"/>
    <s v="HSOD"/>
    <s v="Brian/Travis"/>
    <n v="80.739999999999995"/>
    <s v="NONE"/>
    <n v="208.95999999999998"/>
    <n v="47.480000000000004"/>
    <x v="6"/>
    <x v="3"/>
    <s v="AWAY"/>
    <s v="HOME"/>
    <n v="128.22"/>
    <n v="80.739999999999995"/>
  </r>
  <r>
    <n v="404"/>
    <n v="522"/>
    <n v="104"/>
    <n v="190"/>
    <n v="55"/>
    <x v="6"/>
    <x v="2"/>
    <n v="13"/>
    <s v="CSRT"/>
    <s v="Clay/Ryan"/>
    <n v="120.36"/>
    <s v="DKMB"/>
    <s v="David/Marshall"/>
    <n v="130.54"/>
    <s v="NONE"/>
    <n v="250.89999999999998"/>
    <n v="10.179999999999993"/>
    <x v="9"/>
    <x v="8"/>
    <s v="HOME"/>
    <s v="AWAY"/>
    <n v="130.54"/>
    <n v="120.36"/>
  </r>
  <r>
    <n v="405"/>
    <n v="16"/>
    <n v="138"/>
    <n v="34"/>
    <n v="446"/>
    <x v="6"/>
    <x v="2"/>
    <n v="14"/>
    <s v="$MM$"/>
    <s v="Pat/Tucker"/>
    <n v="156.36000000000001"/>
    <s v="ODEL"/>
    <s v="Trent/Colin"/>
    <n v="87.1"/>
    <s v="NONE"/>
    <n v="243.46"/>
    <n v="69.260000000000019"/>
    <x v="2"/>
    <x v="7"/>
    <s v="AWAY"/>
    <s v="HOME"/>
    <n v="156.36000000000001"/>
    <n v="87.1"/>
  </r>
  <r>
    <n v="406"/>
    <n v="403"/>
    <n v="198"/>
    <n v="253"/>
    <n v="161"/>
    <x v="6"/>
    <x v="3"/>
    <n v="15"/>
    <s v="DBNG"/>
    <s v="Dave/Nolan"/>
    <n v="126.22"/>
    <s v="HSOD"/>
    <s v="Brian/Travis"/>
    <n v="108"/>
    <s v="NONE"/>
    <n v="234.22"/>
    <n v="18.22"/>
    <x v="8"/>
    <x v="3"/>
    <s v="AWAY"/>
    <s v="HOME"/>
    <n v="126.22"/>
    <n v="108"/>
  </r>
  <r>
    <n v="407"/>
    <n v="479"/>
    <n v="520"/>
    <n v="560"/>
    <n v="419"/>
    <x v="6"/>
    <x v="3"/>
    <n v="16"/>
    <s v="DKMB"/>
    <s v="David/Marshall"/>
    <n v="100.4"/>
    <s v="SACS"/>
    <s v="Walker/Cory"/>
    <n v="88.28"/>
    <s v="NONE"/>
    <n v="188.68"/>
    <n v="12.120000000000005"/>
    <x v="9"/>
    <x v="5"/>
    <s v="AWAY"/>
    <s v="HOME"/>
    <n v="100.4"/>
    <n v="88.28"/>
  </r>
  <r>
    <n v="408"/>
    <n v="443"/>
    <n v="110"/>
    <n v="181"/>
    <n v="82"/>
    <x v="6"/>
    <x v="3"/>
    <n v="17"/>
    <s v="ODEL"/>
    <s v="Trent/Colin"/>
    <n v="132"/>
    <s v="LUCK"/>
    <s v="Graham/Michael"/>
    <n v="117.18"/>
    <s v="NONE"/>
    <n v="249.18"/>
    <n v="14.819999999999993"/>
    <x v="4"/>
    <x v="6"/>
    <s v="AWAY"/>
    <s v="HOME"/>
    <n v="132"/>
    <n v="117.18"/>
  </r>
  <r>
    <n v="409"/>
    <n v="72"/>
    <n v="559"/>
    <n v="364"/>
    <n v="650"/>
    <x v="6"/>
    <x v="3"/>
    <n v="18"/>
    <s v="CSRT"/>
    <s v="Clay/Ryan"/>
    <n v="117.6"/>
    <s v="DERS"/>
    <s v="Eric/Blake"/>
    <n v="66.540000000000006"/>
    <s v="NONE"/>
    <n v="184.14"/>
    <n v="51.059999999999988"/>
    <x v="3"/>
    <x v="2"/>
    <s v="AWAY"/>
    <s v="HOME"/>
    <n v="117.6"/>
    <n v="66.540000000000006"/>
  </r>
  <r>
    <n v="410"/>
    <n v="551"/>
    <n v="327"/>
    <n v="444"/>
    <n v="209"/>
    <x v="6"/>
    <x v="3"/>
    <n v="19"/>
    <s v="$MM$"/>
    <s v="Pat/Tucker"/>
    <n v="103.1"/>
    <s v="CPDL"/>
    <s v="Drew/Cam"/>
    <n v="111.68"/>
    <s v="NONE"/>
    <n v="214.78"/>
    <n v="8.5800000000000125"/>
    <x v="6"/>
    <x v="9"/>
    <s v="HOME"/>
    <s v="AWAY"/>
    <n v="111.68"/>
    <n v="103.1"/>
  </r>
  <r>
    <n v="411"/>
    <n v="651"/>
    <n v="177"/>
    <n v="336"/>
    <n v="81"/>
    <x v="6"/>
    <x v="4"/>
    <n v="20"/>
    <s v="DKMB"/>
    <s v="David/Marshall"/>
    <n v="120.42"/>
    <s v="ODEL"/>
    <s v="Trent/Colin"/>
    <n v="117.24"/>
    <s v="NONE"/>
    <n v="237.66"/>
    <n v="3.1800000000000068"/>
    <x v="9"/>
    <x v="7"/>
    <s v="AWAY"/>
    <s v="HOME"/>
    <n v="120.42"/>
    <n v="117.24"/>
  </r>
  <r>
    <n v="412"/>
    <n v="309"/>
    <n v="2"/>
    <n v="5"/>
    <n v="3"/>
    <x v="6"/>
    <x v="4"/>
    <n v="21"/>
    <s v="DBNG"/>
    <s v="Dave/Nolan"/>
    <n v="152.41999999999999"/>
    <s v="CSRT"/>
    <s v="Clay/Ryan"/>
    <n v="176.56"/>
    <s v="NONE"/>
    <n v="328.98"/>
    <n v="24.140000000000015"/>
    <x v="3"/>
    <x v="1"/>
    <s v="HOME"/>
    <s v="AWAY"/>
    <n v="176.56"/>
    <n v="152.41999999999999"/>
  </r>
  <r>
    <n v="413"/>
    <n v="294"/>
    <n v="405"/>
    <n v="396"/>
    <n v="396"/>
    <x v="6"/>
    <x v="4"/>
    <n v="22"/>
    <s v="HSOD"/>
    <s v="Brian/Travis"/>
    <n v="115.34"/>
    <s v="$MM$"/>
    <s v="Pat/Tucker"/>
    <n v="89.84"/>
    <s v="NONE"/>
    <n v="205.18"/>
    <n v="25.5"/>
    <x v="7"/>
    <x v="9"/>
    <s v="AWAY"/>
    <s v="HOME"/>
    <n v="115.34"/>
    <n v="89.84"/>
  </r>
  <r>
    <n v="414"/>
    <n v="504"/>
    <n v="419"/>
    <n v="490"/>
    <n v="307"/>
    <x v="6"/>
    <x v="4"/>
    <n v="23"/>
    <s v="SACS"/>
    <s v="Walker/Cory"/>
    <n v="96.3"/>
    <s v="DERS"/>
    <s v="Eric/Blake"/>
    <n v="107.22"/>
    <s v="NONE"/>
    <n v="203.51999999999998"/>
    <n v="10.920000000000002"/>
    <x v="5"/>
    <x v="5"/>
    <s v="HOME"/>
    <s v="AWAY"/>
    <n v="107.22"/>
    <n v="96.3"/>
  </r>
  <r>
    <n v="415"/>
    <n v="89"/>
    <n v="60"/>
    <n v="40"/>
    <n v="174"/>
    <x v="6"/>
    <x v="4"/>
    <n v="24"/>
    <s v="LUCK"/>
    <s v="Graham/Michael"/>
    <n v="105.76"/>
    <s v="CPDL"/>
    <s v="Drew/Cam"/>
    <n v="154.1"/>
    <s v="NONE"/>
    <n v="259.86"/>
    <n v="48.339999999999989"/>
    <x v="6"/>
    <x v="6"/>
    <s v="HOME"/>
    <s v="AWAY"/>
    <n v="154.1"/>
    <n v="105.76"/>
  </r>
  <r>
    <n v="416"/>
    <n v="649"/>
    <n v="495"/>
    <n v="588"/>
    <n v="322"/>
    <x v="6"/>
    <x v="5"/>
    <n v="25"/>
    <s v="$MM$"/>
    <s v="Pat/Tucker"/>
    <n v="98.46"/>
    <s v="DERS"/>
    <s v="Eric/Blake"/>
    <n v="95.1"/>
    <s v="NONE"/>
    <n v="193.56"/>
    <n v="3.3599999999999994"/>
    <x v="2"/>
    <x v="2"/>
    <s v="AWAY"/>
    <s v="HOME"/>
    <n v="98.46"/>
    <n v="95.1"/>
  </r>
  <r>
    <n v="417"/>
    <n v="91"/>
    <n v="288"/>
    <n v="147"/>
    <n v="458"/>
    <x v="6"/>
    <x v="5"/>
    <n v="26"/>
    <s v="CPDL"/>
    <s v="Drew/Cam"/>
    <n v="86.62"/>
    <s v="SACS"/>
    <s v="Walker/Cory"/>
    <n v="134.74"/>
    <s v="NONE"/>
    <n v="221.36"/>
    <n v="48.120000000000005"/>
    <x v="1"/>
    <x v="0"/>
    <s v="HOME"/>
    <s v="AWAY"/>
    <n v="134.74"/>
    <n v="86.62"/>
  </r>
  <r>
    <n v="418"/>
    <n v="591"/>
    <n v="398"/>
    <n v="502"/>
    <n v="252"/>
    <x v="6"/>
    <x v="5"/>
    <n v="27"/>
    <s v="LUCK"/>
    <s v="Graham/Michael"/>
    <n v="106.44"/>
    <s v="DBNG"/>
    <s v="Dave/Nolan"/>
    <n v="99.82"/>
    <s v="NONE"/>
    <n v="206.26"/>
    <n v="6.6200000000000045"/>
    <x v="0"/>
    <x v="1"/>
    <s v="AWAY"/>
    <s v="HOME"/>
    <n v="106.44"/>
    <n v="99.82"/>
  </r>
  <r>
    <n v="419"/>
    <n v="653"/>
    <n v="12"/>
    <n v="81"/>
    <n v="5"/>
    <x v="6"/>
    <x v="5"/>
    <n v="28"/>
    <s v="HSOD"/>
    <s v="Brian/Travis"/>
    <n v="142.4"/>
    <s v="DKMB"/>
    <s v="David/Marshall"/>
    <n v="145.5"/>
    <s v="NONE"/>
    <n v="287.89999999999998"/>
    <n v="3.0999999999999943"/>
    <x v="9"/>
    <x v="3"/>
    <s v="HOME"/>
    <s v="AWAY"/>
    <n v="145.5"/>
    <n v="142.4"/>
  </r>
  <r>
    <n v="420"/>
    <n v="493"/>
    <n v="161"/>
    <n v="256"/>
    <n v="107"/>
    <x v="6"/>
    <x v="5"/>
    <n v="29"/>
    <s v="ODEL"/>
    <s v="Trent/Colin"/>
    <n v="125.9"/>
    <s v="CSRT"/>
    <s v="Clay/Ryan"/>
    <n v="114.34"/>
    <s v="NONE"/>
    <n v="240.24"/>
    <n v="11.560000000000002"/>
    <x v="4"/>
    <x v="8"/>
    <s v="AWAY"/>
    <s v="HOME"/>
    <n v="125.9"/>
    <n v="114.34"/>
  </r>
  <r>
    <n v="421"/>
    <n v="244"/>
    <n v="278"/>
    <n v="245"/>
    <n v="309"/>
    <x v="6"/>
    <x v="6"/>
    <n v="30"/>
    <s v="SACS"/>
    <s v="Walker/Cory"/>
    <n v="96.26"/>
    <s v="$MM$"/>
    <s v="Pat/Tucker"/>
    <n v="126.54"/>
    <s v="NONE"/>
    <n v="222.8"/>
    <n v="30.28"/>
    <x v="2"/>
    <x v="5"/>
    <s v="HOME"/>
    <s v="AWAY"/>
    <n v="126.54"/>
    <n v="96.26"/>
  </r>
  <r>
    <n v="422"/>
    <n v="133"/>
    <n v="532"/>
    <n v="403"/>
    <n v="617"/>
    <x v="6"/>
    <x v="6"/>
    <n v="31"/>
    <s v="DBNG"/>
    <s v="Dave/Nolan"/>
    <n v="114.76"/>
    <s v="CPDL"/>
    <s v="Drew/Cam"/>
    <n v="72.62"/>
    <s v="NONE"/>
    <n v="187.38"/>
    <n v="42.14"/>
    <x v="8"/>
    <x v="0"/>
    <s v="AWAY"/>
    <s v="HOME"/>
    <n v="114.76"/>
    <n v="72.62"/>
  </r>
  <r>
    <n v="423"/>
    <n v="185"/>
    <n v="223"/>
    <n v="169"/>
    <n v="304"/>
    <x v="6"/>
    <x v="6"/>
    <n v="32"/>
    <s v="DKMB"/>
    <s v="David/Marshall"/>
    <n v="96.44"/>
    <s v="LUCK"/>
    <s v="Graham/Michael"/>
    <n v="133.02000000000001"/>
    <s v="NONE"/>
    <n v="229.46"/>
    <n v="36.580000000000013"/>
    <x v="0"/>
    <x v="4"/>
    <s v="HOME"/>
    <s v="AWAY"/>
    <n v="133.02000000000001"/>
    <n v="96.44"/>
  </r>
  <r>
    <n v="424"/>
    <n v="492"/>
    <n v="601"/>
    <n v="630"/>
    <n v="522"/>
    <x v="6"/>
    <x v="6"/>
    <n v="33"/>
    <s v="CSRT"/>
    <s v="Clay/Ryan"/>
    <n v="81.64"/>
    <s v="HSOD"/>
    <s v="Brian/Travis"/>
    <n v="93.42"/>
    <s v="NONE"/>
    <n v="175.06"/>
    <n v="11.780000000000001"/>
    <x v="7"/>
    <x v="8"/>
    <s v="HOME"/>
    <s v="AWAY"/>
    <n v="93.42"/>
    <n v="81.64"/>
  </r>
  <r>
    <n v="425"/>
    <n v="36"/>
    <n v="640"/>
    <n v="439"/>
    <n v="689"/>
    <x v="6"/>
    <x v="6"/>
    <n v="34"/>
    <s v="DERS"/>
    <s v="Eric/Blake"/>
    <n v="51.56"/>
    <s v="ODEL"/>
    <s v="Trent/Colin"/>
    <n v="111.88"/>
    <s v="NONE"/>
    <n v="163.44"/>
    <n v="60.319999999999993"/>
    <x v="4"/>
    <x v="2"/>
    <s v="HOME"/>
    <s v="AWAY"/>
    <n v="111.88"/>
    <n v="51.56"/>
  </r>
  <r>
    <n v="426"/>
    <n v="77"/>
    <n v="15"/>
    <n v="12"/>
    <n v="72"/>
    <x v="6"/>
    <x v="7"/>
    <n v="35"/>
    <s v="$MM$"/>
    <s v="Pat/Tucker"/>
    <n v="168.76"/>
    <s v="DBNG"/>
    <s v="Dave/Nolan"/>
    <n v="118.18"/>
    <s v="NONE"/>
    <n v="286.94"/>
    <n v="50.579999999999984"/>
    <x v="2"/>
    <x v="1"/>
    <s v="AWAY"/>
    <s v="HOME"/>
    <n v="168.76"/>
    <n v="118.18"/>
  </r>
  <r>
    <n v="427"/>
    <n v="475"/>
    <n v="466"/>
    <n v="510"/>
    <n v="353"/>
    <x v="6"/>
    <x v="7"/>
    <n v="36"/>
    <s v="CPDL"/>
    <s v="Drew/Cam"/>
    <n v="105.52"/>
    <s v="DKMB"/>
    <s v="David/Marshall"/>
    <n v="92.68"/>
    <s v="NONE"/>
    <n v="198.2"/>
    <n v="12.839999999999989"/>
    <x v="6"/>
    <x v="4"/>
    <s v="AWAY"/>
    <s v="HOME"/>
    <n v="105.52"/>
    <n v="92.68"/>
  </r>
  <r>
    <n v="428"/>
    <n v="289"/>
    <n v="66"/>
    <n v="92"/>
    <n v="92"/>
    <x v="6"/>
    <x v="7"/>
    <n v="37"/>
    <s v="LUCK"/>
    <s v="Graham/Michael"/>
    <n v="142.13999999999999"/>
    <s v="CSRT"/>
    <s v="Clay/Ryan"/>
    <n v="116.1"/>
    <s v="NONE"/>
    <n v="258.24"/>
    <n v="26.039999999999992"/>
    <x v="0"/>
    <x v="8"/>
    <s v="AWAY"/>
    <s v="HOME"/>
    <n v="142.13999999999999"/>
    <n v="116.1"/>
  </r>
  <r>
    <n v="429"/>
    <n v="460"/>
    <n v="54"/>
    <n v="126"/>
    <n v="40"/>
    <x v="6"/>
    <x v="7"/>
    <n v="38"/>
    <s v="HSOD"/>
    <s v="Brian/Travis"/>
    <n v="137.56"/>
    <s v="DERS"/>
    <s v="Eric/Blake"/>
    <n v="123.6"/>
    <s v="NONE"/>
    <n v="261.15999999999997"/>
    <n v="13.960000000000008"/>
    <x v="7"/>
    <x v="2"/>
    <s v="AWAY"/>
    <s v="HOME"/>
    <n v="137.56"/>
    <n v="123.6"/>
  </r>
  <r>
    <n v="430"/>
    <n v="377"/>
    <n v="515"/>
    <n v="521"/>
    <n v="489"/>
    <x v="6"/>
    <x v="7"/>
    <n v="39"/>
    <s v="ODEL"/>
    <s v="Trent/Colin"/>
    <n v="84.86"/>
    <s v="SACS"/>
    <s v="Walker/Cory"/>
    <n v="104.96"/>
    <s v="NONE"/>
    <n v="189.82"/>
    <n v="20.099999999999994"/>
    <x v="1"/>
    <x v="7"/>
    <s v="HOME"/>
    <s v="AWAY"/>
    <n v="104.96"/>
    <n v="84.86"/>
  </r>
  <r>
    <n v="431"/>
    <n v="140"/>
    <n v="55"/>
    <n v="51"/>
    <n v="148"/>
    <x v="6"/>
    <x v="8"/>
    <n v="40"/>
    <s v="DKMB"/>
    <s v="David/Marshall"/>
    <n v="109.42"/>
    <s v="$MM$"/>
    <s v="Pat/Tucker"/>
    <n v="151.4"/>
    <s v="NONE"/>
    <n v="260.82"/>
    <n v="41.980000000000004"/>
    <x v="2"/>
    <x v="4"/>
    <s v="HOME"/>
    <s v="AWAY"/>
    <n v="151.4"/>
    <n v="109.42"/>
  </r>
  <r>
    <n v="432"/>
    <n v="382"/>
    <n v="155"/>
    <n v="189"/>
    <n v="136"/>
    <x v="6"/>
    <x v="8"/>
    <n v="41"/>
    <s v="CSRT"/>
    <s v="Clay/Ryan"/>
    <n v="110.7"/>
    <s v="DBNG"/>
    <s v="Dave/Nolan"/>
    <n v="130.58000000000001"/>
    <s v="NONE"/>
    <n v="241.28000000000003"/>
    <n v="19.88000000000001"/>
    <x v="8"/>
    <x v="8"/>
    <s v="HOME"/>
    <s v="AWAY"/>
    <n v="130.58000000000001"/>
    <n v="110.7"/>
  </r>
  <r>
    <n v="433"/>
    <n v="268"/>
    <n v="486"/>
    <n v="452"/>
    <n v="507"/>
    <x v="6"/>
    <x v="8"/>
    <n v="42"/>
    <s v="CPDL"/>
    <s v="Drew/Cam"/>
    <n v="83.16"/>
    <s v="ODEL"/>
    <s v="Trent/Colin"/>
    <n v="111.3"/>
    <s v="NONE"/>
    <n v="194.45999999999998"/>
    <n v="28.14"/>
    <x v="4"/>
    <x v="0"/>
    <s v="HOME"/>
    <s v="AWAY"/>
    <n v="111.3"/>
    <n v="83.16"/>
  </r>
  <r>
    <n v="434"/>
    <n v="641"/>
    <n v="661"/>
    <n v="681"/>
    <n v="577"/>
    <x v="6"/>
    <x v="8"/>
    <n v="43"/>
    <s v="DERS"/>
    <s v="Eric/Blake"/>
    <n v="79.040000000000006"/>
    <s v="SACS"/>
    <s v="Walker/Cory"/>
    <n v="75.36"/>
    <s v="NONE"/>
    <n v="154.4"/>
    <n v="3.6800000000000068"/>
    <x v="5"/>
    <x v="5"/>
    <s v="AWAY"/>
    <s v="HOME"/>
    <n v="79.040000000000006"/>
    <n v="75.36"/>
  </r>
  <r>
    <n v="435"/>
    <n v="225"/>
    <n v="56"/>
    <n v="77"/>
    <n v="108"/>
    <x v="6"/>
    <x v="8"/>
    <n v="44"/>
    <s v="LUCK"/>
    <s v="Graham/Michael"/>
    <n v="114.32"/>
    <s v="HSOD"/>
    <s v="Brian/Travis"/>
    <n v="146.34"/>
    <s v="NONE"/>
    <n v="260.65999999999997"/>
    <n v="32.02000000000001"/>
    <x v="7"/>
    <x v="6"/>
    <s v="HOME"/>
    <s v="AWAY"/>
    <n v="146.34"/>
    <n v="114.32"/>
  </r>
  <r>
    <n v="436"/>
    <n v="173"/>
    <n v="399"/>
    <n v="317"/>
    <n v="492"/>
    <x v="6"/>
    <x v="9"/>
    <n v="45"/>
    <s v="CSRT"/>
    <s v="Clay/Ryan"/>
    <n v="121.7"/>
    <s v="CPDL"/>
    <s v="Drew/Cam"/>
    <n v="84.38"/>
    <s v="NONE"/>
    <n v="206.07999999999998"/>
    <n v="37.320000000000007"/>
    <x v="3"/>
    <x v="0"/>
    <s v="AWAY"/>
    <s v="HOME"/>
    <n v="121.7"/>
    <n v="84.38"/>
  </r>
  <r>
    <n v="437"/>
    <n v="432"/>
    <n v="679"/>
    <n v="675"/>
    <n v="656"/>
    <x v="6"/>
    <x v="9"/>
    <n v="46"/>
    <s v="DERS"/>
    <s v="Eric/Blake"/>
    <n v="65.52"/>
    <s v="DKMB"/>
    <s v="David/Marshall"/>
    <n v="81.38"/>
    <s v="NONE"/>
    <n v="146.89999999999998"/>
    <n v="15.86"/>
    <x v="9"/>
    <x v="2"/>
    <s v="HOME"/>
    <s v="AWAY"/>
    <n v="81.38"/>
    <n v="65.52"/>
  </r>
  <r>
    <n v="438"/>
    <n v="206"/>
    <n v="245"/>
    <n v="199"/>
    <n v="312"/>
    <x v="6"/>
    <x v="9"/>
    <n v="47"/>
    <s v="$MM$"/>
    <s v="Pat/Tucker"/>
    <n v="96.08"/>
    <s v="LUCK"/>
    <s v="Graham/Michael"/>
    <n v="130.12"/>
    <s v="NONE"/>
    <n v="226.2"/>
    <n v="34.040000000000006"/>
    <x v="0"/>
    <x v="9"/>
    <s v="HOME"/>
    <s v="AWAY"/>
    <n v="130.12"/>
    <n v="96.08"/>
  </r>
  <r>
    <n v="439"/>
    <n v="19"/>
    <n v="131"/>
    <n v="31"/>
    <n v="419"/>
    <x v="6"/>
    <x v="9"/>
    <n v="48"/>
    <s v="SACS"/>
    <s v="Walker/Cory"/>
    <n v="88.28"/>
    <s v="DBNG"/>
    <s v="Dave/Nolan"/>
    <n v="156.68"/>
    <s v="NONE"/>
    <n v="244.96"/>
    <n v="68.400000000000006"/>
    <x v="8"/>
    <x v="5"/>
    <s v="HOME"/>
    <s v="AWAY"/>
    <n v="156.68"/>
    <n v="88.28"/>
  </r>
  <r>
    <n v="440"/>
    <n v="690"/>
    <n v="17"/>
    <n v="101"/>
    <n v="7"/>
    <x v="6"/>
    <x v="9"/>
    <n v="49"/>
    <s v="ODEL"/>
    <s v="Trent/Colin"/>
    <n v="140.84"/>
    <s v="HSOD"/>
    <s v="Brian/Travis"/>
    <n v="140.72"/>
    <s v="NONE"/>
    <n v="281.56"/>
    <n v="0.12000000000000455"/>
    <x v="4"/>
    <x v="3"/>
    <s v="AWAY"/>
    <s v="HOME"/>
    <n v="140.84"/>
    <n v="140.72"/>
  </r>
  <r>
    <n v="441"/>
    <n v="184"/>
    <n v="346"/>
    <n v="283"/>
    <n v="442"/>
    <x v="6"/>
    <x v="10"/>
    <n v="50"/>
    <s v="DERS"/>
    <s v="Eric/Blake"/>
    <n v="87.42"/>
    <s v="LUCK"/>
    <s v="Graham/Michael"/>
    <n v="124.08"/>
    <s v="NONE"/>
    <n v="211.5"/>
    <n v="36.659999999999997"/>
    <x v="0"/>
    <x v="2"/>
    <s v="HOME"/>
    <s v="AWAY"/>
    <n v="124.08"/>
    <n v="87.42"/>
  </r>
  <r>
    <n v="442"/>
    <n v="324"/>
    <n v="59"/>
    <n v="94"/>
    <n v="70"/>
    <x v="6"/>
    <x v="10"/>
    <n v="51"/>
    <s v="CSRT"/>
    <s v="Clay/Ryan"/>
    <n v="118.46"/>
    <s v="SACS"/>
    <s v="Walker/Cory"/>
    <n v="141.54"/>
    <s v="NONE"/>
    <n v="260"/>
    <n v="23.08"/>
    <x v="1"/>
    <x v="8"/>
    <s v="HOME"/>
    <s v="AWAY"/>
    <n v="141.54"/>
    <n v="118.46"/>
  </r>
  <r>
    <n v="443"/>
    <n v="48"/>
    <n v="550"/>
    <n v="321"/>
    <n v="662"/>
    <x v="6"/>
    <x v="10"/>
    <n v="52"/>
    <s v="HSOD"/>
    <s v="Brian/Travis"/>
    <n v="64.16"/>
    <s v="CPDL"/>
    <s v="Drew/Cam"/>
    <n v="121.32"/>
    <s v="NONE"/>
    <n v="185.48"/>
    <n v="57.16"/>
    <x v="6"/>
    <x v="3"/>
    <s v="HOME"/>
    <s v="AWAY"/>
    <n v="121.32"/>
    <n v="64.16"/>
  </r>
  <r>
    <n v="444"/>
    <n v="627"/>
    <n v="297"/>
    <n v="433"/>
    <n v="163"/>
    <x v="6"/>
    <x v="10"/>
    <n v="53"/>
    <s v="DKMB"/>
    <s v="David/Marshall"/>
    <n v="107.76"/>
    <s v="DBNG"/>
    <s v="Dave/Nolan"/>
    <n v="112.36"/>
    <s v="NONE"/>
    <n v="220.12"/>
    <n v="4.5999999999999943"/>
    <x v="8"/>
    <x v="4"/>
    <s v="HOME"/>
    <s v="AWAY"/>
    <n v="112.36"/>
    <n v="107.76"/>
  </r>
  <r>
    <n v="445"/>
    <n v="175"/>
    <n v="459"/>
    <n v="361"/>
    <n v="531"/>
    <x v="6"/>
    <x v="10"/>
    <n v="54"/>
    <s v="ODEL"/>
    <s v="Trent/Colin"/>
    <n v="117.94"/>
    <s v="$MM$"/>
    <s v="Pat/Tucker"/>
    <n v="80.88"/>
    <s v="NONE"/>
    <n v="198.82"/>
    <n v="37.06"/>
    <x v="4"/>
    <x v="9"/>
    <s v="AWAY"/>
    <s v="HOME"/>
    <n v="117.94"/>
    <n v="80.88"/>
  </r>
  <r>
    <n v="446"/>
    <n v="112"/>
    <n v="615"/>
    <n v="475"/>
    <n v="664"/>
    <x v="6"/>
    <x v="11"/>
    <n v="55"/>
    <s v="SACS"/>
    <s v="Walker/Cory"/>
    <n v="63.04"/>
    <s v="HSOD"/>
    <s v="Brian/Travis"/>
    <n v="108.52"/>
    <s v="NONE"/>
    <n v="171.56"/>
    <n v="45.48"/>
    <x v="7"/>
    <x v="5"/>
    <s v="HOME"/>
    <s v="AWAY"/>
    <n v="108.52"/>
    <n v="63.04"/>
  </r>
  <r>
    <n v="447"/>
    <n v="165"/>
    <n v="686"/>
    <n v="645"/>
    <n v="685"/>
    <x v="6"/>
    <x v="11"/>
    <n v="56"/>
    <s v="DBNG"/>
    <s v="Dave/Nolan"/>
    <n v="90.48"/>
    <s v="DERS"/>
    <s v="Eric/Blake"/>
    <n v="52.16"/>
    <s v="NONE"/>
    <n v="142.63999999999999"/>
    <n v="38.320000000000007"/>
    <x v="8"/>
    <x v="2"/>
    <s v="AWAY"/>
    <s v="HOME"/>
    <n v="90.48"/>
    <n v="52.16"/>
  </r>
  <r>
    <n v="448"/>
    <n v="531"/>
    <n v="40"/>
    <n v="112"/>
    <n v="18"/>
    <x v="6"/>
    <x v="11"/>
    <n v="57"/>
    <s v="LUCK"/>
    <s v="Graham/Michael"/>
    <n v="139.46"/>
    <s v="ODEL"/>
    <s v="Trent/Colin"/>
    <n v="129.88"/>
    <s v="NONE"/>
    <n v="269.34000000000003"/>
    <n v="9.5800000000000125"/>
    <x v="0"/>
    <x v="7"/>
    <s v="AWAY"/>
    <s v="HOME"/>
    <n v="139.46"/>
    <n v="129.88"/>
  </r>
  <r>
    <n v="449"/>
    <n v="262"/>
    <n v="334"/>
    <n v="331"/>
    <n v="359"/>
    <x v="6"/>
    <x v="11"/>
    <n v="58"/>
    <s v="DKMB"/>
    <s v="David/Marshall"/>
    <n v="92.3"/>
    <s v="CSRT"/>
    <s v="Clay/Ryan"/>
    <n v="120.88"/>
    <s v="NONE"/>
    <n v="213.18"/>
    <n v="28.58"/>
    <x v="3"/>
    <x v="4"/>
    <s v="HOME"/>
    <s v="AWAY"/>
    <n v="120.88"/>
    <n v="92.3"/>
  </r>
  <r>
    <n v="450"/>
    <n v="221"/>
    <n v="344"/>
    <n v="311"/>
    <n v="395"/>
    <x v="6"/>
    <x v="11"/>
    <n v="59"/>
    <s v="CPDL"/>
    <s v="Drew/Cam"/>
    <n v="89.94"/>
    <s v="$MM$"/>
    <s v="Pat/Tucker"/>
    <n v="122.4"/>
    <s v="NONE"/>
    <n v="212.34"/>
    <n v="32.460000000000008"/>
    <x v="2"/>
    <x v="0"/>
    <s v="HOME"/>
    <s v="AWAY"/>
    <n v="122.4"/>
    <n v="89.94"/>
  </r>
  <r>
    <n v="451"/>
    <n v="57"/>
    <n v="548"/>
    <n v="342"/>
    <n v="654"/>
    <x v="6"/>
    <x v="12"/>
    <n v="60"/>
    <s v="DBNG"/>
    <s v="Dave/Nolan"/>
    <n v="120.1"/>
    <s v="ODEL"/>
    <s v="Trent/Colin"/>
    <n v="65.7"/>
    <s v="NONE"/>
    <n v="185.8"/>
    <n v="54.399999999999991"/>
    <x v="8"/>
    <x v="7"/>
    <s v="AWAY"/>
    <s v="HOME"/>
    <n v="120.1"/>
    <n v="65.7"/>
  </r>
  <r>
    <n v="452"/>
    <n v="656"/>
    <n v="178"/>
    <n v="339"/>
    <n v="78"/>
    <x v="6"/>
    <x v="12"/>
    <n v="61"/>
    <s v="SACS"/>
    <s v="Walker/Cory"/>
    <n v="120.28"/>
    <s v="DKMB"/>
    <s v="David/Marshall"/>
    <n v="117.3"/>
    <s v="NONE"/>
    <n v="237.57999999999998"/>
    <n v="2.980000000000004"/>
    <x v="1"/>
    <x v="4"/>
    <s v="AWAY"/>
    <s v="HOME"/>
    <n v="120.28"/>
    <n v="117.3"/>
  </r>
  <r>
    <n v="453"/>
    <n v="212"/>
    <n v="237"/>
    <n v="197"/>
    <n v="291"/>
    <x v="6"/>
    <x v="12"/>
    <n v="62"/>
    <s v="$MM$"/>
    <s v="Pat/Tucker"/>
    <n v="97.2"/>
    <s v="HSOD"/>
    <s v="Brian/Travis"/>
    <n v="130.38"/>
    <s v="NONE"/>
    <n v="227.57999999999998"/>
    <n v="33.179999999999993"/>
    <x v="7"/>
    <x v="9"/>
    <s v="HOME"/>
    <s v="AWAY"/>
    <n v="130.38"/>
    <n v="97.2"/>
  </r>
  <r>
    <n v="454"/>
    <n v="465"/>
    <n v="189"/>
    <n v="281"/>
    <n v="134"/>
    <x v="6"/>
    <x v="12"/>
    <n v="63"/>
    <s v="DERS"/>
    <s v="Eric/Blake"/>
    <n v="111.12"/>
    <s v="CSRT"/>
    <s v="Clay/Ryan"/>
    <n v="124.34"/>
    <s v="NONE"/>
    <n v="235.46"/>
    <n v="13.219999999999999"/>
    <x v="3"/>
    <x v="2"/>
    <s v="HOME"/>
    <s v="AWAY"/>
    <n v="124.34"/>
    <n v="111.12"/>
  </r>
  <r>
    <n v="455"/>
    <n v="367"/>
    <n v="469"/>
    <n v="472"/>
    <n v="422"/>
    <x v="6"/>
    <x v="12"/>
    <n v="64"/>
    <s v="CPDL"/>
    <s v="Drew/Cam"/>
    <n v="108.86"/>
    <s v="LUCK"/>
    <s v="Graham/Michael"/>
    <n v="88.14"/>
    <s v="NONE"/>
    <n v="197"/>
    <n v="20.72"/>
    <x v="6"/>
    <x v="6"/>
    <s v="AWAY"/>
    <s v="HOME"/>
    <n v="108.86"/>
    <n v="88.14"/>
  </r>
  <r>
    <n v="456"/>
    <n v="489"/>
    <n v="65"/>
    <n v="145"/>
    <n v="44"/>
    <x v="7"/>
    <x v="0"/>
    <n v="0"/>
    <s v="CSRT"/>
    <s v="Clay/Ryan"/>
    <n v="123.2"/>
    <s v="SJ"/>
    <s v="Pat/Tucker"/>
    <n v="135.13999999999999"/>
    <s v="NONE"/>
    <n v="258.33999999999997"/>
    <n v="11.939999999999984"/>
    <x v="2"/>
    <x v="8"/>
    <s v="HOME"/>
    <s v="AWAY"/>
    <n v="135.13999999999999"/>
    <n v="123.2"/>
  </r>
  <r>
    <n v="457"/>
    <n v="445"/>
    <n v="297"/>
    <n v="368"/>
    <n v="213"/>
    <x v="7"/>
    <x v="0"/>
    <n v="1"/>
    <s v="DKMB"/>
    <s v="David/Marshall"/>
    <n v="117.36"/>
    <s v="DERS"/>
    <s v="Eric/Blake"/>
    <n v="102.76"/>
    <s v="NONE"/>
    <n v="220.12"/>
    <n v="14.599999999999994"/>
    <x v="9"/>
    <x v="2"/>
    <s v="AWAY"/>
    <s v="HOME"/>
    <n v="117.36"/>
    <n v="102.76"/>
  </r>
  <r>
    <n v="458"/>
    <n v="158"/>
    <n v="284"/>
    <n v="196"/>
    <n v="368"/>
    <x v="7"/>
    <x v="0"/>
    <n v="2"/>
    <s v="TpCp"/>
    <s v="Trent/Colin"/>
    <n v="130.41999999999999"/>
    <s v="CPDL"/>
    <s v="Drew/Cam"/>
    <n v="91.68"/>
    <s v="NONE"/>
    <n v="222.1"/>
    <n v="38.739999999999981"/>
    <x v="4"/>
    <x v="0"/>
    <s v="AWAY"/>
    <s v="HOME"/>
    <n v="130.41999999999999"/>
    <n v="91.68"/>
  </r>
  <r>
    <n v="459"/>
    <n v="240"/>
    <n v="226"/>
    <n v="204"/>
    <n v="261"/>
    <x v="7"/>
    <x v="0"/>
    <n v="3"/>
    <s v="DBNG"/>
    <s v="Dave/Nolan"/>
    <n v="129.69999999999999"/>
    <s v="SACS"/>
    <s v="Walker/Cory"/>
    <n v="99.18"/>
    <s v="NONE"/>
    <n v="228.88"/>
    <n v="30.519999999999982"/>
    <x v="8"/>
    <x v="5"/>
    <s v="AWAY"/>
    <s v="HOME"/>
    <n v="129.69999999999999"/>
    <n v="99.18"/>
  </r>
  <r>
    <n v="460"/>
    <n v="332"/>
    <n v="487"/>
    <n v="476"/>
    <n v="472"/>
    <x v="7"/>
    <x v="0"/>
    <n v="4"/>
    <s v="HSOD"/>
    <s v="Brian/Travis"/>
    <n v="85.74"/>
    <s v="MSG"/>
    <s v="Graham/Michael"/>
    <n v="108.5"/>
    <s v="NONE"/>
    <n v="194.24"/>
    <n v="22.760000000000005"/>
    <x v="0"/>
    <x v="3"/>
    <s v="HOME"/>
    <s v="AWAY"/>
    <n v="108.5"/>
    <n v="85.74"/>
  </r>
  <r>
    <n v="461"/>
    <n v="476"/>
    <n v="236"/>
    <n v="338"/>
    <n v="164"/>
    <x v="7"/>
    <x v="1"/>
    <n v="5"/>
    <s v="DERS"/>
    <s v="Eric/Blake"/>
    <n v="107.52"/>
    <s v="CPDL"/>
    <s v="Drew/Cam"/>
    <n v="120.3"/>
    <s v="NONE"/>
    <n v="227.82"/>
    <n v="12.780000000000001"/>
    <x v="6"/>
    <x v="2"/>
    <s v="HOME"/>
    <s v="AWAY"/>
    <n v="120.3"/>
    <n v="107.52"/>
  </r>
  <r>
    <n v="462"/>
    <n v="569"/>
    <n v="135"/>
    <n v="256"/>
    <n v="71"/>
    <x v="7"/>
    <x v="1"/>
    <n v="6"/>
    <s v="SACS"/>
    <s v="Walker/Cory"/>
    <n v="118.28"/>
    <s v="CSRT"/>
    <s v="Clay/Ryan"/>
    <n v="125.9"/>
    <s v="NONE"/>
    <n v="244.18"/>
    <n v="7.6200000000000045"/>
    <x v="3"/>
    <x v="5"/>
    <s v="HOME"/>
    <s v="AWAY"/>
    <n v="125.9"/>
    <n v="118.28"/>
  </r>
  <r>
    <n v="463"/>
    <n v="143"/>
    <n v="35"/>
    <n v="30"/>
    <n v="101"/>
    <x v="7"/>
    <x v="1"/>
    <n v="7"/>
    <s v="MSG"/>
    <s v="Graham/Michael"/>
    <n v="115.16"/>
    <s v="SJ"/>
    <s v="Pat/Tucker"/>
    <n v="156.69999999999999"/>
    <s v="NONE"/>
    <n v="271.86"/>
    <n v="41.539999999999992"/>
    <x v="2"/>
    <x v="6"/>
    <s v="HOME"/>
    <s v="AWAY"/>
    <n v="156.69999999999999"/>
    <n v="115.16"/>
  </r>
  <r>
    <n v="464"/>
    <n v="64"/>
    <n v="17"/>
    <n v="15"/>
    <n v="109"/>
    <x v="7"/>
    <x v="1"/>
    <n v="8"/>
    <s v="DBNG"/>
    <s v="Dave/Nolan"/>
    <n v="114.28"/>
    <s v="DKMB"/>
    <s v="David/Marshall"/>
    <n v="167.28"/>
    <s v="NONE"/>
    <n v="281.56"/>
    <n v="53"/>
    <x v="9"/>
    <x v="1"/>
    <s v="HOME"/>
    <s v="AWAY"/>
    <n v="167.28"/>
    <n v="114.28"/>
  </r>
  <r>
    <n v="465"/>
    <n v="9"/>
    <n v="214"/>
    <n v="38"/>
    <n v="578"/>
    <x v="7"/>
    <x v="1"/>
    <n v="9"/>
    <s v="HSOD"/>
    <s v="Brian/Travis"/>
    <n v="154.97999999999999"/>
    <s v="TpCp"/>
    <s v="Trent/Colin"/>
    <n v="75.099999999999994"/>
    <s v="NONE"/>
    <n v="230.07999999999998"/>
    <n v="79.88"/>
    <x v="7"/>
    <x v="7"/>
    <s v="AWAY"/>
    <s v="HOME"/>
    <n v="154.97999999999999"/>
    <n v="75.099999999999994"/>
  </r>
  <r>
    <n v="466"/>
    <n v="498"/>
    <n v="168"/>
    <n v="262"/>
    <n v="111"/>
    <x v="7"/>
    <x v="2"/>
    <n v="10"/>
    <s v="SACS"/>
    <s v="Walker/Cory"/>
    <n v="125.3"/>
    <s v="MSG"/>
    <s v="Graham/Michael"/>
    <n v="114.18"/>
    <s v="NONE"/>
    <n v="239.48000000000002"/>
    <n v="11.11999999999999"/>
    <x v="1"/>
    <x v="6"/>
    <s v="AWAY"/>
    <s v="HOME"/>
    <n v="125.3"/>
    <n v="114.18"/>
  </r>
  <r>
    <n v="467"/>
    <n v="151"/>
    <n v="31"/>
    <n v="32"/>
    <n v="88"/>
    <x v="7"/>
    <x v="2"/>
    <n v="11"/>
    <s v="DERS"/>
    <s v="Eric/Blake"/>
    <n v="116.42"/>
    <s v="DBNG"/>
    <s v="Dave/Nolan"/>
    <n v="156.6"/>
    <s v="NONE"/>
    <n v="273.02"/>
    <n v="40.179999999999993"/>
    <x v="8"/>
    <x v="2"/>
    <s v="HOME"/>
    <s v="AWAY"/>
    <n v="156.6"/>
    <n v="116.42"/>
  </r>
  <r>
    <n v="468"/>
    <n v="421"/>
    <n v="264"/>
    <n v="333"/>
    <n v="197"/>
    <x v="7"/>
    <x v="2"/>
    <n v="12"/>
    <s v="CPDL"/>
    <s v="Drew/Cam"/>
    <n v="103.64"/>
    <s v="HSOD"/>
    <s v="Brian/Travis"/>
    <n v="120.6"/>
    <s v="NONE"/>
    <n v="224.24"/>
    <n v="16.959999999999994"/>
    <x v="7"/>
    <x v="0"/>
    <s v="HOME"/>
    <s v="AWAY"/>
    <n v="120.6"/>
    <n v="103.64"/>
  </r>
  <r>
    <n v="469"/>
    <n v="111"/>
    <n v="201"/>
    <n v="113"/>
    <n v="344"/>
    <x v="7"/>
    <x v="2"/>
    <n v="13"/>
    <s v="CSRT"/>
    <s v="Clay/Ryan"/>
    <n v="93.8"/>
    <s v="DKMB"/>
    <s v="David/Marshall"/>
    <n v="139.28"/>
    <s v="NONE"/>
    <n v="233.07999999999998"/>
    <n v="45.480000000000004"/>
    <x v="9"/>
    <x v="8"/>
    <s v="HOME"/>
    <s v="AWAY"/>
    <n v="139.28"/>
    <n v="93.8"/>
  </r>
  <r>
    <n v="470"/>
    <n v="462"/>
    <n v="84"/>
    <n v="154"/>
    <n v="52"/>
    <x v="7"/>
    <x v="2"/>
    <n v="14"/>
    <s v="SJ"/>
    <s v="Pat/Tucker"/>
    <n v="134.28"/>
    <s v="TpCp"/>
    <s v="Trent/Colin"/>
    <n v="120.76"/>
    <s v="NONE"/>
    <n v="255.04000000000002"/>
    <n v="13.519999999999996"/>
    <x v="2"/>
    <x v="7"/>
    <s v="AWAY"/>
    <s v="HOME"/>
    <n v="134.28"/>
    <n v="120.76"/>
  </r>
  <r>
    <n v="471"/>
    <n v="194"/>
    <n v="147"/>
    <n v="118"/>
    <n v="199"/>
    <x v="7"/>
    <x v="3"/>
    <n v="15"/>
    <s v="DBNG"/>
    <s v="Dave/Nolan"/>
    <n v="103.52"/>
    <s v="HSOD"/>
    <s v="Brian/Travis"/>
    <n v="138.63999999999999"/>
    <s v="NONE"/>
    <n v="242.15999999999997"/>
    <n v="35.11999999999999"/>
    <x v="7"/>
    <x v="1"/>
    <s v="HOME"/>
    <s v="AWAY"/>
    <n v="138.63999999999999"/>
    <n v="103.52"/>
  </r>
  <r>
    <n v="472"/>
    <n v="348"/>
    <n v="16"/>
    <n v="45"/>
    <n v="17"/>
    <x v="7"/>
    <x v="3"/>
    <n v="16"/>
    <s v="DKMB"/>
    <s v="David/Marshall"/>
    <n v="152.66"/>
    <s v="SACS"/>
    <s v="Walker/Cory"/>
    <n v="130.6"/>
    <s v="NONE"/>
    <n v="283.26"/>
    <n v="22.060000000000002"/>
    <x v="9"/>
    <x v="5"/>
    <s v="AWAY"/>
    <s v="HOME"/>
    <n v="152.66"/>
    <n v="130.6"/>
  </r>
  <r>
    <n v="473"/>
    <n v="691"/>
    <n v="393"/>
    <n v="539"/>
    <n v="208"/>
    <x v="7"/>
    <x v="3"/>
    <n v="17"/>
    <s v="TpCp"/>
    <s v="Trent/Colin"/>
    <n v="103.2"/>
    <s v="MSG"/>
    <s v="Graham/Michael"/>
    <n v="103.32"/>
    <s v="NONE"/>
    <n v="206.51999999999998"/>
    <n v="0.11999999999999034"/>
    <x v="0"/>
    <x v="7"/>
    <s v="HOME"/>
    <s v="AWAY"/>
    <n v="103.32"/>
    <n v="103.2"/>
  </r>
  <r>
    <n v="474"/>
    <n v="253"/>
    <n v="432"/>
    <n v="388"/>
    <n v="467"/>
    <x v="7"/>
    <x v="3"/>
    <n v="18"/>
    <s v="CSRT"/>
    <s v="Clay/Ryan"/>
    <n v="115.96"/>
    <s v="DERS"/>
    <s v="Eric/Blake"/>
    <n v="86.3"/>
    <s v="NONE"/>
    <n v="202.26"/>
    <n v="29.659999999999997"/>
    <x v="3"/>
    <x v="2"/>
    <s v="AWAY"/>
    <s v="HOME"/>
    <n v="115.96"/>
    <n v="86.3"/>
  </r>
  <r>
    <n v="475"/>
    <n v="118"/>
    <n v="6"/>
    <n v="9"/>
    <n v="23"/>
    <x v="7"/>
    <x v="3"/>
    <n v="19"/>
    <s v="SJ"/>
    <s v="Pat/Tucker"/>
    <n v="171.38"/>
    <s v="CPDL"/>
    <s v="Drew/Cam"/>
    <n v="127.22"/>
    <s v="NONE"/>
    <n v="298.60000000000002"/>
    <n v="44.16"/>
    <x v="2"/>
    <x v="0"/>
    <s v="AWAY"/>
    <s v="HOME"/>
    <n v="171.38"/>
    <n v="127.22"/>
  </r>
  <r>
    <n v="476"/>
    <n v="409"/>
    <n v="507"/>
    <n v="527"/>
    <n v="466"/>
    <x v="7"/>
    <x v="4"/>
    <n v="20"/>
    <s v="DKMB"/>
    <s v="David/Marshall"/>
    <n v="104.44"/>
    <s v="TpCp"/>
    <s v="Trent/Colin"/>
    <n v="86.46"/>
    <s v="NONE"/>
    <n v="190.89999999999998"/>
    <n v="17.980000000000004"/>
    <x v="9"/>
    <x v="7"/>
    <s v="AWAY"/>
    <s v="HOME"/>
    <n v="104.44"/>
    <n v="86.46"/>
  </r>
  <r>
    <n v="477"/>
    <n v="279"/>
    <n v="27"/>
    <n v="53"/>
    <n v="39"/>
    <x v="7"/>
    <x v="4"/>
    <n v="21"/>
    <s v="DBNG"/>
    <s v="Dave/Nolan"/>
    <n v="123.82"/>
    <s v="CSRT"/>
    <s v="Clay/Ryan"/>
    <n v="151"/>
    <s v="NONE"/>
    <n v="274.82"/>
    <n v="27.180000000000007"/>
    <x v="3"/>
    <x v="1"/>
    <s v="HOME"/>
    <s v="AWAY"/>
    <n v="151"/>
    <n v="123.82"/>
  </r>
  <r>
    <n v="478"/>
    <n v="578"/>
    <n v="502"/>
    <n v="561"/>
    <n v="352"/>
    <x v="7"/>
    <x v="4"/>
    <n v="22"/>
    <s v="HSOD"/>
    <s v="Brian/Travis"/>
    <n v="100.1"/>
    <s v="SJ"/>
    <s v="Pat/Tucker"/>
    <n v="92.74"/>
    <s v="NONE"/>
    <n v="192.83999999999997"/>
    <n v="7.3599999999999994"/>
    <x v="7"/>
    <x v="9"/>
    <s v="AWAY"/>
    <s v="HOME"/>
    <n v="100.1"/>
    <n v="92.74"/>
  </r>
  <r>
    <n v="479"/>
    <n v="232"/>
    <n v="141"/>
    <n v="130"/>
    <n v="175"/>
    <x v="7"/>
    <x v="4"/>
    <n v="23"/>
    <s v="SACS"/>
    <s v="Walker/Cory"/>
    <n v="137.47999999999999"/>
    <s v="DERS"/>
    <s v="Eric/Blake"/>
    <n v="105.66"/>
    <s v="NONE"/>
    <n v="243.14"/>
    <n v="31.819999999999993"/>
    <x v="1"/>
    <x v="2"/>
    <s v="AWAY"/>
    <s v="HOME"/>
    <n v="137.47999999999999"/>
    <n v="105.66"/>
  </r>
  <r>
    <n v="480"/>
    <n v="572"/>
    <n v="403"/>
    <n v="497"/>
    <n v="262"/>
    <x v="7"/>
    <x v="4"/>
    <n v="24"/>
    <s v="MSG"/>
    <s v="Graham/Michael"/>
    <n v="99.1"/>
    <s v="CPDL"/>
    <s v="Drew/Cam"/>
    <n v="106.62"/>
    <s v="NONE"/>
    <n v="205.72"/>
    <n v="7.5200000000000102"/>
    <x v="6"/>
    <x v="6"/>
    <s v="HOME"/>
    <s v="AWAY"/>
    <n v="106.62"/>
    <n v="99.1"/>
  </r>
  <r>
    <n v="481"/>
    <n v="638"/>
    <n v="158"/>
    <n v="312"/>
    <n v="69"/>
    <x v="7"/>
    <x v="5"/>
    <n v="25"/>
    <s v="SJ"/>
    <s v="Pat/Tucker"/>
    <n v="122.34"/>
    <s v="DERS"/>
    <s v="Eric/Blake"/>
    <n v="118.48"/>
    <s v="NONE"/>
    <n v="240.82"/>
    <n v="3.8599999999999994"/>
    <x v="2"/>
    <x v="2"/>
    <s v="AWAY"/>
    <s v="HOME"/>
    <n v="122.34"/>
    <n v="118.48"/>
  </r>
  <r>
    <n v="482"/>
    <n v="164"/>
    <n v="328"/>
    <n v="246"/>
    <n v="421"/>
    <x v="7"/>
    <x v="5"/>
    <n v="26"/>
    <s v="CPDL"/>
    <s v="Drew/Cam"/>
    <n v="88.18"/>
    <s v="SACS"/>
    <s v="Walker/Cory"/>
    <n v="126.52"/>
    <s v="NONE"/>
    <n v="214.7"/>
    <n v="38.339999999999989"/>
    <x v="1"/>
    <x v="0"/>
    <s v="HOME"/>
    <s v="AWAY"/>
    <n v="126.52"/>
    <n v="88.18"/>
  </r>
  <r>
    <n v="483"/>
    <n v="394"/>
    <n v="232"/>
    <n v="284"/>
    <n v="183"/>
    <x v="7"/>
    <x v="5"/>
    <n v="27"/>
    <s v="MSG"/>
    <s v="Graham/Michael"/>
    <n v="104.94"/>
    <s v="DBNG"/>
    <s v="Dave/Nolan"/>
    <n v="123.52"/>
    <s v="NONE"/>
    <n v="228.45999999999998"/>
    <n v="18.579999999999998"/>
    <x v="8"/>
    <x v="6"/>
    <s v="HOME"/>
    <s v="AWAY"/>
    <n v="123.52"/>
    <n v="104.94"/>
  </r>
  <r>
    <n v="484"/>
    <n v="530"/>
    <n v="652"/>
    <n v="664"/>
    <n v="576"/>
    <x v="7"/>
    <x v="5"/>
    <n v="28"/>
    <s v="HSOD"/>
    <s v="Brian/Travis"/>
    <n v="75.400000000000006"/>
    <s v="DKMB"/>
    <s v="David/Marshall"/>
    <n v="85.04"/>
    <s v="NONE"/>
    <n v="160.44"/>
    <n v="9.64"/>
    <x v="9"/>
    <x v="3"/>
    <s v="HOME"/>
    <s v="AWAY"/>
    <n v="85.04"/>
    <n v="75.400000000000006"/>
  </r>
  <r>
    <n v="485"/>
    <n v="146"/>
    <n v="153"/>
    <n v="97"/>
    <n v="247"/>
    <x v="7"/>
    <x v="5"/>
    <n v="29"/>
    <s v="TpCp"/>
    <s v="Trent/Colin"/>
    <n v="100.1"/>
    <s v="CSRT"/>
    <s v="Clay/Ryan"/>
    <n v="141.32"/>
    <s v="NONE"/>
    <n v="241.42"/>
    <n v="41.22"/>
    <x v="3"/>
    <x v="7"/>
    <s v="HOME"/>
    <s v="AWAY"/>
    <n v="141.32"/>
    <n v="100.1"/>
  </r>
  <r>
    <n v="486"/>
    <n v="559"/>
    <n v="475"/>
    <n v="553"/>
    <n v="336"/>
    <x v="7"/>
    <x v="6"/>
    <n v="30"/>
    <s v="SACS"/>
    <s v="Walker/Cory"/>
    <n v="102.12"/>
    <s v="SJ"/>
    <s v="Pat/Tucker"/>
    <n v="94"/>
    <s v="NONE"/>
    <n v="196.12"/>
    <n v="8.1200000000000045"/>
    <x v="1"/>
    <x v="9"/>
    <s v="AWAY"/>
    <s v="HOME"/>
    <n v="102.12"/>
    <n v="94"/>
  </r>
  <r>
    <n v="487"/>
    <n v="32"/>
    <n v="188"/>
    <n v="66"/>
    <n v="444"/>
    <x v="7"/>
    <x v="6"/>
    <n v="31"/>
    <s v="DBNG"/>
    <s v="Dave/Nolan"/>
    <n v="148.46"/>
    <s v="CPDL"/>
    <s v="Drew/Cam"/>
    <n v="87.38"/>
    <s v="NONE"/>
    <n v="235.84"/>
    <n v="61.080000000000013"/>
    <x v="8"/>
    <x v="0"/>
    <s v="AWAY"/>
    <s v="HOME"/>
    <n v="148.46"/>
    <n v="87.38"/>
  </r>
  <r>
    <n v="488"/>
    <n v="199"/>
    <n v="205"/>
    <n v="160"/>
    <n v="264"/>
    <x v="7"/>
    <x v="6"/>
    <n v="32"/>
    <s v="DKMB"/>
    <s v="David/Marshall"/>
    <n v="99.06"/>
    <s v="MSG"/>
    <s v="Graham/Michael"/>
    <n v="133.80000000000001"/>
    <s v="NONE"/>
    <n v="232.86"/>
    <n v="34.740000000000009"/>
    <x v="0"/>
    <x v="4"/>
    <s v="HOME"/>
    <s v="AWAY"/>
    <n v="133.80000000000001"/>
    <n v="99.06"/>
  </r>
  <r>
    <n v="489"/>
    <n v="127"/>
    <n v="62"/>
    <n v="53"/>
    <n v="158"/>
    <x v="7"/>
    <x v="6"/>
    <n v="33"/>
    <s v="CSRT"/>
    <s v="Clay/Ryan"/>
    <n v="151"/>
    <s v="HSOD"/>
    <s v="Brian/Travis"/>
    <n v="108.1"/>
    <s v="NONE"/>
    <n v="259.10000000000002"/>
    <n v="42.900000000000006"/>
    <x v="3"/>
    <x v="3"/>
    <s v="AWAY"/>
    <s v="HOME"/>
    <n v="151"/>
    <n v="108.1"/>
  </r>
  <r>
    <n v="490"/>
    <n v="103"/>
    <n v="100"/>
    <n v="62"/>
    <n v="213"/>
    <x v="7"/>
    <x v="6"/>
    <n v="34"/>
    <s v="DERS"/>
    <s v="Eric/Blake"/>
    <n v="149.06"/>
    <s v="TpCp"/>
    <s v="Trent/Colin"/>
    <n v="102.76"/>
    <s v="NONE"/>
    <n v="251.82"/>
    <n v="46.3"/>
    <x v="5"/>
    <x v="7"/>
    <s v="AWAY"/>
    <s v="HOME"/>
    <n v="149.06"/>
    <n v="102.76"/>
  </r>
  <r>
    <n v="491"/>
    <n v="252"/>
    <n v="357"/>
    <n v="340"/>
    <n v="386"/>
    <x v="7"/>
    <x v="7"/>
    <n v="35"/>
    <s v="SJ"/>
    <s v="Pat/Tucker"/>
    <n v="120.12"/>
    <s v="DBNG"/>
    <s v="Dave/Nolan"/>
    <n v="90.32"/>
    <s v="NONE"/>
    <n v="210.44"/>
    <n v="29.800000000000011"/>
    <x v="2"/>
    <x v="1"/>
    <s v="AWAY"/>
    <s v="HOME"/>
    <n v="120.12"/>
    <n v="90.32"/>
  </r>
  <r>
    <n v="492"/>
    <n v="246"/>
    <n v="572"/>
    <n v="505"/>
    <n v="567"/>
    <x v="7"/>
    <x v="7"/>
    <n v="36"/>
    <s v="CPDL"/>
    <s v="Drew/Cam"/>
    <n v="76.06"/>
    <s v="DKMB"/>
    <s v="David/Marshall"/>
    <n v="106.06"/>
    <s v="NONE"/>
    <n v="182.12"/>
    <n v="30"/>
    <x v="9"/>
    <x v="0"/>
    <s v="HOME"/>
    <s v="AWAY"/>
    <n v="106.06"/>
    <n v="76.06"/>
  </r>
  <r>
    <n v="493"/>
    <n v="564"/>
    <n v="518"/>
    <n v="576"/>
    <n v="383"/>
    <x v="7"/>
    <x v="7"/>
    <n v="37"/>
    <s v="MSG"/>
    <s v="Graham/Michael"/>
    <n v="98.72"/>
    <s v="CSRT"/>
    <s v="Clay/Ryan"/>
    <n v="90.74"/>
    <s v="NONE"/>
    <n v="189.45999999999998"/>
    <n v="7.980000000000004"/>
    <x v="0"/>
    <x v="8"/>
    <s v="AWAY"/>
    <s v="HOME"/>
    <n v="98.72"/>
    <n v="90.74"/>
  </r>
  <r>
    <n v="494"/>
    <n v="538"/>
    <n v="124"/>
    <n v="231"/>
    <n v="67"/>
    <x v="7"/>
    <x v="7"/>
    <n v="38"/>
    <s v="HSOD"/>
    <s v="Brian/Travis"/>
    <n v="118.64"/>
    <s v="DERS"/>
    <s v="Eric/Blake"/>
    <n v="127.92"/>
    <s v="NONE"/>
    <n v="246.56"/>
    <n v="9.2800000000000011"/>
    <x v="5"/>
    <x v="3"/>
    <s v="HOME"/>
    <s v="AWAY"/>
    <n v="127.92"/>
    <n v="118.64"/>
  </r>
  <r>
    <n v="495"/>
    <n v="491"/>
    <n v="283"/>
    <n v="372"/>
    <n v="181"/>
    <x v="7"/>
    <x v="7"/>
    <n v="39"/>
    <s v="TpCp"/>
    <s v="Trent/Colin"/>
    <n v="105.16"/>
    <s v="SACS"/>
    <s v="Walker/Cory"/>
    <n v="117.04"/>
    <s v="NONE"/>
    <n v="222.2"/>
    <n v="11.88000000000001"/>
    <x v="1"/>
    <x v="7"/>
    <s v="HOME"/>
    <s v="AWAY"/>
    <n v="117.04"/>
    <n v="105.16"/>
  </r>
  <r>
    <n v="496"/>
    <n v="205"/>
    <n v="571"/>
    <n v="478"/>
    <n v="588"/>
    <x v="7"/>
    <x v="8"/>
    <n v="40"/>
    <s v="DKMB"/>
    <s v="David/Marshall"/>
    <n v="74.16"/>
    <s v="SJ"/>
    <s v="Pat/Tucker"/>
    <n v="108.22"/>
    <s v="NONE"/>
    <n v="182.38"/>
    <n v="34.06"/>
    <x v="2"/>
    <x v="4"/>
    <s v="HOME"/>
    <s v="AWAY"/>
    <n v="108.22"/>
    <n v="74.16"/>
  </r>
  <r>
    <n v="497"/>
    <n v="255"/>
    <n v="280"/>
    <n v="258"/>
    <n v="297"/>
    <x v="7"/>
    <x v="8"/>
    <n v="41"/>
    <s v="CSRT"/>
    <s v="Clay/Ryan"/>
    <n v="96.72"/>
    <s v="DBNG"/>
    <s v="Dave/Nolan"/>
    <n v="125.84"/>
    <s v="NONE"/>
    <n v="222.56"/>
    <n v="29.120000000000005"/>
    <x v="8"/>
    <x v="8"/>
    <s v="HOME"/>
    <s v="AWAY"/>
    <n v="125.84"/>
    <n v="96.72"/>
  </r>
  <r>
    <n v="498"/>
    <n v="448"/>
    <n v="555"/>
    <n v="566"/>
    <n v="478"/>
    <x v="7"/>
    <x v="8"/>
    <n v="42"/>
    <s v="CPDL"/>
    <s v="Drew/Cam"/>
    <n v="85.2"/>
    <s v="TpCp"/>
    <s v="Trent/Colin"/>
    <n v="99.64"/>
    <s v="NONE"/>
    <n v="184.84"/>
    <n v="14.439999999999998"/>
    <x v="4"/>
    <x v="0"/>
    <s v="HOME"/>
    <s v="AWAY"/>
    <n v="99.64"/>
    <n v="85.2"/>
  </r>
  <r>
    <n v="499"/>
    <n v="341"/>
    <n v="500"/>
    <n v="479"/>
    <n v="477"/>
    <x v="7"/>
    <x v="8"/>
    <n v="43"/>
    <s v="DERS"/>
    <s v="Eric/Blake"/>
    <n v="85.44"/>
    <s v="SACS"/>
    <s v="Walker/Cory"/>
    <n v="107.9"/>
    <s v="NONE"/>
    <n v="193.34"/>
    <n v="22.460000000000008"/>
    <x v="1"/>
    <x v="2"/>
    <s v="HOME"/>
    <s v="AWAY"/>
    <n v="107.9"/>
    <n v="85.44"/>
  </r>
  <r>
    <n v="500"/>
    <n v="599"/>
    <n v="317"/>
    <n v="453"/>
    <n v="180"/>
    <x v="7"/>
    <x v="8"/>
    <n v="44"/>
    <s v="MSG"/>
    <s v="Graham/Michael"/>
    <n v="111.2"/>
    <s v="HSOD"/>
    <s v="Brian/Travis"/>
    <n v="105.18"/>
    <s v="NONE"/>
    <n v="216.38"/>
    <n v="6.019999999999996"/>
    <x v="0"/>
    <x v="3"/>
    <s v="AWAY"/>
    <s v="HOME"/>
    <n v="111.2"/>
    <n v="105.18"/>
  </r>
  <r>
    <n v="501"/>
    <n v="301"/>
    <n v="580"/>
    <n v="546"/>
    <n v="554"/>
    <x v="7"/>
    <x v="9"/>
    <n v="45"/>
    <s v="CSRT"/>
    <s v="Clay/Ryan"/>
    <n v="102.6"/>
    <s v="CPDL"/>
    <s v="Drew/Cam"/>
    <n v="77.66"/>
    <s v="NONE"/>
    <n v="180.26"/>
    <n v="24.939999999999998"/>
    <x v="3"/>
    <x v="0"/>
    <s v="AWAY"/>
    <s v="HOME"/>
    <n v="102.6"/>
    <n v="77.66"/>
  </r>
  <r>
    <n v="502"/>
    <n v="211"/>
    <n v="444"/>
    <n v="376"/>
    <n v="504"/>
    <x v="7"/>
    <x v="9"/>
    <n v="46"/>
    <s v="DERS"/>
    <s v="Eric/Blake"/>
    <n v="83.38"/>
    <s v="DKMB"/>
    <s v="David/Marshall"/>
    <n v="116.74"/>
    <s v="NONE"/>
    <n v="200.12"/>
    <n v="33.36"/>
    <x v="9"/>
    <x v="2"/>
    <s v="HOME"/>
    <s v="AWAY"/>
    <n v="116.74"/>
    <n v="83.38"/>
  </r>
  <r>
    <n v="503"/>
    <n v="331"/>
    <n v="433"/>
    <n v="432"/>
    <n v="402"/>
    <x v="7"/>
    <x v="9"/>
    <n v="47"/>
    <s v="SJ"/>
    <s v="Pat/Tucker"/>
    <n v="112.48"/>
    <s v="MSG"/>
    <s v="Graham/Michael"/>
    <n v="89.56"/>
    <s v="NONE"/>
    <n v="202.04000000000002"/>
    <n v="22.92"/>
    <x v="2"/>
    <x v="6"/>
    <s v="AWAY"/>
    <s v="HOME"/>
    <n v="112.48"/>
    <n v="89.56"/>
  </r>
  <r>
    <n v="504"/>
    <n v="643"/>
    <n v="367"/>
    <n v="504"/>
    <n v="212"/>
    <x v="7"/>
    <x v="9"/>
    <n v="48"/>
    <s v="SACS"/>
    <s v="Walker/Cory"/>
    <n v="106.42"/>
    <s v="DBNG"/>
    <s v="Dave/Nolan"/>
    <n v="102.82"/>
    <s v="NONE"/>
    <n v="209.24"/>
    <n v="3.6000000000000085"/>
    <x v="1"/>
    <x v="1"/>
    <s v="AWAY"/>
    <s v="HOME"/>
    <n v="106.42"/>
    <n v="102.82"/>
  </r>
  <r>
    <n v="505"/>
    <n v="355"/>
    <n v="424"/>
    <n v="429"/>
    <n v="383"/>
    <x v="7"/>
    <x v="9"/>
    <n v="49"/>
    <s v="TpCp"/>
    <s v="Trent/Colin"/>
    <n v="112.52"/>
    <s v="HSOD"/>
    <s v="Brian/Travis"/>
    <n v="90.74"/>
    <s v="NONE"/>
    <n v="203.26"/>
    <n v="21.78"/>
    <x v="4"/>
    <x v="3"/>
    <s v="AWAY"/>
    <s v="HOME"/>
    <n v="112.52"/>
    <n v="90.74"/>
  </r>
  <r>
    <n v="506"/>
    <n v="675"/>
    <n v="32"/>
    <n v="133"/>
    <n v="10"/>
    <x v="7"/>
    <x v="10"/>
    <n v="50"/>
    <s v="DERS"/>
    <s v="Eric/Blake"/>
    <n v="137.13999999999999"/>
    <s v="MSG"/>
    <s v="Graham/Michael"/>
    <n v="135.66"/>
    <s v="NONE"/>
    <n v="272.79999999999995"/>
    <n v="1.4799999999999898"/>
    <x v="5"/>
    <x v="6"/>
    <s v="AWAY"/>
    <s v="HOME"/>
    <n v="137.13999999999999"/>
    <n v="135.66"/>
  </r>
  <r>
    <n v="507"/>
    <n v="20"/>
    <n v="268"/>
    <n v="79"/>
    <n v="552"/>
    <x v="7"/>
    <x v="10"/>
    <n v="51"/>
    <s v="CSRT"/>
    <s v="Clay/Ryan"/>
    <n v="77.959999999999994"/>
    <s v="SACS"/>
    <s v="Walker/Cory"/>
    <n v="145.97999999999999"/>
    <s v="NONE"/>
    <n v="223.94"/>
    <n v="68.02"/>
    <x v="1"/>
    <x v="8"/>
    <s v="HOME"/>
    <s v="AWAY"/>
    <n v="145.97999999999999"/>
    <n v="77.959999999999994"/>
  </r>
  <r>
    <n v="508"/>
    <n v="507"/>
    <n v="190"/>
    <n v="297"/>
    <n v="121"/>
    <x v="7"/>
    <x v="10"/>
    <n v="52"/>
    <s v="HSOD"/>
    <s v="Brian/Travis"/>
    <n v="112.32"/>
    <s v="CPDL"/>
    <s v="Drew/Cam"/>
    <n v="123.02"/>
    <s v="NONE"/>
    <n v="235.33999999999997"/>
    <n v="10.700000000000003"/>
    <x v="6"/>
    <x v="3"/>
    <s v="HOME"/>
    <s v="AWAY"/>
    <n v="123.02"/>
    <n v="112.32"/>
  </r>
  <r>
    <n v="509"/>
    <n v="570"/>
    <n v="569"/>
    <n v="611"/>
    <n v="432"/>
    <x v="7"/>
    <x v="10"/>
    <n v="53"/>
    <s v="DKMB"/>
    <s v="David/Marshall"/>
    <n v="95.34"/>
    <s v="DBNG"/>
    <s v="Dave/Nolan"/>
    <n v="87.74"/>
    <s v="NONE"/>
    <n v="183.07999999999998"/>
    <n v="7.6000000000000085"/>
    <x v="9"/>
    <x v="1"/>
    <s v="AWAY"/>
    <s v="HOME"/>
    <n v="95.34"/>
    <n v="87.74"/>
  </r>
  <r>
    <n v="510"/>
    <n v="687"/>
    <n v="154"/>
    <n v="332"/>
    <n v="53"/>
    <x v="7"/>
    <x v="10"/>
    <n v="54"/>
    <s v="TpCp"/>
    <s v="Trent/Colin"/>
    <n v="120.56"/>
    <s v="SJ"/>
    <s v="Pat/Tucker"/>
    <n v="120.8"/>
    <s v="NONE"/>
    <n v="241.36"/>
    <n v="0.23999999999999488"/>
    <x v="2"/>
    <x v="7"/>
    <s v="HOME"/>
    <s v="AWAY"/>
    <n v="120.8"/>
    <n v="120.56"/>
  </r>
  <r>
    <n v="511"/>
    <n v="4"/>
    <n v="73"/>
    <n v="6"/>
    <n v="508"/>
    <x v="7"/>
    <x v="11"/>
    <n v="55"/>
    <s v="SACS"/>
    <s v="Walker/Cory"/>
    <n v="83.1"/>
    <s v="HSOD"/>
    <s v="Brian/Travis"/>
    <n v="174.08"/>
    <s v="NONE"/>
    <n v="257.18"/>
    <n v="90.980000000000018"/>
    <x v="7"/>
    <x v="5"/>
    <s v="HOME"/>
    <s v="AWAY"/>
    <n v="174.08"/>
    <n v="83.1"/>
  </r>
  <r>
    <n v="512"/>
    <n v="418"/>
    <n v="76"/>
    <n v="137"/>
    <n v="61"/>
    <x v="7"/>
    <x v="11"/>
    <n v="56"/>
    <s v="DBNG"/>
    <s v="Dave/Nolan"/>
    <n v="119.74"/>
    <s v="DERS"/>
    <s v="Eric/Blake"/>
    <n v="136.74"/>
    <s v="NONE"/>
    <n v="256.48"/>
    <n v="17.000000000000014"/>
    <x v="5"/>
    <x v="1"/>
    <s v="HOME"/>
    <s v="AWAY"/>
    <n v="136.74"/>
    <n v="119.74"/>
  </r>
  <r>
    <n v="513"/>
    <n v="346"/>
    <n v="127"/>
    <n v="159"/>
    <n v="127"/>
    <x v="7"/>
    <x v="11"/>
    <n v="57"/>
    <s v="MSG"/>
    <s v="Graham/Michael"/>
    <n v="111.82"/>
    <s v="TpCp"/>
    <s v="Trent/Colin"/>
    <n v="133.91999999999999"/>
    <s v="NONE"/>
    <n v="245.73999999999998"/>
    <n v="22.099999999999994"/>
    <x v="4"/>
    <x v="6"/>
    <s v="HOME"/>
    <s v="AWAY"/>
    <n v="133.91999999999999"/>
    <n v="111.82"/>
  </r>
  <r>
    <n v="514"/>
    <n v="506"/>
    <n v="390"/>
    <n v="469"/>
    <n v="276"/>
    <x v="7"/>
    <x v="11"/>
    <n v="58"/>
    <s v="DKMB"/>
    <s v="David/Marshall"/>
    <n v="98.3"/>
    <s v="CSRT"/>
    <s v="Clay/Ryan"/>
    <n v="109.1"/>
    <s v="NONE"/>
    <n v="207.39999999999998"/>
    <n v="10.799999999999997"/>
    <x v="3"/>
    <x v="4"/>
    <s v="HOME"/>
    <s v="AWAY"/>
    <n v="109.1"/>
    <n v="98.3"/>
  </r>
  <r>
    <n v="515"/>
    <n v="53"/>
    <n v="436"/>
    <n v="220"/>
    <n v="608"/>
    <x v="7"/>
    <x v="11"/>
    <n v="59"/>
    <s v="CPDL"/>
    <s v="Drew/Cam"/>
    <n v="73.28"/>
    <s v="SJ"/>
    <s v="Pat/Tucker"/>
    <n v="128.44"/>
    <s v="NONE"/>
    <n v="201.72"/>
    <n v="55.16"/>
    <x v="2"/>
    <x v="0"/>
    <s v="HOME"/>
    <s v="AWAY"/>
    <n v="128.44"/>
    <n v="73.28"/>
  </r>
  <r>
    <n v="516"/>
    <n v="115"/>
    <n v="638"/>
    <n v="529"/>
    <n v="675"/>
    <x v="7"/>
    <x v="12"/>
    <n v="60"/>
    <s v="DBNG"/>
    <s v="Dave/Nolan"/>
    <n v="104.14"/>
    <s v="TpCp"/>
    <s v="Trent/Colin"/>
    <n v="59.54"/>
    <s v="NONE"/>
    <n v="163.68"/>
    <n v="44.6"/>
    <x v="8"/>
    <x v="7"/>
    <s v="AWAY"/>
    <s v="HOME"/>
    <n v="104.14"/>
    <n v="59.54"/>
  </r>
  <r>
    <n v="517"/>
    <n v="597"/>
    <n v="263"/>
    <n v="395"/>
    <n v="151"/>
    <x v="7"/>
    <x v="12"/>
    <n v="61"/>
    <s v="SACS"/>
    <s v="Walker/Cory"/>
    <n v="115.42"/>
    <s v="DKMB"/>
    <s v="David/Marshall"/>
    <n v="109"/>
    <s v="NONE"/>
    <n v="224.42000000000002"/>
    <n v="6.4200000000000017"/>
    <x v="1"/>
    <x v="4"/>
    <s v="AWAY"/>
    <s v="HOME"/>
    <n v="115.42"/>
    <n v="109"/>
  </r>
  <r>
    <n v="518"/>
    <n v="31"/>
    <n v="130"/>
    <n v="41"/>
    <n v="367"/>
    <x v="7"/>
    <x v="12"/>
    <n v="62"/>
    <s v="SJ"/>
    <s v="Pat/Tucker"/>
    <n v="91.76"/>
    <s v="HSOD"/>
    <s v="Brian/Travis"/>
    <n v="153.32"/>
    <s v="NONE"/>
    <n v="245.07999999999998"/>
    <n v="61.559999999999988"/>
    <x v="7"/>
    <x v="9"/>
    <s v="HOME"/>
    <s v="AWAY"/>
    <n v="153.32"/>
    <n v="91.76"/>
  </r>
  <r>
    <n v="519"/>
    <n v="186"/>
    <n v="568"/>
    <n v="466"/>
    <n v="606"/>
    <x v="7"/>
    <x v="12"/>
    <n v="63"/>
    <s v="DERS"/>
    <s v="Eric/Blake"/>
    <n v="109.96"/>
    <s v="CSRT"/>
    <s v="Clay/Ryan"/>
    <n v="73.42"/>
    <s v="NONE"/>
    <n v="183.38"/>
    <n v="36.539999999999992"/>
    <x v="5"/>
    <x v="8"/>
    <s v="AWAY"/>
    <s v="HOME"/>
    <n v="109.96"/>
    <n v="73.42"/>
  </r>
  <r>
    <n v="520"/>
    <n v="12"/>
    <n v="89"/>
    <n v="20"/>
    <n v="399"/>
    <x v="7"/>
    <x v="12"/>
    <n v="64"/>
    <s v="CPDL"/>
    <s v="Drew/Cam"/>
    <n v="89.8"/>
    <s v="MSG"/>
    <s v="Graham/Michael"/>
    <n v="164.38"/>
    <s v="NONE"/>
    <n v="254.18"/>
    <n v="74.58"/>
    <x v="0"/>
    <x v="0"/>
    <s v="HOME"/>
    <s v="AWAY"/>
    <n v="164.38"/>
    <n v="89.8"/>
  </r>
  <r>
    <n v="521"/>
    <n v="174"/>
    <n v="70"/>
    <n v="72"/>
    <n v="142"/>
    <x v="8"/>
    <x v="0"/>
    <n v="1"/>
    <s v="GVO"/>
    <s v="Pat/Tucker"/>
    <n v="110.1"/>
    <s v="HSOD"/>
    <s v="Brian/Travis"/>
    <n v="147.18"/>
    <s v="NONE"/>
    <n v="257.27999999999997"/>
    <n v="37.080000000000013"/>
    <x v="7"/>
    <x v="9"/>
    <s v="HOME"/>
    <s v="AWAY"/>
    <n v="147.18"/>
    <n v="110.1"/>
  </r>
  <r>
    <n v="522"/>
    <n v="669"/>
    <n v="527"/>
    <n v="614"/>
    <n v="350"/>
    <x v="8"/>
    <x v="0"/>
    <n v="2"/>
    <s v="SACS"/>
    <s v="Walker/Cory"/>
    <n v="94.76"/>
    <s v="DERS"/>
    <s v="Eric/Blake"/>
    <n v="92.98"/>
    <s v="NONE"/>
    <n v="187.74"/>
    <n v="1.7800000000000011"/>
    <x v="1"/>
    <x v="2"/>
    <s v="AWAY"/>
    <s v="HOME"/>
    <n v="94.76"/>
    <n v="92.98"/>
  </r>
  <r>
    <n v="523"/>
    <n v="660"/>
    <n v="431"/>
    <n v="546"/>
    <n v="252"/>
    <x v="8"/>
    <x v="0"/>
    <n v="3"/>
    <s v="CSRT"/>
    <s v="Clay/Ryan"/>
    <n v="102.6"/>
    <s v="TpCp"/>
    <s v="Trent/Colin"/>
    <n v="99.82"/>
    <s v="NONE"/>
    <n v="202.42"/>
    <n v="2.7800000000000011"/>
    <x v="3"/>
    <x v="7"/>
    <s v="AWAY"/>
    <s v="HOME"/>
    <n v="102.6"/>
    <n v="99.82"/>
  </r>
  <r>
    <n v="524"/>
    <n v="230"/>
    <n v="67"/>
    <n v="83"/>
    <n v="116"/>
    <x v="8"/>
    <x v="0"/>
    <n v="4"/>
    <s v="MSG"/>
    <s v="Graham/Michael"/>
    <n v="113.12"/>
    <s v="DBNG"/>
    <s v="Dave/Nolan"/>
    <n v="145.06"/>
    <s v="NONE"/>
    <n v="258.18"/>
    <n v="31.939999999999998"/>
    <x v="8"/>
    <x v="6"/>
    <s v="HOME"/>
    <s v="AWAY"/>
    <n v="145.06"/>
    <n v="113.12"/>
  </r>
  <r>
    <n v="525"/>
    <n v="567"/>
    <n v="105"/>
    <n v="214"/>
    <n v="50"/>
    <x v="8"/>
    <x v="0"/>
    <n v="5"/>
    <s v="CPDL"/>
    <s v="Drew/Cam"/>
    <n v="121.38"/>
    <s v="DKMB"/>
    <s v="David/Marshall"/>
    <n v="129.19999999999999"/>
    <s v="NONE"/>
    <n v="250.57999999999998"/>
    <n v="7.8199999999999932"/>
    <x v="9"/>
    <x v="0"/>
    <s v="HOME"/>
    <s v="AWAY"/>
    <n v="129.19999999999999"/>
    <n v="121.38"/>
  </r>
  <r>
    <n v="526"/>
    <n v="231"/>
    <n v="221"/>
    <n v="187"/>
    <n v="265"/>
    <x v="8"/>
    <x v="1"/>
    <n v="6"/>
    <s v="DERS"/>
    <s v="Eric/Blake"/>
    <n v="99.02"/>
    <s v="TpCp"/>
    <s v="Trent/Colin"/>
    <n v="130.9"/>
    <s v="NONE"/>
    <n v="229.92000000000002"/>
    <n v="31.88000000000001"/>
    <x v="4"/>
    <x v="2"/>
    <s v="HOME"/>
    <s v="AWAY"/>
    <n v="130.9"/>
    <n v="99.02"/>
  </r>
  <r>
    <n v="527"/>
    <n v="371"/>
    <n v="245"/>
    <n v="293"/>
    <n v="211"/>
    <x v="8"/>
    <x v="1"/>
    <n v="7"/>
    <s v="DBNG"/>
    <s v="Dave/Nolan"/>
    <n v="102.84"/>
    <s v="GVO"/>
    <s v="Pat/Tucker"/>
    <n v="123.36"/>
    <s v="NONE"/>
    <n v="226.2"/>
    <n v="20.519999999999996"/>
    <x v="2"/>
    <x v="1"/>
    <s v="HOME"/>
    <s v="AWAY"/>
    <n v="123.36"/>
    <n v="102.84"/>
  </r>
  <r>
    <n v="528"/>
    <n v="618"/>
    <n v="152"/>
    <n v="292"/>
    <n v="73"/>
    <x v="8"/>
    <x v="1"/>
    <n v="8"/>
    <s v="DKMB"/>
    <s v="David/Marshall"/>
    <n v="123.4"/>
    <s v="HSOD"/>
    <s v="Brian/Travis"/>
    <n v="118.02"/>
    <s v="NONE"/>
    <n v="241.42000000000002"/>
    <n v="5.3800000000000097"/>
    <x v="9"/>
    <x v="3"/>
    <s v="AWAY"/>
    <s v="HOME"/>
    <n v="123.4"/>
    <n v="118.02"/>
  </r>
  <r>
    <n v="529"/>
    <n v="433"/>
    <n v="312"/>
    <n v="382"/>
    <n v="244"/>
    <x v="8"/>
    <x v="1"/>
    <n v="9"/>
    <s v="MSG"/>
    <s v="Graham/Michael"/>
    <n v="100.48"/>
    <s v="SACS"/>
    <s v="Walker/Cory"/>
    <n v="116.12"/>
    <s v="NONE"/>
    <n v="216.60000000000002"/>
    <n v="15.64"/>
    <x v="1"/>
    <x v="6"/>
    <s v="HOME"/>
    <s v="AWAY"/>
    <n v="116.12"/>
    <n v="100.48"/>
  </r>
  <r>
    <n v="530"/>
    <n v="437"/>
    <n v="107"/>
    <n v="178"/>
    <n v="82"/>
    <x v="8"/>
    <x v="1"/>
    <n v="10"/>
    <s v="CPDL"/>
    <s v="Drew/Cam"/>
    <n v="117.18"/>
    <s v="CSRT"/>
    <s v="Clay/Ryan"/>
    <n v="132.56"/>
    <s v="NONE"/>
    <n v="249.74"/>
    <n v="15.379999999999995"/>
    <x v="3"/>
    <x v="0"/>
    <s v="HOME"/>
    <s v="AWAY"/>
    <n v="132.56"/>
    <n v="117.18"/>
  </r>
  <r>
    <n v="531"/>
    <n v="461"/>
    <n v="210"/>
    <n v="304"/>
    <n v="155"/>
    <x v="8"/>
    <x v="2"/>
    <n v="11"/>
    <s v="DBNG"/>
    <s v="Dave/Nolan"/>
    <n v="108.78"/>
    <s v="DKMB"/>
    <s v="David/Marshall"/>
    <n v="122.54"/>
    <s v="NONE"/>
    <n v="231.32"/>
    <n v="13.760000000000005"/>
    <x v="9"/>
    <x v="1"/>
    <s v="HOME"/>
    <s v="AWAY"/>
    <n v="122.54"/>
    <n v="108.78"/>
  </r>
  <r>
    <n v="532"/>
    <n v="608"/>
    <n v="90"/>
    <n v="200"/>
    <n v="38"/>
    <x v="8"/>
    <x v="2"/>
    <n v="12"/>
    <s v="DERS"/>
    <s v="Eric/Blake"/>
    <n v="124.04"/>
    <s v="MSG"/>
    <s v="Graham/Michael"/>
    <n v="130.02000000000001"/>
    <s v="NONE"/>
    <n v="254.06"/>
    <n v="5.980000000000004"/>
    <x v="0"/>
    <x v="2"/>
    <s v="HOME"/>
    <s v="AWAY"/>
    <n v="130.02000000000001"/>
    <n v="124.04"/>
  </r>
  <r>
    <n v="533"/>
    <n v="684"/>
    <n v="574"/>
    <n v="641"/>
    <n v="387"/>
    <x v="8"/>
    <x v="2"/>
    <n v="13"/>
    <s v="TpCp"/>
    <s v="Trent/Colin"/>
    <n v="90.84"/>
    <s v="CPDL"/>
    <s v="Drew/Cam"/>
    <n v="90.28"/>
    <s v="NONE"/>
    <n v="181.12"/>
    <n v="0.56000000000000227"/>
    <x v="4"/>
    <x v="0"/>
    <s v="AWAY"/>
    <s v="HOME"/>
    <n v="90.84"/>
    <n v="90.28"/>
  </r>
  <r>
    <n v="534"/>
    <n v="480"/>
    <n v="629"/>
    <n v="651"/>
    <n v="553"/>
    <x v="8"/>
    <x v="2"/>
    <n v="14"/>
    <s v="GVO"/>
    <s v="Pat/Tucker"/>
    <n v="89.88"/>
    <s v="SACS"/>
    <s v="Walker/Cory"/>
    <n v="77.819999999999993"/>
    <s v="NONE"/>
    <n v="167.7"/>
    <n v="12.060000000000002"/>
    <x v="2"/>
    <x v="5"/>
    <s v="AWAY"/>
    <s v="HOME"/>
    <n v="89.88"/>
    <n v="77.819999999999993"/>
  </r>
  <r>
    <n v="535"/>
    <n v="496"/>
    <n v="143"/>
    <n v="243"/>
    <n v="96"/>
    <x v="8"/>
    <x v="2"/>
    <n v="15"/>
    <s v="HSOD"/>
    <s v="Brian/Travis"/>
    <n v="115.7"/>
    <s v="CSRT"/>
    <s v="Clay/Ryan"/>
    <n v="126.92"/>
    <s v="NONE"/>
    <n v="242.62"/>
    <n v="11.219999999999999"/>
    <x v="3"/>
    <x v="3"/>
    <s v="HOME"/>
    <s v="AWAY"/>
    <n v="126.92"/>
    <n v="115.7"/>
  </r>
  <r>
    <n v="536"/>
    <n v="487"/>
    <n v="39"/>
    <n v="96"/>
    <n v="20"/>
    <x v="8"/>
    <x v="3"/>
    <n v="16"/>
    <s v="MSG"/>
    <s v="Graham/Michael"/>
    <n v="129.41999999999999"/>
    <s v="CPDL"/>
    <s v="Drew/Cam"/>
    <n v="141.4"/>
    <s v="NONE"/>
    <n v="270.82"/>
    <n v="11.980000000000018"/>
    <x v="6"/>
    <x v="6"/>
    <s v="HOME"/>
    <s v="AWAY"/>
    <n v="141.4"/>
    <n v="129.41999999999999"/>
  </r>
  <r>
    <n v="537"/>
    <n v="415"/>
    <n v="428"/>
    <n v="463"/>
    <n v="351"/>
    <x v="8"/>
    <x v="3"/>
    <n v="17"/>
    <s v="SACS"/>
    <s v="Walker/Cory"/>
    <n v="110.06"/>
    <s v="DBNG"/>
    <s v="Dave/Nolan"/>
    <n v="92.76"/>
    <s v="NONE"/>
    <n v="202.82"/>
    <n v="17.299999999999997"/>
    <x v="1"/>
    <x v="1"/>
    <s v="AWAY"/>
    <s v="HOME"/>
    <n v="110.06"/>
    <n v="92.76"/>
  </r>
  <r>
    <n v="538"/>
    <n v="108"/>
    <n v="586"/>
    <n v="428"/>
    <n v="648"/>
    <x v="8"/>
    <x v="3"/>
    <n v="18"/>
    <s v="CSRT"/>
    <s v="Clay/Ryan"/>
    <n v="66.92"/>
    <s v="DKMB"/>
    <s v="David/Marshall"/>
    <n v="112.72"/>
    <s v="NONE"/>
    <n v="179.64"/>
    <n v="45.8"/>
    <x v="9"/>
    <x v="8"/>
    <s v="HOME"/>
    <s v="AWAY"/>
    <n v="112.72"/>
    <n v="66.92"/>
  </r>
  <r>
    <n v="539"/>
    <n v="302"/>
    <n v="4"/>
    <n v="19"/>
    <n v="9"/>
    <x v="8"/>
    <x v="3"/>
    <n v="19"/>
    <s v="GVO"/>
    <s v="Pat/Tucker"/>
    <n v="139.63999999999999"/>
    <s v="DERS"/>
    <s v="Eric/Blake"/>
    <n v="164.48"/>
    <s v="NONE"/>
    <n v="304.12"/>
    <n v="24.840000000000003"/>
    <x v="5"/>
    <x v="9"/>
    <s v="HOME"/>
    <s v="AWAY"/>
    <n v="164.48"/>
    <n v="139.63999999999999"/>
  </r>
  <r>
    <n v="540"/>
    <n v="550"/>
    <n v="600"/>
    <n v="638"/>
    <n v="505"/>
    <x v="8"/>
    <x v="3"/>
    <n v="20"/>
    <s v="HSOD"/>
    <s v="Brian/Travis"/>
    <n v="83.32"/>
    <s v="TpCp"/>
    <s v="Trent/Colin"/>
    <n v="91.98"/>
    <s v="NONE"/>
    <n v="175.3"/>
    <n v="8.6600000000000108"/>
    <x v="4"/>
    <x v="3"/>
    <s v="HOME"/>
    <s v="AWAY"/>
    <n v="91.98"/>
    <n v="83.32"/>
  </r>
  <r>
    <n v="541"/>
    <n v="90"/>
    <n v="244"/>
    <n v="131"/>
    <n v="412"/>
    <x v="8"/>
    <x v="4"/>
    <n v="21"/>
    <s v="SACS"/>
    <s v="Walker/Cory"/>
    <n v="88.98"/>
    <s v="CSRT"/>
    <s v="Clay/Ryan"/>
    <n v="137.30000000000001"/>
    <s v="NONE"/>
    <n v="226.28000000000003"/>
    <n v="48.320000000000007"/>
    <x v="3"/>
    <x v="5"/>
    <s v="HOME"/>
    <s v="AWAY"/>
    <n v="137.30000000000001"/>
    <n v="88.98"/>
  </r>
  <r>
    <n v="542"/>
    <n v="512"/>
    <n v="33"/>
    <n v="98"/>
    <n v="16"/>
    <x v="8"/>
    <x v="4"/>
    <n v="22"/>
    <s v="MSG"/>
    <s v="Graham/Michael"/>
    <n v="141.28"/>
    <s v="GVO"/>
    <s v="Pat/Tucker"/>
    <n v="130.78"/>
    <s v="NONE"/>
    <n v="272.06"/>
    <n v="10.5"/>
    <x v="0"/>
    <x v="9"/>
    <s v="AWAY"/>
    <s v="HOME"/>
    <n v="141.28"/>
    <n v="130.78"/>
  </r>
  <r>
    <n v="543"/>
    <n v="170"/>
    <n v="43"/>
    <n v="44"/>
    <n v="100"/>
    <x v="8"/>
    <x v="4"/>
    <n v="23"/>
    <s v="CPDL"/>
    <s v="Drew/Cam"/>
    <n v="152.80000000000001"/>
    <s v="HSOD"/>
    <s v="Brian/Travis"/>
    <n v="115.18"/>
    <s v="NONE"/>
    <n v="267.98"/>
    <n v="37.620000000000005"/>
    <x v="6"/>
    <x v="3"/>
    <s v="AWAY"/>
    <s v="HOME"/>
    <n v="152.80000000000001"/>
    <n v="115.18"/>
  </r>
  <r>
    <n v="544"/>
    <n v="657"/>
    <n v="3"/>
    <n v="28"/>
    <n v="1"/>
    <x v="8"/>
    <x v="4"/>
    <n v="24"/>
    <s v="DBNG"/>
    <s v="Dave/Nolan"/>
    <n v="156.24"/>
    <s v="DERS"/>
    <s v="Eric/Blake"/>
    <n v="159.22"/>
    <s v="NONE"/>
    <n v="315.46000000000004"/>
    <n v="2.9799999999999898"/>
    <x v="5"/>
    <x v="1"/>
    <s v="HOME"/>
    <s v="AWAY"/>
    <n v="159.22"/>
    <n v="156.24"/>
  </r>
  <r>
    <n v="545"/>
    <n v="598"/>
    <n v="83"/>
    <n v="188"/>
    <n v="35"/>
    <x v="8"/>
    <x v="4"/>
    <n v="25"/>
    <s v="DKMB"/>
    <s v="David/Marshall"/>
    <n v="124.56"/>
    <s v="TpCp"/>
    <s v="Trent/Colin"/>
    <n v="130.62"/>
    <s v="NONE"/>
    <n v="255.18"/>
    <n v="6.0600000000000023"/>
    <x v="4"/>
    <x v="4"/>
    <s v="HOME"/>
    <s v="AWAY"/>
    <n v="130.62"/>
    <n v="124.56"/>
  </r>
  <r>
    <n v="546"/>
    <n v="593"/>
    <n v="519"/>
    <n v="592"/>
    <n v="379"/>
    <x v="8"/>
    <x v="5"/>
    <n v="26"/>
    <s v="HSOD"/>
    <s v="Brian/Travis"/>
    <n v="97.78"/>
    <s v="DERS"/>
    <s v="Eric/Blake"/>
    <n v="91.2"/>
    <s v="NONE"/>
    <n v="188.98000000000002"/>
    <n v="6.5799999999999983"/>
    <x v="7"/>
    <x v="2"/>
    <s v="AWAY"/>
    <s v="HOME"/>
    <n v="97.78"/>
    <n v="91.2"/>
  </r>
  <r>
    <n v="547"/>
    <n v="659"/>
    <n v="73"/>
    <n v="202"/>
    <n v="24"/>
    <x v="8"/>
    <x v="5"/>
    <n v="27"/>
    <s v="TpCp"/>
    <s v="Trent/Colin"/>
    <n v="130"/>
    <s v="DBNG"/>
    <s v="Dave/Nolan"/>
    <n v="127.18"/>
    <s v="NONE"/>
    <n v="257.18"/>
    <n v="2.8199999999999932"/>
    <x v="4"/>
    <x v="1"/>
    <s v="AWAY"/>
    <s v="HOME"/>
    <n v="130"/>
    <n v="127.18"/>
  </r>
  <r>
    <n v="548"/>
    <n v="624"/>
    <n v="10"/>
    <n v="64"/>
    <n v="4"/>
    <x v="8"/>
    <x v="5"/>
    <n v="28"/>
    <s v="DKMB"/>
    <s v="David/Marshall"/>
    <n v="143.66"/>
    <s v="MSG"/>
    <s v="Graham/Michael"/>
    <n v="148.6"/>
    <s v="NONE"/>
    <n v="292.26"/>
    <n v="4.9399999999999977"/>
    <x v="0"/>
    <x v="4"/>
    <s v="HOME"/>
    <s v="AWAY"/>
    <n v="148.6"/>
    <n v="143.66"/>
  </r>
  <r>
    <n v="549"/>
    <n v="274"/>
    <n v="458"/>
    <n v="416"/>
    <n v="473"/>
    <x v="8"/>
    <x v="5"/>
    <n v="29"/>
    <s v="CPDL"/>
    <s v="Drew/Cam"/>
    <n v="113.34"/>
    <s v="SACS"/>
    <s v="Walker/Cory"/>
    <n v="85.58"/>
    <s v="NONE"/>
    <n v="198.92000000000002"/>
    <n v="27.760000000000005"/>
    <x v="6"/>
    <x v="5"/>
    <s v="AWAY"/>
    <s v="HOME"/>
    <n v="113.34"/>
    <n v="85.58"/>
  </r>
  <r>
    <n v="550"/>
    <n v="54"/>
    <n v="358"/>
    <n v="175"/>
    <n v="555"/>
    <x v="8"/>
    <x v="5"/>
    <n v="30"/>
    <s v="CSRT"/>
    <s v="Clay/Ryan"/>
    <n v="132.72"/>
    <s v="GVO"/>
    <s v="Pat/Tucker"/>
    <n v="77.58"/>
    <s v="NONE"/>
    <n v="210.3"/>
    <n v="55.14"/>
    <x v="3"/>
    <x v="9"/>
    <s v="AWAY"/>
    <s v="HOME"/>
    <n v="132.72"/>
    <n v="77.58"/>
  </r>
  <r>
    <n v="551"/>
    <n v="404"/>
    <n v="677"/>
    <n v="668"/>
    <n v="655"/>
    <x v="8"/>
    <x v="6"/>
    <n v="31"/>
    <s v="DBNG"/>
    <s v="Dave/Nolan"/>
    <n v="83.54"/>
    <s v="HSOD"/>
    <s v="Brian/Travis"/>
    <n v="65.540000000000006"/>
    <s v="NONE"/>
    <n v="149.08000000000001"/>
    <n v="18"/>
    <x v="8"/>
    <x v="3"/>
    <s v="AWAY"/>
    <s v="HOME"/>
    <n v="83.54"/>
    <n v="65.540000000000006"/>
  </r>
  <r>
    <n v="552"/>
    <n v="682"/>
    <n v="49"/>
    <n v="168"/>
    <n v="13"/>
    <x v="8"/>
    <x v="6"/>
    <n v="32"/>
    <s v="MSG"/>
    <s v="Graham/Michael"/>
    <n v="133.13999999999999"/>
    <s v="TpCp"/>
    <s v="Trent/Colin"/>
    <n v="132.24"/>
    <s v="NONE"/>
    <n v="265.38"/>
    <n v="0.89999999999997726"/>
    <x v="0"/>
    <x v="7"/>
    <s v="AWAY"/>
    <s v="HOME"/>
    <n v="133.13999999999999"/>
    <n v="132.24"/>
  </r>
  <r>
    <n v="553"/>
    <n v="528"/>
    <n v="241"/>
    <n v="352"/>
    <n v="156"/>
    <x v="8"/>
    <x v="6"/>
    <n v="33"/>
    <s v="SACS"/>
    <s v="Walker/Cory"/>
    <n v="108.62"/>
    <s v="DKMB"/>
    <s v="David/Marshall"/>
    <n v="118.54"/>
    <s v="NONE"/>
    <n v="227.16000000000003"/>
    <n v="9.9200000000000017"/>
    <x v="9"/>
    <x v="5"/>
    <s v="HOME"/>
    <s v="AWAY"/>
    <n v="118.54"/>
    <n v="108.62"/>
  </r>
  <r>
    <n v="554"/>
    <n v="589"/>
    <n v="185"/>
    <n v="318"/>
    <n v="104"/>
    <x v="8"/>
    <x v="6"/>
    <n v="34"/>
    <s v="GVO"/>
    <s v="Pat/Tucker"/>
    <n v="114.98"/>
    <s v="CPDL"/>
    <s v="Drew/Cam"/>
    <n v="121.66"/>
    <s v="NONE"/>
    <n v="236.64"/>
    <n v="6.6799999999999926"/>
    <x v="6"/>
    <x v="9"/>
    <s v="HOME"/>
    <s v="AWAY"/>
    <n v="121.66"/>
    <n v="114.98"/>
  </r>
  <r>
    <n v="555"/>
    <n v="565"/>
    <n v="448"/>
    <n v="533"/>
    <n v="315"/>
    <x v="8"/>
    <x v="6"/>
    <n v="35"/>
    <s v="DERS"/>
    <s v="Eric/Blake"/>
    <n v="95.92"/>
    <s v="CSRT"/>
    <s v="Clay/Ryan"/>
    <n v="103.84"/>
    <s v="NONE"/>
    <n v="199.76"/>
    <n v="7.9200000000000017"/>
    <x v="3"/>
    <x v="2"/>
    <s v="HOME"/>
    <s v="AWAY"/>
    <n v="103.84"/>
    <n v="95.92"/>
  </r>
  <r>
    <n v="556"/>
    <n v="619"/>
    <n v="646"/>
    <n v="669"/>
    <n v="550"/>
    <x v="8"/>
    <x v="7"/>
    <n v="36"/>
    <s v="HSOD"/>
    <s v="Brian/Travis"/>
    <n v="83.5"/>
    <s v="MSG"/>
    <s v="Graham/Michael"/>
    <n v="78.16"/>
    <s v="NONE"/>
    <n v="161.66"/>
    <n v="5.3400000000000034"/>
    <x v="7"/>
    <x v="6"/>
    <s v="AWAY"/>
    <s v="HOME"/>
    <n v="83.5"/>
    <n v="78.16"/>
  </r>
  <r>
    <n v="557"/>
    <n v="34"/>
    <n v="635"/>
    <n v="419"/>
    <n v="685"/>
    <x v="8"/>
    <x v="7"/>
    <n v="37"/>
    <s v="TpCp"/>
    <s v="Trent/Colin"/>
    <n v="113.02"/>
    <s v="SACS"/>
    <s v="Walker/Cory"/>
    <n v="52.16"/>
    <s v="NONE"/>
    <n v="165.18"/>
    <n v="60.86"/>
    <x v="4"/>
    <x v="5"/>
    <s v="AWAY"/>
    <s v="HOME"/>
    <n v="113.02"/>
    <n v="52.16"/>
  </r>
  <r>
    <n v="558"/>
    <n v="383"/>
    <n v="88"/>
    <n v="134"/>
    <n v="80"/>
    <x v="8"/>
    <x v="7"/>
    <n v="38"/>
    <s v="DKMB"/>
    <s v="David/Marshall"/>
    <n v="117.26"/>
    <s v="GVO"/>
    <s v="Pat/Tucker"/>
    <n v="137.02000000000001"/>
    <s v="NONE"/>
    <n v="254.28000000000003"/>
    <n v="19.760000000000005"/>
    <x v="2"/>
    <x v="4"/>
    <s v="HOME"/>
    <s v="AWAY"/>
    <n v="137.02000000000001"/>
    <n v="117.26"/>
  </r>
  <r>
    <n v="559"/>
    <n v="641"/>
    <n v="169"/>
    <n v="322"/>
    <n v="75"/>
    <x v="8"/>
    <x v="7"/>
    <n v="39"/>
    <s v="CPDL"/>
    <s v="Drew/Cam"/>
    <n v="121.2"/>
    <s v="DERS"/>
    <s v="Eric/Blake"/>
    <n v="117.52"/>
    <s v="NONE"/>
    <n v="238.72"/>
    <n v="3.6800000000000068"/>
    <x v="6"/>
    <x v="2"/>
    <s v="AWAY"/>
    <s v="HOME"/>
    <n v="121.2"/>
    <n v="117.52"/>
  </r>
  <r>
    <n v="560"/>
    <n v="200"/>
    <n v="302"/>
    <n v="242"/>
    <n v="359"/>
    <x v="8"/>
    <x v="7"/>
    <n v="40"/>
    <s v="CSRT"/>
    <s v="Clay/Ryan"/>
    <n v="126.96"/>
    <s v="DBNG"/>
    <s v="Dave/Nolan"/>
    <n v="92.3"/>
    <s v="NONE"/>
    <n v="219.26"/>
    <n v="34.659999999999997"/>
    <x v="3"/>
    <x v="1"/>
    <s v="AWAY"/>
    <s v="HOME"/>
    <n v="126.96"/>
    <n v="92.3"/>
  </r>
  <r>
    <n v="561"/>
    <n v="47"/>
    <n v="678"/>
    <n v="551"/>
    <n v="693"/>
    <x v="8"/>
    <x v="8"/>
    <n v="41"/>
    <s v="SACS"/>
    <s v="Walker/Cory"/>
    <n v="102.38"/>
    <s v="HSOD"/>
    <s v="Brian/Travis"/>
    <n v="45.14"/>
    <s v="NONE"/>
    <n v="147.51999999999998"/>
    <n v="57.239999999999995"/>
    <x v="1"/>
    <x v="3"/>
    <s v="AWAY"/>
    <s v="HOME"/>
    <n v="102.38"/>
    <n v="45.14"/>
  </r>
  <r>
    <n v="562"/>
    <n v="650"/>
    <n v="614"/>
    <n v="661"/>
    <n v="493"/>
    <x v="8"/>
    <x v="8"/>
    <n v="42"/>
    <s v="GVO"/>
    <s v="Pat/Tucker"/>
    <n v="87.44"/>
    <s v="MSG"/>
    <s v="Graham/Michael"/>
    <n v="84.18"/>
    <s v="NONE"/>
    <n v="171.62"/>
    <n v="3.2599999999999909"/>
    <x v="2"/>
    <x v="6"/>
    <s v="AWAY"/>
    <s v="HOME"/>
    <n v="87.44"/>
    <n v="84.18"/>
  </r>
  <r>
    <n v="563"/>
    <n v="447"/>
    <n v="367"/>
    <n v="440"/>
    <n v="289"/>
    <x v="8"/>
    <x v="8"/>
    <n v="43"/>
    <s v="TpCp"/>
    <s v="Trent/Colin"/>
    <n v="97.38"/>
    <s v="CSRT"/>
    <s v="Clay/Ryan"/>
    <n v="111.86"/>
    <s v="NONE"/>
    <n v="209.24"/>
    <n v="14.480000000000004"/>
    <x v="3"/>
    <x v="7"/>
    <s v="HOME"/>
    <s v="AWAY"/>
    <n v="111.86"/>
    <n v="97.38"/>
  </r>
  <r>
    <n v="564"/>
    <n v="197"/>
    <n v="301"/>
    <n v="240"/>
    <n v="361"/>
    <x v="8"/>
    <x v="8"/>
    <n v="44"/>
    <s v="DERS"/>
    <s v="Eric/Blake"/>
    <n v="127.14"/>
    <s v="DBNG"/>
    <s v="Dave/Nolan"/>
    <n v="92.18"/>
    <s v="NONE"/>
    <n v="219.32"/>
    <n v="34.959999999999994"/>
    <x v="5"/>
    <x v="1"/>
    <s v="AWAY"/>
    <s v="HOME"/>
    <n v="127.14"/>
    <n v="92.18"/>
  </r>
  <r>
    <n v="565"/>
    <n v="245"/>
    <n v="222"/>
    <n v="203"/>
    <n v="255"/>
    <x v="8"/>
    <x v="8"/>
    <n v="45"/>
    <s v="DKMB"/>
    <s v="David/Marshall"/>
    <n v="129.91999999999999"/>
    <s v="CPDL"/>
    <s v="Drew/Cam"/>
    <n v="99.66"/>
    <s v="NONE"/>
    <n v="229.57999999999998"/>
    <n v="30.259999999999991"/>
    <x v="9"/>
    <x v="0"/>
    <s v="AWAY"/>
    <s v="HOME"/>
    <n v="129.91999999999999"/>
    <n v="99.66"/>
  </r>
  <r>
    <n v="566"/>
    <n v="317"/>
    <n v="460"/>
    <n v="454"/>
    <n v="444"/>
    <x v="8"/>
    <x v="9"/>
    <n v="46"/>
    <s v="GVO"/>
    <s v="Pat/Tucker"/>
    <n v="87.38"/>
    <s v="TpCp"/>
    <s v="Trent/Colin"/>
    <n v="111.12"/>
    <s v="NONE"/>
    <n v="198.5"/>
    <n v="23.740000000000009"/>
    <x v="4"/>
    <x v="9"/>
    <s v="HOME"/>
    <s v="AWAY"/>
    <n v="111.12"/>
    <n v="87.38"/>
  </r>
  <r>
    <n v="567"/>
    <n v="508"/>
    <n v="688"/>
    <n v="689"/>
    <n v="660"/>
    <x v="8"/>
    <x v="9"/>
    <n v="47"/>
    <s v="DERS"/>
    <s v="Eric/Blake"/>
    <n v="75.5"/>
    <s v="SACS"/>
    <s v="Walker/Cory"/>
    <n v="64.86"/>
    <s v="NONE"/>
    <n v="140.36000000000001"/>
    <n v="10.64"/>
    <x v="5"/>
    <x v="5"/>
    <s v="AWAY"/>
    <s v="HOME"/>
    <n v="75.5"/>
    <n v="64.86"/>
  </r>
  <r>
    <n v="568"/>
    <n v="588"/>
    <n v="132"/>
    <n v="259"/>
    <n v="66"/>
    <x v="8"/>
    <x v="9"/>
    <n v="48"/>
    <s v="HSOD"/>
    <s v="Brian/Travis"/>
    <n v="125.74"/>
    <s v="DKMB"/>
    <s v="David/Marshall"/>
    <n v="118.92"/>
    <s v="NONE"/>
    <n v="244.66"/>
    <n v="6.8199999999999932"/>
    <x v="7"/>
    <x v="4"/>
    <s v="AWAY"/>
    <s v="HOME"/>
    <n v="125.74"/>
    <n v="118.92"/>
  </r>
  <r>
    <n v="569"/>
    <n v="61"/>
    <n v="162"/>
    <n v="74"/>
    <n v="348"/>
    <x v="8"/>
    <x v="9"/>
    <n v="49"/>
    <s v="DBNG"/>
    <s v="Dave/Nolan"/>
    <n v="146.9"/>
    <s v="MSG"/>
    <s v="Graham/Michael"/>
    <n v="93.24"/>
    <s v="NONE"/>
    <n v="240.14"/>
    <n v="53.660000000000011"/>
    <x v="8"/>
    <x v="6"/>
    <s v="AWAY"/>
    <s v="HOME"/>
    <n v="146.9"/>
    <n v="93.24"/>
  </r>
  <r>
    <n v="570"/>
    <n v="76"/>
    <n v="292"/>
    <n v="143"/>
    <n v="480"/>
    <x v="8"/>
    <x v="9"/>
    <n v="50"/>
    <s v="CSRT"/>
    <s v="Clay/Ryan"/>
    <n v="85.14"/>
    <s v="CPDL"/>
    <s v="Drew/Cam"/>
    <n v="135.72"/>
    <s v="NONE"/>
    <n v="220.86"/>
    <n v="50.58"/>
    <x v="6"/>
    <x v="8"/>
    <s v="HOME"/>
    <s v="AWAY"/>
    <n v="135.72"/>
    <n v="85.14"/>
  </r>
  <r>
    <n v="571"/>
    <n v="261"/>
    <n v="30"/>
    <n v="52"/>
    <n v="45"/>
    <x v="8"/>
    <x v="10"/>
    <n v="51"/>
    <s v="DERS"/>
    <s v="Eric/Blake"/>
    <n v="122.28"/>
    <s v="DKMB"/>
    <s v="David/Marshall"/>
    <n v="151.02000000000001"/>
    <s v="NONE"/>
    <n v="273.3"/>
    <n v="28.740000000000009"/>
    <x v="9"/>
    <x v="2"/>
    <s v="HOME"/>
    <s v="AWAY"/>
    <n v="151.02000000000001"/>
    <n v="122.28"/>
  </r>
  <r>
    <n v="572"/>
    <n v="639"/>
    <n v="353"/>
    <n v="488"/>
    <n v="196"/>
    <x v="8"/>
    <x v="10"/>
    <n v="52"/>
    <s v="GVO"/>
    <s v="Pat/Tucker"/>
    <n v="103.72"/>
    <s v="DBNG"/>
    <s v="Dave/Nolan"/>
    <n v="107.48"/>
    <s v="NONE"/>
    <n v="211.2"/>
    <n v="3.7600000000000051"/>
    <x v="8"/>
    <x v="9"/>
    <s v="HOME"/>
    <s v="AWAY"/>
    <n v="107.48"/>
    <n v="103.72"/>
  </r>
  <r>
    <n v="573"/>
    <n v="26"/>
    <n v="316"/>
    <n v="103"/>
    <n v="566"/>
    <x v="8"/>
    <x v="10"/>
    <n v="53"/>
    <s v="CPDL"/>
    <s v="Drew/Cam"/>
    <n v="76.3"/>
    <s v="TpCp"/>
    <s v="Trent/Colin"/>
    <n v="140.18"/>
    <s v="NONE"/>
    <n v="216.48000000000002"/>
    <n v="63.88000000000001"/>
    <x v="4"/>
    <x v="0"/>
    <s v="HOME"/>
    <s v="AWAY"/>
    <n v="140.18"/>
    <n v="76.3"/>
  </r>
  <r>
    <n v="574"/>
    <n v="81"/>
    <n v="440"/>
    <n v="264"/>
    <n v="572"/>
    <x v="8"/>
    <x v="10"/>
    <n v="54"/>
    <s v="SACS"/>
    <s v="Walker/Cory"/>
    <n v="125.14"/>
    <s v="MSG"/>
    <s v="Graham/Michael"/>
    <n v="75.540000000000006"/>
    <s v="NONE"/>
    <n v="200.68"/>
    <n v="49.599999999999994"/>
    <x v="1"/>
    <x v="6"/>
    <s v="AWAY"/>
    <s v="HOME"/>
    <n v="125.14"/>
    <n v="75.540000000000006"/>
  </r>
  <r>
    <n v="575"/>
    <n v="224"/>
    <n v="350"/>
    <n v="316"/>
    <n v="401"/>
    <x v="8"/>
    <x v="10"/>
    <n v="55"/>
    <s v="CSRT"/>
    <s v="Clay/Ryan"/>
    <n v="121.76"/>
    <s v="HSOD"/>
    <s v="Brian/Travis"/>
    <n v="89.6"/>
    <s v="NONE"/>
    <n v="211.36"/>
    <n v="32.160000000000011"/>
    <x v="3"/>
    <x v="3"/>
    <s v="AWAY"/>
    <s v="HOME"/>
    <n v="121.76"/>
    <n v="89.6"/>
  </r>
  <r>
    <n v="576"/>
    <n v="250"/>
    <n v="331"/>
    <n v="315"/>
    <n v="365"/>
    <x v="8"/>
    <x v="11"/>
    <n v="56"/>
    <s v="DBNG"/>
    <s v="Dave/Nolan"/>
    <n v="91.94"/>
    <s v="CPDL"/>
    <s v="Drew/Cam"/>
    <n v="121.88"/>
    <s v="NONE"/>
    <n v="213.82"/>
    <n v="29.939999999999998"/>
    <x v="6"/>
    <x v="1"/>
    <s v="HOME"/>
    <s v="AWAY"/>
    <n v="121.88"/>
    <n v="91.94"/>
  </r>
  <r>
    <n v="577"/>
    <n v="369"/>
    <n v="170"/>
    <n v="205"/>
    <n v="150"/>
    <x v="8"/>
    <x v="11"/>
    <n v="57"/>
    <s v="MSG"/>
    <s v="Graham/Michael"/>
    <n v="129.6"/>
    <s v="DERS"/>
    <s v="Eric/Blake"/>
    <n v="109.02"/>
    <s v="NONE"/>
    <n v="238.62"/>
    <n v="20.58"/>
    <x v="0"/>
    <x v="2"/>
    <s v="AWAY"/>
    <s v="HOME"/>
    <n v="129.6"/>
    <n v="109.02"/>
  </r>
  <r>
    <n v="578"/>
    <n v="222"/>
    <n v="483"/>
    <n v="410"/>
    <n v="525"/>
    <x v="8"/>
    <x v="11"/>
    <n v="58"/>
    <s v="DKMB"/>
    <s v="David/Marshall"/>
    <n v="81.08"/>
    <s v="CSRT"/>
    <s v="Clay/Ryan"/>
    <n v="113.5"/>
    <s v="NONE"/>
    <n v="194.57999999999998"/>
    <n v="32.42"/>
    <x v="3"/>
    <x v="4"/>
    <s v="HOME"/>
    <s v="AWAY"/>
    <n v="113.5"/>
    <n v="81.08"/>
  </r>
  <r>
    <n v="579"/>
    <n v="423"/>
    <n v="537"/>
    <n v="555"/>
    <n v="481"/>
    <x v="8"/>
    <x v="11"/>
    <n v="59"/>
    <s v="SACS"/>
    <s v="Walker/Cory"/>
    <n v="85.12"/>
    <s v="GVO"/>
    <s v="Pat/Tucker"/>
    <n v="101.8"/>
    <s v="NONE"/>
    <n v="186.92000000000002"/>
    <n v="16.679999999999993"/>
    <x v="2"/>
    <x v="5"/>
    <s v="HOME"/>
    <s v="AWAY"/>
    <n v="101.8"/>
    <n v="85.12"/>
  </r>
  <r>
    <n v="580"/>
    <n v="24"/>
    <n v="539"/>
    <n v="244"/>
    <n v="674"/>
    <x v="8"/>
    <x v="11"/>
    <n v="60"/>
    <s v="TpCp"/>
    <s v="Trent/Colin"/>
    <n v="126.76"/>
    <s v="HSOD"/>
    <s v="Brian/Travis"/>
    <n v="60.08"/>
    <s v="NONE"/>
    <n v="186.84"/>
    <n v="66.680000000000007"/>
    <x v="4"/>
    <x v="3"/>
    <s v="AWAY"/>
    <s v="HOME"/>
    <n v="126.76"/>
    <n v="60.08"/>
  </r>
  <r>
    <n v="581"/>
    <n v="183"/>
    <n v="53"/>
    <n v="59"/>
    <n v="119"/>
    <x v="8"/>
    <x v="12"/>
    <n v="61"/>
    <s v="MSG"/>
    <s v="Graham/Michael"/>
    <n v="149.62"/>
    <s v="CSRT"/>
    <s v="Clay/Ryan"/>
    <n v="112.8"/>
    <s v="NONE"/>
    <n v="262.42"/>
    <n v="36.820000000000007"/>
    <x v="0"/>
    <x v="8"/>
    <s v="AWAY"/>
    <s v="HOME"/>
    <n v="149.62"/>
    <n v="112.8"/>
  </r>
  <r>
    <n v="582"/>
    <n v="157"/>
    <n v="529"/>
    <n v="417"/>
    <n v="586"/>
    <x v="8"/>
    <x v="12"/>
    <n v="62"/>
    <s v="DBNG"/>
    <s v="Dave/Nolan"/>
    <n v="74.319999999999993"/>
    <s v="SACS"/>
    <s v="Walker/Cory"/>
    <n v="113.3"/>
    <s v="NONE"/>
    <n v="187.62"/>
    <n v="38.980000000000004"/>
    <x v="1"/>
    <x v="1"/>
    <s v="HOME"/>
    <s v="AWAY"/>
    <n v="113.3"/>
    <n v="74.319999999999993"/>
  </r>
  <r>
    <n v="583"/>
    <n v="333"/>
    <n v="333"/>
    <n v="357"/>
    <n v="317"/>
    <x v="8"/>
    <x v="12"/>
    <n v="63"/>
    <s v="HSOD"/>
    <s v="Brian/Travis"/>
    <n v="95.56"/>
    <s v="CPDL"/>
    <s v="Drew/Cam"/>
    <n v="118.1"/>
    <s v="NONE"/>
    <n v="213.66"/>
    <n v="22.539999999999992"/>
    <x v="6"/>
    <x v="3"/>
    <s v="HOME"/>
    <s v="AWAY"/>
    <n v="118.1"/>
    <n v="95.56"/>
  </r>
  <r>
    <n v="584"/>
    <n v="102"/>
    <n v="372"/>
    <n v="232"/>
    <n v="526"/>
    <x v="8"/>
    <x v="12"/>
    <n v="64"/>
    <s v="DERS"/>
    <s v="Eric/Blake"/>
    <n v="127.68"/>
    <s v="GVO"/>
    <s v="Pat/Tucker"/>
    <n v="81.02"/>
    <s v="NONE"/>
    <n v="208.7"/>
    <n v="46.660000000000011"/>
    <x v="5"/>
    <x v="9"/>
    <s v="AWAY"/>
    <s v="HOME"/>
    <n v="127.68"/>
    <n v="81.02"/>
  </r>
  <r>
    <n v="585"/>
    <n v="132"/>
    <n v="75"/>
    <n v="61"/>
    <n v="167"/>
    <x v="8"/>
    <x v="12"/>
    <n v="65"/>
    <s v="TpCp"/>
    <s v="Trent/Colin"/>
    <n v="107.16"/>
    <s v="DKMB"/>
    <s v="David/Marshall"/>
    <n v="149.41999999999999"/>
    <s v="NONE"/>
    <n v="256.58"/>
    <n v="42.259999999999991"/>
    <x v="9"/>
    <x v="7"/>
    <s v="HOME"/>
    <s v="AWAY"/>
    <n v="149.41999999999999"/>
    <n v="107.16"/>
  </r>
  <r>
    <n v="586"/>
    <n v="37"/>
    <n v="624"/>
    <n v="398"/>
    <n v="683"/>
    <x v="8"/>
    <x v="13"/>
    <n v="66"/>
    <s v="HSOD"/>
    <s v="Brian/Travis"/>
    <n v="115.12"/>
    <s v="GVO"/>
    <s v="Pat/Tucker"/>
    <n v="55.18"/>
    <s v="NONE"/>
    <n v="170.3"/>
    <n v="59.940000000000005"/>
    <x v="7"/>
    <x v="9"/>
    <s v="AWAY"/>
    <s v="HOME"/>
    <n v="115.12"/>
    <n v="55.18"/>
  </r>
  <r>
    <n v="587"/>
    <n v="251"/>
    <n v="22"/>
    <n v="39"/>
    <n v="33"/>
    <x v="8"/>
    <x v="13"/>
    <n v="67"/>
    <s v="TpCp"/>
    <s v="Trent/Colin"/>
    <n v="154.54"/>
    <s v="DERS"/>
    <s v="Eric/Blake"/>
    <n v="124.7"/>
    <s v="NONE"/>
    <n v="279.24"/>
    <n v="29.839999999999989"/>
    <x v="4"/>
    <x v="2"/>
    <s v="AWAY"/>
    <s v="HOME"/>
    <n v="154.54"/>
    <n v="124.7"/>
  </r>
  <r>
    <n v="588"/>
    <n v="30"/>
    <n v="373"/>
    <n v="144"/>
    <n v="606"/>
    <x v="8"/>
    <x v="13"/>
    <n v="68"/>
    <s v="DKMB"/>
    <s v="David/Marshall"/>
    <n v="135.22"/>
    <s v="DBNG"/>
    <s v="Dave/Nolan"/>
    <n v="73.42"/>
    <s v="NONE"/>
    <n v="208.64"/>
    <n v="61.8"/>
    <x v="9"/>
    <x v="1"/>
    <s v="AWAY"/>
    <s v="HOME"/>
    <n v="135.22"/>
    <n v="73.42"/>
  </r>
  <r>
    <n v="589"/>
    <n v="540"/>
    <n v="69"/>
    <n v="166"/>
    <n v="37"/>
    <x v="8"/>
    <x v="13"/>
    <n v="69"/>
    <s v="CPDL"/>
    <s v="Drew/Cam"/>
    <n v="133.38"/>
    <s v="MSG"/>
    <s v="Graham/Michael"/>
    <n v="124.24"/>
    <s v="NONE"/>
    <n v="257.62"/>
    <n v="9.14"/>
    <x v="6"/>
    <x v="6"/>
    <s v="AWAY"/>
    <s v="HOME"/>
    <n v="133.38"/>
    <n v="124.24"/>
  </r>
  <r>
    <n v="590"/>
    <n v="101"/>
    <n v="164"/>
    <n v="89"/>
    <n v="300"/>
    <x v="8"/>
    <x v="13"/>
    <n v="70"/>
    <s v="CSRT"/>
    <s v="Clay/Ryan"/>
    <n v="143.41999999999999"/>
    <s v="SACS"/>
    <s v="Walker/Cory"/>
    <n v="96.54"/>
    <s v="NONE"/>
    <n v="239.95999999999998"/>
    <n v="46.879999999999981"/>
    <x v="3"/>
    <x v="5"/>
    <s v="AWAY"/>
    <s v="HOME"/>
    <n v="143.41999999999999"/>
    <n v="96.54"/>
  </r>
  <r>
    <n v="591"/>
    <n v="488"/>
    <n v="174"/>
    <n v="271"/>
    <n v="118"/>
    <x v="9"/>
    <x v="0"/>
    <n v="1"/>
    <s v="GVO"/>
    <s v="Pat/Tucker"/>
    <n v="112.92"/>
    <s v="HSOD"/>
    <s v="Brian/Travis"/>
    <n v="124.88"/>
    <s v="NONE"/>
    <n v="237.8"/>
    <n v="11.959999999999994"/>
    <x v="7"/>
    <x v="9"/>
    <s v="HOME"/>
    <s v="AWAY"/>
    <n v="124.88"/>
    <n v="112.92"/>
  </r>
  <r>
    <n v="592"/>
    <n v="662"/>
    <n v="441"/>
    <n v="556"/>
    <n v="266"/>
    <x v="9"/>
    <x v="0"/>
    <n v="2"/>
    <s v="SACS"/>
    <s v="Walker/Cory"/>
    <n v="101.62"/>
    <s v="DERS"/>
    <s v="Eric/Blake"/>
    <n v="99"/>
    <s v="NONE"/>
    <n v="200.62"/>
    <n v="2.6200000000000045"/>
    <x v="1"/>
    <x v="2"/>
    <s v="AWAY"/>
    <s v="HOME"/>
    <n v="101.62"/>
    <n v="99"/>
  </r>
  <r>
    <n v="593"/>
    <n v="378"/>
    <n v="57"/>
    <n v="104"/>
    <n v="57"/>
    <x v="9"/>
    <x v="0"/>
    <n v="3"/>
    <s v="CSRT"/>
    <s v="Clay/Ryan"/>
    <n v="120.08"/>
    <s v="TpCp"/>
    <s v="Trent/Colin"/>
    <n v="140.1"/>
    <s v="NONE"/>
    <n v="260.18"/>
    <n v="20.019999999999996"/>
    <x v="4"/>
    <x v="8"/>
    <s v="HOME"/>
    <s v="AWAY"/>
    <n v="140.1"/>
    <n v="120.08"/>
  </r>
  <r>
    <n v="594"/>
    <n v="293"/>
    <n v="200"/>
    <n v="205"/>
    <n v="188"/>
    <x v="9"/>
    <x v="0"/>
    <n v="4"/>
    <s v="MSG"/>
    <s v="Graham/Michael"/>
    <n v="104.02"/>
    <s v="DBNG"/>
    <s v="Dave/Nolan"/>
    <n v="129.6"/>
    <s v="NONE"/>
    <n v="233.62"/>
    <n v="25.58"/>
    <x v="8"/>
    <x v="6"/>
    <s v="HOME"/>
    <s v="AWAY"/>
    <n v="129.6"/>
    <n v="104.02"/>
  </r>
  <r>
    <n v="595"/>
    <n v="272"/>
    <n v="293"/>
    <n v="282"/>
    <n v="306"/>
    <x v="9"/>
    <x v="0"/>
    <n v="5"/>
    <s v="CPDL"/>
    <s v="Drew/Cam"/>
    <n v="124.32"/>
    <s v="DKMB"/>
    <s v="David/Marshall"/>
    <n v="96.36"/>
    <s v="NONE"/>
    <n v="220.68"/>
    <n v="27.959999999999994"/>
    <x v="6"/>
    <x v="4"/>
    <s v="AWAY"/>
    <s v="HOME"/>
    <n v="124.32"/>
    <n v="96.36"/>
  </r>
  <r>
    <n v="596"/>
    <n v="342"/>
    <n v="659"/>
    <n v="652"/>
    <n v="645"/>
    <x v="9"/>
    <x v="1"/>
    <n v="6"/>
    <s v="DERS"/>
    <s v="Eric/Blake"/>
    <n v="67.459999999999994"/>
    <s v="TpCp"/>
    <s v="Trent/Colin"/>
    <n v="89.86"/>
    <s v="NONE"/>
    <n v="157.32"/>
    <n v="22.400000000000006"/>
    <x v="4"/>
    <x v="2"/>
    <s v="HOME"/>
    <s v="AWAY"/>
    <n v="89.86"/>
    <n v="67.459999999999994"/>
  </r>
  <r>
    <n v="597"/>
    <n v="2"/>
    <n v="19"/>
    <n v="1"/>
    <n v="334"/>
    <x v="9"/>
    <x v="1"/>
    <n v="7"/>
    <s v="DBNG"/>
    <s v="Dave/Nolan"/>
    <n v="94.2"/>
    <s v="GVO"/>
    <s v="Pat/Tucker"/>
    <n v="186.92"/>
    <s v="NONE"/>
    <n v="281.12"/>
    <n v="92.719999999999985"/>
    <x v="2"/>
    <x v="1"/>
    <s v="HOME"/>
    <s v="AWAY"/>
    <n v="186.92"/>
    <n v="94.2"/>
  </r>
  <r>
    <n v="598"/>
    <n v="43"/>
    <n v="58"/>
    <n v="27"/>
    <n v="238"/>
    <x v="9"/>
    <x v="1"/>
    <n v="8"/>
    <s v="DKMB"/>
    <s v="David/Marshall"/>
    <n v="100.76"/>
    <s v="HSOD"/>
    <s v="Brian/Travis"/>
    <n v="159.28"/>
    <s v="NONE"/>
    <n v="260.04000000000002"/>
    <n v="58.519999999999996"/>
    <x v="7"/>
    <x v="4"/>
    <s v="HOME"/>
    <s v="AWAY"/>
    <n v="159.28"/>
    <n v="100.76"/>
  </r>
  <r>
    <n v="599"/>
    <n v="159"/>
    <n v="7"/>
    <n v="14"/>
    <n v="19"/>
    <x v="9"/>
    <x v="1"/>
    <n v="9"/>
    <s v="MSG"/>
    <s v="Graham/Michael"/>
    <n v="129.58000000000001"/>
    <s v="SACS"/>
    <s v="Walker/Cory"/>
    <n v="168.12"/>
    <s v="NONE"/>
    <n v="297.70000000000005"/>
    <n v="38.539999999999992"/>
    <x v="1"/>
    <x v="6"/>
    <s v="HOME"/>
    <s v="AWAY"/>
    <n v="168.12"/>
    <n v="129.58000000000001"/>
  </r>
  <r>
    <n v="600"/>
    <n v="609"/>
    <n v="488"/>
    <n v="564"/>
    <n v="335"/>
    <x v="9"/>
    <x v="1"/>
    <n v="10"/>
    <s v="CPDL"/>
    <s v="Drew/Cam"/>
    <n v="94.16"/>
    <s v="CSRT"/>
    <s v="Clay/Ryan"/>
    <n v="99.9"/>
    <s v="NONE"/>
    <n v="194.06"/>
    <n v="5.7400000000000091"/>
    <x v="3"/>
    <x v="0"/>
    <s v="HOME"/>
    <s v="AWAY"/>
    <n v="99.9"/>
    <n v="94.16"/>
  </r>
  <r>
    <n v="601"/>
    <n v="123"/>
    <n v="473"/>
    <n v="343"/>
    <n v="565"/>
    <x v="9"/>
    <x v="2"/>
    <n v="11"/>
    <s v="DBNG"/>
    <s v="Dave/Nolan"/>
    <n v="119.88"/>
    <s v="DKMB"/>
    <s v="David/Marshall"/>
    <n v="76.48"/>
    <s v="NONE"/>
    <n v="196.36"/>
    <n v="43.399999999999991"/>
    <x v="8"/>
    <x v="4"/>
    <s v="AWAY"/>
    <s v="HOME"/>
    <n v="119.88"/>
    <n v="76.48"/>
  </r>
  <r>
    <n v="602"/>
    <n v="416"/>
    <n v="332"/>
    <n v="394"/>
    <n v="277"/>
    <x v="9"/>
    <x v="2"/>
    <n v="12"/>
    <s v="DERS"/>
    <s v="Eric/Blake"/>
    <n v="98.22"/>
    <s v="MSG"/>
    <s v="Graham/Michael"/>
    <n v="115.46"/>
    <s v="NONE"/>
    <n v="213.68"/>
    <n v="17.239999999999995"/>
    <x v="0"/>
    <x v="2"/>
    <s v="HOME"/>
    <s v="AWAY"/>
    <n v="115.46"/>
    <n v="98.22"/>
  </r>
  <r>
    <n v="603"/>
    <n v="414"/>
    <n v="269"/>
    <n v="337"/>
    <n v="209"/>
    <x v="9"/>
    <x v="2"/>
    <n v="13"/>
    <s v="TpCp"/>
    <s v="Trent/Colin"/>
    <n v="120.4"/>
    <s v="CPDL"/>
    <s v="Drew/Cam"/>
    <n v="103.1"/>
    <s v="NONE"/>
    <n v="223.5"/>
    <n v="17.300000000000011"/>
    <x v="4"/>
    <x v="0"/>
    <s v="AWAY"/>
    <s v="HOME"/>
    <n v="120.4"/>
    <n v="103.1"/>
  </r>
  <r>
    <n v="604"/>
    <n v="429"/>
    <n v="186"/>
    <n v="253"/>
    <n v="141"/>
    <x v="9"/>
    <x v="2"/>
    <n v="14"/>
    <s v="GVO"/>
    <s v="Pat/Tucker"/>
    <n v="126.22"/>
    <s v="SACS"/>
    <s v="Walker/Cory"/>
    <n v="110.3"/>
    <s v="NONE"/>
    <n v="236.51999999999998"/>
    <n v="15.920000000000002"/>
    <x v="2"/>
    <x v="5"/>
    <s v="AWAY"/>
    <s v="HOME"/>
    <n v="126.22"/>
    <n v="110.3"/>
  </r>
  <r>
    <n v="605"/>
    <n v="681"/>
    <n v="664"/>
    <n v="687"/>
    <n v="571"/>
    <x v="9"/>
    <x v="2"/>
    <n v="15"/>
    <s v="HSOD"/>
    <s v="Brian/Travis"/>
    <n v="76.8"/>
    <s v="CSRT"/>
    <s v="Clay/Ryan"/>
    <n v="75.86"/>
    <s v="NONE"/>
    <n v="152.66"/>
    <n v="0.93999999999999773"/>
    <x v="7"/>
    <x v="8"/>
    <s v="AWAY"/>
    <s v="HOME"/>
    <n v="76.8"/>
    <n v="75.86"/>
  </r>
  <r>
    <n v="606"/>
    <n v="592"/>
    <n v="220"/>
    <n v="356"/>
    <n v="128"/>
    <x v="9"/>
    <x v="3"/>
    <n v="16"/>
    <s v="MSG"/>
    <s v="Graham/Michael"/>
    <n v="118.28"/>
    <s v="CPDL"/>
    <s v="Drew/Cam"/>
    <n v="111.68"/>
    <s v="NONE"/>
    <n v="229.96"/>
    <n v="6.5999999999999943"/>
    <x v="0"/>
    <x v="0"/>
    <s v="AWAY"/>
    <s v="HOME"/>
    <n v="118.28"/>
    <n v="111.68"/>
  </r>
  <r>
    <n v="607"/>
    <n v="124"/>
    <n v="45"/>
    <n v="36"/>
    <n v="126"/>
    <x v="9"/>
    <x v="3"/>
    <n v="17"/>
    <s v="SACS"/>
    <s v="Walker/Cory"/>
    <n v="111.96"/>
    <s v="DBNG"/>
    <s v="Dave/Nolan"/>
    <n v="155.06"/>
    <s v="NONE"/>
    <n v="267.02"/>
    <n v="43.100000000000009"/>
    <x v="8"/>
    <x v="5"/>
    <s v="HOME"/>
    <s v="AWAY"/>
    <n v="155.06"/>
    <n v="111.96"/>
  </r>
  <r>
    <n v="608"/>
    <n v="233"/>
    <n v="202"/>
    <n v="180"/>
    <n v="239"/>
    <x v="9"/>
    <x v="3"/>
    <n v="18"/>
    <s v="CSRT"/>
    <s v="Clay/Ryan"/>
    <n v="132.4"/>
    <s v="DKMB"/>
    <s v="David/Marshall"/>
    <n v="100.6"/>
    <s v="NONE"/>
    <n v="233"/>
    <n v="31.800000000000011"/>
    <x v="3"/>
    <x v="4"/>
    <s v="AWAY"/>
    <s v="HOME"/>
    <n v="132.4"/>
    <n v="100.6"/>
  </r>
  <r>
    <n v="609"/>
    <n v="429"/>
    <n v="279"/>
    <n v="349"/>
    <n v="207"/>
    <x v="9"/>
    <x v="3"/>
    <n v="19"/>
    <s v="GVO"/>
    <s v="Pat/Tucker"/>
    <n v="119.26"/>
    <s v="DERS"/>
    <s v="Eric/Blake"/>
    <n v="103.34"/>
    <s v="NONE"/>
    <n v="222.60000000000002"/>
    <n v="15.920000000000002"/>
    <x v="2"/>
    <x v="2"/>
    <s v="AWAY"/>
    <s v="HOME"/>
    <n v="119.26"/>
    <n v="103.34"/>
  </r>
  <r>
    <n v="610"/>
    <n v="633"/>
    <n v="533"/>
    <n v="607"/>
    <n v="369"/>
    <x v="9"/>
    <x v="3"/>
    <n v="20"/>
    <s v="HSOD"/>
    <s v="Brian/Travis"/>
    <n v="91.52"/>
    <s v="TpCp"/>
    <s v="Trent/Colin"/>
    <n v="95.8"/>
    <s v="NONE"/>
    <n v="187.32"/>
    <n v="4.2800000000000011"/>
    <x v="4"/>
    <x v="3"/>
    <s v="HOME"/>
    <s v="AWAY"/>
    <n v="95.8"/>
    <n v="91.52"/>
  </r>
  <r>
    <n v="611"/>
    <n v="46"/>
    <n v="29"/>
    <n v="18"/>
    <n v="162"/>
    <x v="9"/>
    <x v="4"/>
    <n v="21"/>
    <s v="SACS"/>
    <s v="Walker/Cory"/>
    <n v="165.46"/>
    <s v="CSRT"/>
    <s v="Clay/Ryan"/>
    <n v="107.96"/>
    <s v="NONE"/>
    <n v="273.42"/>
    <n v="57.500000000000014"/>
    <x v="1"/>
    <x v="8"/>
    <s v="AWAY"/>
    <s v="HOME"/>
    <n v="165.46"/>
    <n v="107.96"/>
  </r>
  <r>
    <n v="612"/>
    <n v="169"/>
    <n v="382"/>
    <n v="302"/>
    <n v="479"/>
    <x v="9"/>
    <x v="4"/>
    <n v="22"/>
    <s v="MSG"/>
    <s v="Graham/Michael"/>
    <n v="122.9"/>
    <s v="GVO"/>
    <s v="Pat/Tucker"/>
    <n v="85.16"/>
    <s v="NONE"/>
    <n v="208.06"/>
    <n v="37.740000000000009"/>
    <x v="0"/>
    <x v="9"/>
    <s v="AWAY"/>
    <s v="HOME"/>
    <n v="122.9"/>
    <n v="85.16"/>
  </r>
  <r>
    <n v="613"/>
    <n v="278"/>
    <n v="648"/>
    <n v="619"/>
    <n v="649"/>
    <x v="9"/>
    <x v="4"/>
    <n v="23"/>
    <s v="CPDL"/>
    <s v="Drew/Cam"/>
    <n v="94.18"/>
    <s v="HSOD"/>
    <s v="Brian/Travis"/>
    <n v="66.86"/>
    <s v="NONE"/>
    <n v="161.04000000000002"/>
    <n v="27.320000000000007"/>
    <x v="6"/>
    <x v="3"/>
    <s v="AWAY"/>
    <s v="HOME"/>
    <n v="94.18"/>
    <n v="66.86"/>
  </r>
  <r>
    <n v="614"/>
    <n v="50"/>
    <n v="109"/>
    <n v="42"/>
    <n v="309"/>
    <x v="9"/>
    <x v="4"/>
    <n v="24"/>
    <s v="DBNG"/>
    <s v="Dave/Nolan"/>
    <n v="153.18"/>
    <s v="DERS"/>
    <s v="Eric/Blake"/>
    <n v="96.26"/>
    <s v="NONE"/>
    <n v="249.44"/>
    <n v="56.92"/>
    <x v="8"/>
    <x v="2"/>
    <s v="AWAY"/>
    <s v="HOME"/>
    <n v="153.18"/>
    <n v="96.26"/>
  </r>
  <r>
    <n v="615"/>
    <n v="69"/>
    <n v="240"/>
    <n v="108"/>
    <n v="436"/>
    <x v="9"/>
    <x v="4"/>
    <n v="25"/>
    <s v="DKMB"/>
    <s v="David/Marshall"/>
    <n v="87.52"/>
    <s v="TpCp"/>
    <s v="Trent/Colin"/>
    <n v="139.74"/>
    <s v="NONE"/>
    <n v="227.26"/>
    <n v="52.220000000000013"/>
    <x v="4"/>
    <x v="4"/>
    <s v="HOME"/>
    <s v="AWAY"/>
    <n v="139.74"/>
    <n v="87.52"/>
  </r>
  <r>
    <n v="616"/>
    <n v="343"/>
    <n v="564"/>
    <n v="542"/>
    <n v="531"/>
    <x v="9"/>
    <x v="5"/>
    <n v="26"/>
    <s v="HSOD"/>
    <s v="Brian/Travis"/>
    <n v="103.1"/>
    <s v="DERS"/>
    <s v="Eric/Blake"/>
    <n v="80.88"/>
    <s v="NONE"/>
    <n v="183.98"/>
    <n v="22.22"/>
    <x v="7"/>
    <x v="2"/>
    <s v="AWAY"/>
    <s v="HOME"/>
    <n v="103.1"/>
    <n v="80.88"/>
  </r>
  <r>
    <n v="617"/>
    <n v="262"/>
    <n v="392"/>
    <n v="364"/>
    <n v="407"/>
    <x v="9"/>
    <x v="5"/>
    <n v="27"/>
    <s v="TpCp"/>
    <s v="Trent/Colin"/>
    <n v="117.6"/>
    <s v="DBNG"/>
    <s v="Dave/Nolan"/>
    <n v="89.02"/>
    <s v="NONE"/>
    <n v="206.62"/>
    <n v="28.58"/>
    <x v="4"/>
    <x v="1"/>
    <s v="AWAY"/>
    <s v="HOME"/>
    <n v="117.6"/>
    <n v="89.02"/>
  </r>
  <r>
    <n v="618"/>
    <n v="652"/>
    <n v="670"/>
    <n v="685"/>
    <n v="587"/>
    <x v="9"/>
    <x v="5"/>
    <n v="28"/>
    <s v="DKMB"/>
    <s v="David/Marshall"/>
    <n v="74.22"/>
    <s v="MSG"/>
    <s v="Graham/Michael"/>
    <n v="77.38"/>
    <s v="NONE"/>
    <n v="151.6"/>
    <n v="3.1599999999999966"/>
    <x v="0"/>
    <x v="4"/>
    <s v="HOME"/>
    <s v="AWAY"/>
    <n v="77.38"/>
    <n v="74.22"/>
  </r>
  <r>
    <n v="619"/>
    <n v="431"/>
    <n v="375"/>
    <n v="435"/>
    <n v="307"/>
    <x v="9"/>
    <x v="5"/>
    <n v="29"/>
    <s v="CPDL"/>
    <s v="Drew/Cam"/>
    <n v="96.3"/>
    <s v="SACS"/>
    <s v="Walker/Cory"/>
    <n v="112.2"/>
    <s v="NONE"/>
    <n v="208.5"/>
    <n v="15.900000000000006"/>
    <x v="1"/>
    <x v="0"/>
    <s v="HOME"/>
    <s v="AWAY"/>
    <n v="112.2"/>
    <n v="96.3"/>
  </r>
  <r>
    <n v="620"/>
    <n v="537"/>
    <n v="340"/>
    <n v="455"/>
    <n v="225"/>
    <x v="9"/>
    <x v="5"/>
    <n v="30"/>
    <s v="CSRT"/>
    <s v="Clay/Ryan"/>
    <n v="111.02"/>
    <s v="GVO"/>
    <s v="Pat/Tucker"/>
    <n v="101.6"/>
    <s v="NONE"/>
    <n v="212.62"/>
    <n v="9.4200000000000017"/>
    <x v="3"/>
    <x v="9"/>
    <s v="AWAY"/>
    <s v="HOME"/>
    <n v="111.02"/>
    <n v="101.6"/>
  </r>
  <r>
    <n v="621"/>
    <n v="402"/>
    <n v="321"/>
    <n v="370"/>
    <n v="271"/>
    <x v="9"/>
    <x v="6"/>
    <n v="31"/>
    <s v="DBNG"/>
    <s v="Dave/Nolan"/>
    <n v="117.12"/>
    <s v="HSOD"/>
    <s v="Brian/Travis"/>
    <n v="98.74"/>
    <s v="NONE"/>
    <n v="215.86"/>
    <n v="18.38000000000001"/>
    <x v="8"/>
    <x v="3"/>
    <s v="AWAY"/>
    <s v="HOME"/>
    <n v="117.12"/>
    <n v="98.74"/>
  </r>
  <r>
    <n v="622"/>
    <n v="436"/>
    <n v="381"/>
    <n v="440"/>
    <n v="305"/>
    <x v="9"/>
    <x v="6"/>
    <n v="32"/>
    <s v="MSG"/>
    <s v="Graham/Michael"/>
    <n v="111.86"/>
    <s v="TpCp"/>
    <s v="Trent/Colin"/>
    <n v="96.38"/>
    <s v="NONE"/>
    <n v="208.24"/>
    <n v="15.480000000000004"/>
    <x v="0"/>
    <x v="7"/>
    <s v="AWAY"/>
    <s v="HOME"/>
    <n v="111.86"/>
    <n v="96.38"/>
  </r>
  <r>
    <n v="623"/>
    <n v="74"/>
    <n v="645"/>
    <n v="502"/>
    <n v="682"/>
    <x v="9"/>
    <x v="6"/>
    <n v="33"/>
    <s v="SACS"/>
    <s v="Walker/Cory"/>
    <n v="106.44"/>
    <s v="DKMB"/>
    <s v="David/Marshall"/>
    <n v="55.52"/>
    <s v="NONE"/>
    <n v="161.96"/>
    <n v="50.919999999999995"/>
    <x v="1"/>
    <x v="4"/>
    <s v="AWAY"/>
    <s v="HOME"/>
    <n v="106.44"/>
    <n v="55.52"/>
  </r>
  <r>
    <n v="624"/>
    <n v="28"/>
    <n v="339"/>
    <n v="124"/>
    <n v="582"/>
    <x v="9"/>
    <x v="6"/>
    <n v="34"/>
    <s v="GVO"/>
    <s v="Pat/Tucker"/>
    <n v="74.8"/>
    <s v="CPDL"/>
    <s v="Drew/Cam"/>
    <n v="137.94"/>
    <s v="NONE"/>
    <n v="212.74"/>
    <n v="63.14"/>
    <x v="6"/>
    <x v="9"/>
    <s v="HOME"/>
    <s v="AWAY"/>
    <n v="137.94"/>
    <n v="74.8"/>
  </r>
  <r>
    <n v="625"/>
    <n v="282"/>
    <n v="411"/>
    <n v="389"/>
    <n v="414"/>
    <x v="9"/>
    <x v="6"/>
    <n v="35"/>
    <s v="DERS"/>
    <s v="Eric/Blake"/>
    <n v="115.7"/>
    <s v="CSRT"/>
    <s v="Clay/Ryan"/>
    <n v="88.8"/>
    <s v="NONE"/>
    <n v="204.5"/>
    <n v="26.900000000000006"/>
    <x v="5"/>
    <x v="8"/>
    <s v="AWAY"/>
    <s v="HOME"/>
    <n v="115.7"/>
    <n v="88.8"/>
  </r>
  <r>
    <n v="626"/>
    <n v="599"/>
    <n v="160"/>
    <n v="295"/>
    <n v="78"/>
    <x v="9"/>
    <x v="7"/>
    <n v="36"/>
    <s v="HSOD"/>
    <s v="Brian/Travis"/>
    <n v="123.32"/>
    <s v="MSG"/>
    <s v="Graham/Michael"/>
    <n v="117.3"/>
    <s v="NONE"/>
    <n v="240.62"/>
    <n v="6.019999999999996"/>
    <x v="7"/>
    <x v="6"/>
    <s v="AWAY"/>
    <s v="HOME"/>
    <n v="123.32"/>
    <n v="117.3"/>
  </r>
  <r>
    <n v="627"/>
    <n v="497"/>
    <n v="140"/>
    <n v="237"/>
    <n v="94"/>
    <x v="9"/>
    <x v="7"/>
    <n v="37"/>
    <s v="TpCp"/>
    <s v="Trent/Colin"/>
    <n v="127.18"/>
    <s v="SACS"/>
    <s v="Walker/Cory"/>
    <n v="116"/>
    <s v="NONE"/>
    <n v="243.18"/>
    <n v="11.180000000000007"/>
    <x v="4"/>
    <x v="5"/>
    <s v="AWAY"/>
    <s v="HOME"/>
    <n v="127.18"/>
    <n v="116"/>
  </r>
  <r>
    <n v="628"/>
    <n v="1"/>
    <n v="48"/>
    <n v="3"/>
    <n v="482"/>
    <x v="9"/>
    <x v="7"/>
    <n v="38"/>
    <s v="DKMB"/>
    <s v="David/Marshall"/>
    <n v="85"/>
    <s v="GVO"/>
    <s v="Pat/Tucker"/>
    <n v="181.62"/>
    <s v="NONE"/>
    <n v="266.62"/>
    <n v="96.62"/>
    <x v="2"/>
    <x v="4"/>
    <s v="HOME"/>
    <s v="AWAY"/>
    <n v="181.62"/>
    <n v="85"/>
  </r>
  <r>
    <n v="629"/>
    <n v="11"/>
    <n v="290"/>
    <n v="67"/>
    <n v="615"/>
    <x v="9"/>
    <x v="7"/>
    <n v="39"/>
    <s v="CPDL"/>
    <s v="Drew/Cam"/>
    <n v="72.680000000000007"/>
    <s v="DERS"/>
    <s v="Eric/Blake"/>
    <n v="148.38"/>
    <s v="NONE"/>
    <n v="221.06"/>
    <n v="75.699999999999989"/>
    <x v="5"/>
    <x v="0"/>
    <s v="HOME"/>
    <s v="AWAY"/>
    <n v="148.38"/>
    <n v="72.680000000000007"/>
  </r>
  <r>
    <n v="630"/>
    <n v="449"/>
    <n v="366"/>
    <n v="438"/>
    <n v="282"/>
    <x v="9"/>
    <x v="7"/>
    <n v="40"/>
    <s v="CSRT"/>
    <s v="Clay/Ryan"/>
    <n v="111.9"/>
    <s v="DBNG"/>
    <s v="Dave/Nolan"/>
    <n v="97.54"/>
    <s v="NONE"/>
    <n v="209.44"/>
    <n v="14.36"/>
    <x v="3"/>
    <x v="1"/>
    <s v="AWAY"/>
    <s v="HOME"/>
    <n v="111.9"/>
    <n v="97.54"/>
  </r>
  <r>
    <n v="631"/>
    <n v="523"/>
    <n v="455"/>
    <n v="522"/>
    <n v="325"/>
    <x v="9"/>
    <x v="8"/>
    <n v="41"/>
    <s v="SACS"/>
    <s v="Walker/Cory"/>
    <n v="104.52"/>
    <s v="HSOD"/>
    <s v="Brian/Travis"/>
    <n v="94.5"/>
    <s v="NONE"/>
    <n v="199.01999999999998"/>
    <n v="10.019999999999996"/>
    <x v="1"/>
    <x v="3"/>
    <s v="AWAY"/>
    <s v="HOME"/>
    <n v="104.52"/>
    <n v="94.5"/>
  </r>
  <r>
    <n v="632"/>
    <n v="275"/>
    <n v="391"/>
    <n v="366"/>
    <n v="398"/>
    <x v="9"/>
    <x v="8"/>
    <n v="42"/>
    <s v="GVO"/>
    <s v="Pat/Tucker"/>
    <n v="89.82"/>
    <s v="MSG"/>
    <s v="Graham/Michael"/>
    <n v="117.5"/>
    <s v="NONE"/>
    <n v="207.32"/>
    <n v="27.680000000000007"/>
    <x v="0"/>
    <x v="9"/>
    <s v="HOME"/>
    <s v="AWAY"/>
    <n v="117.5"/>
    <n v="89.82"/>
  </r>
  <r>
    <n v="633"/>
    <n v="145"/>
    <n v="195"/>
    <n v="124"/>
    <n v="299"/>
    <x v="9"/>
    <x v="8"/>
    <n v="43"/>
    <s v="TpCp"/>
    <s v="Trent/Colin"/>
    <n v="137.94"/>
    <s v="CSRT"/>
    <s v="Clay/Ryan"/>
    <n v="96.6"/>
    <s v="NONE"/>
    <n v="234.54"/>
    <n v="41.34"/>
    <x v="4"/>
    <x v="8"/>
    <s v="AWAY"/>
    <s v="HOME"/>
    <n v="137.94"/>
    <n v="96.6"/>
  </r>
  <r>
    <n v="634"/>
    <n v="626"/>
    <n v="44"/>
    <n v="142"/>
    <n v="14"/>
    <x v="9"/>
    <x v="8"/>
    <n v="44"/>
    <s v="DERS"/>
    <s v="Eric/Blake"/>
    <n v="135.9"/>
    <s v="DBNG"/>
    <s v="Dave/Nolan"/>
    <n v="131.24"/>
    <s v="NONE"/>
    <n v="267.14"/>
    <n v="4.6599999999999966"/>
    <x v="5"/>
    <x v="1"/>
    <s v="AWAY"/>
    <s v="HOME"/>
    <n v="135.9"/>
    <n v="131.24"/>
  </r>
  <r>
    <n v="635"/>
    <n v="38"/>
    <n v="657"/>
    <n v="468"/>
    <n v="690"/>
    <x v="9"/>
    <x v="8"/>
    <n v="45"/>
    <s v="DKMB"/>
    <s v="David/Marshall"/>
    <n v="49.6"/>
    <s v="CPDL"/>
    <s v="Drew/Cam"/>
    <n v="109.24"/>
    <s v="NONE"/>
    <n v="158.84"/>
    <n v="59.639999999999993"/>
    <x v="6"/>
    <x v="4"/>
    <s v="HOME"/>
    <s v="AWAY"/>
    <n v="109.24"/>
    <n v="49.6"/>
  </r>
  <r>
    <n v="636"/>
    <n v="22"/>
    <n v="21"/>
    <n v="7"/>
    <n v="172"/>
    <x v="9"/>
    <x v="9"/>
    <n v="46"/>
    <s v="GVO"/>
    <s v="Pat/Tucker"/>
    <n v="106.24"/>
    <s v="TpCp"/>
    <s v="Trent/Colin"/>
    <n v="173.08"/>
    <s v="NONE"/>
    <n v="279.32"/>
    <n v="66.840000000000018"/>
    <x v="4"/>
    <x v="9"/>
    <s v="HOME"/>
    <s v="AWAY"/>
    <n v="173.08"/>
    <n v="106.24"/>
  </r>
  <r>
    <n v="637"/>
    <n v="568"/>
    <n v="596"/>
    <n v="633"/>
    <n v="482"/>
    <x v="9"/>
    <x v="9"/>
    <n v="47"/>
    <s v="DERS"/>
    <s v="Eric/Blake"/>
    <n v="85"/>
    <s v="SACS"/>
    <s v="Walker/Cory"/>
    <n v="92.7"/>
    <s v="NONE"/>
    <n v="177.7"/>
    <n v="7.7000000000000028"/>
    <x v="1"/>
    <x v="2"/>
    <s v="HOME"/>
    <s v="AWAY"/>
    <n v="92.7"/>
    <n v="85"/>
  </r>
  <r>
    <n v="638"/>
    <n v="292"/>
    <n v="418"/>
    <n v="404"/>
    <n v="406"/>
    <x v="9"/>
    <x v="9"/>
    <n v="48"/>
    <s v="HSOD"/>
    <s v="Brian/Travis"/>
    <n v="114.7"/>
    <s v="DKMB"/>
    <s v="David/Marshall"/>
    <n v="89.04"/>
    <s v="NONE"/>
    <n v="203.74"/>
    <n v="25.659999999999997"/>
    <x v="7"/>
    <x v="4"/>
    <s v="AWAY"/>
    <s v="HOME"/>
    <n v="114.7"/>
    <n v="89.04"/>
  </r>
  <r>
    <n v="639"/>
    <n v="277"/>
    <n v="454"/>
    <n v="415"/>
    <n v="471"/>
    <x v="9"/>
    <x v="9"/>
    <n v="49"/>
    <s v="DBNG"/>
    <s v="Dave/Nolan"/>
    <n v="85.94"/>
    <s v="MSG"/>
    <s v="Graham/Michael"/>
    <n v="113.4"/>
    <s v="NONE"/>
    <n v="199.34"/>
    <n v="27.460000000000008"/>
    <x v="0"/>
    <x v="1"/>
    <s v="HOME"/>
    <s v="AWAY"/>
    <n v="113.4"/>
    <n v="85.94"/>
  </r>
  <r>
    <n v="640"/>
    <n v="345"/>
    <n v="410"/>
    <n v="410"/>
    <n v="377"/>
    <x v="9"/>
    <x v="9"/>
    <n v="50"/>
    <s v="CSRT"/>
    <s v="Clay/Ryan"/>
    <n v="113.5"/>
    <s v="CPDL"/>
    <s v="Drew/Cam"/>
    <n v="91.36"/>
    <s v="NONE"/>
    <n v="204.86"/>
    <n v="22.14"/>
    <x v="3"/>
    <x v="0"/>
    <s v="AWAY"/>
    <s v="HOME"/>
    <n v="113.5"/>
    <n v="91.36"/>
  </r>
  <r>
    <n v="641"/>
    <n v="357"/>
    <n v="551"/>
    <n v="540"/>
    <n v="521"/>
    <x v="9"/>
    <x v="10"/>
    <n v="51"/>
    <s v="DERS"/>
    <s v="Eric/Blake"/>
    <n v="103.3"/>
    <s v="DKMB"/>
    <s v="David/Marshall"/>
    <n v="81.7"/>
    <s v="NONE"/>
    <n v="185"/>
    <n v="21.599999999999994"/>
    <x v="5"/>
    <x v="4"/>
    <s v="AWAY"/>
    <s v="HOME"/>
    <n v="103.3"/>
    <n v="81.7"/>
  </r>
  <r>
    <n v="642"/>
    <n v="288"/>
    <n v="204"/>
    <n v="207"/>
    <n v="206"/>
    <x v="9"/>
    <x v="10"/>
    <n v="52"/>
    <s v="GVO"/>
    <s v="Pat/Tucker"/>
    <n v="129.56"/>
    <s v="DBNG"/>
    <s v="Dave/Nolan"/>
    <n v="103.36"/>
    <s v="NONE"/>
    <n v="232.92000000000002"/>
    <n v="26.200000000000003"/>
    <x v="2"/>
    <x v="1"/>
    <s v="AWAY"/>
    <s v="HOME"/>
    <n v="129.56"/>
    <n v="103.36"/>
  </r>
  <r>
    <n v="643"/>
    <n v="474"/>
    <n v="182"/>
    <n v="265"/>
    <n v="123"/>
    <x v="9"/>
    <x v="10"/>
    <n v="53"/>
    <s v="CPDL"/>
    <s v="Drew/Cam"/>
    <n v="125"/>
    <s v="TpCp"/>
    <s v="Trent/Colin"/>
    <n v="112.12"/>
    <s v="NONE"/>
    <n v="237.12"/>
    <n v="12.879999999999995"/>
    <x v="6"/>
    <x v="7"/>
    <s v="AWAY"/>
    <s v="HOME"/>
    <n v="125"/>
    <n v="112.12"/>
  </r>
  <r>
    <n v="644"/>
    <n v="5"/>
    <n v="326"/>
    <n v="48"/>
    <n v="667"/>
    <x v="9"/>
    <x v="10"/>
    <n v="54"/>
    <s v="SACS"/>
    <s v="Walker/Cory"/>
    <n v="152.30000000000001"/>
    <s v="MSG"/>
    <s v="Graham/Michael"/>
    <n v="62.9"/>
    <s v="NONE"/>
    <n v="215.20000000000002"/>
    <n v="89.4"/>
    <x v="1"/>
    <x v="6"/>
    <s v="AWAY"/>
    <s v="HOME"/>
    <n v="152.30000000000001"/>
    <n v="62.9"/>
  </r>
  <r>
    <n v="645"/>
    <n v="689"/>
    <n v="350"/>
    <n v="509"/>
    <n v="176"/>
    <x v="9"/>
    <x v="10"/>
    <n v="55"/>
    <s v="CSRT"/>
    <s v="Clay/Ryan"/>
    <n v="105.58"/>
    <s v="HSOD"/>
    <s v="Brian/Travis"/>
    <n v="105.78"/>
    <s v="NONE"/>
    <n v="211.36"/>
    <n v="0.20000000000000284"/>
    <x v="7"/>
    <x v="8"/>
    <s v="HOME"/>
    <s v="AWAY"/>
    <n v="105.78"/>
    <n v="105.58"/>
  </r>
  <r>
    <n v="646"/>
    <n v="187"/>
    <n v="362"/>
    <n v="296"/>
    <n v="459"/>
    <x v="9"/>
    <x v="11"/>
    <n v="56"/>
    <s v="DBNG"/>
    <s v="Dave/Nolan"/>
    <n v="123.1"/>
    <s v="CPDL"/>
    <s v="Drew/Cam"/>
    <n v="86.6"/>
    <s v="NONE"/>
    <n v="209.7"/>
    <n v="36.5"/>
    <x v="8"/>
    <x v="0"/>
    <s v="AWAY"/>
    <s v="HOME"/>
    <n v="123.1"/>
    <n v="86.6"/>
  </r>
  <r>
    <n v="647"/>
    <n v="387"/>
    <n v="242"/>
    <n v="301"/>
    <n v="195"/>
    <x v="9"/>
    <x v="11"/>
    <n v="57"/>
    <s v="MSG"/>
    <s v="Graham/Michael"/>
    <n v="103.84"/>
    <s v="DERS"/>
    <s v="Eric/Blake"/>
    <n v="122.92"/>
    <s v="NONE"/>
    <n v="226.76"/>
    <n v="19.079999999999998"/>
    <x v="5"/>
    <x v="6"/>
    <s v="HOME"/>
    <s v="AWAY"/>
    <n v="122.92"/>
    <n v="103.84"/>
  </r>
  <r>
    <n v="648"/>
    <n v="558"/>
    <n v="71"/>
    <n v="176"/>
    <n v="35"/>
    <x v="9"/>
    <x v="11"/>
    <n v="58"/>
    <s v="DKMB"/>
    <s v="David/Marshall"/>
    <n v="124.56"/>
    <s v="CSRT"/>
    <s v="Clay/Ryan"/>
    <n v="132.69999999999999"/>
    <s v="NONE"/>
    <n v="257.26"/>
    <n v="8.1399999999999864"/>
    <x v="3"/>
    <x v="4"/>
    <s v="HOME"/>
    <s v="AWAY"/>
    <n v="132.69999999999999"/>
    <n v="124.56"/>
  </r>
  <r>
    <n v="649"/>
    <n v="243"/>
    <n v="212"/>
    <n v="192"/>
    <n v="246"/>
    <x v="9"/>
    <x v="11"/>
    <n v="59"/>
    <s v="SACS"/>
    <s v="Walker/Cory"/>
    <n v="130.52000000000001"/>
    <s v="GVO"/>
    <s v="Pat/Tucker"/>
    <n v="100.16"/>
    <s v="NONE"/>
    <n v="230.68"/>
    <n v="30.360000000000014"/>
    <x v="1"/>
    <x v="9"/>
    <s v="AWAY"/>
    <s v="HOME"/>
    <n v="130.52000000000001"/>
    <n v="100.16"/>
  </r>
  <r>
    <n v="650"/>
    <n v="166"/>
    <n v="233"/>
    <n v="167"/>
    <n v="323"/>
    <x v="9"/>
    <x v="11"/>
    <n v="60"/>
    <s v="TpCp"/>
    <s v="Trent/Colin"/>
    <n v="95.04"/>
    <s v="HSOD"/>
    <s v="Brian/Travis"/>
    <n v="133.32"/>
    <s v="NONE"/>
    <n v="228.36"/>
    <n v="38.279999999999987"/>
    <x v="7"/>
    <x v="7"/>
    <s v="HOME"/>
    <s v="AWAY"/>
    <n v="133.32"/>
    <n v="95.04"/>
  </r>
  <r>
    <n v="651"/>
    <n v="541"/>
    <n v="560"/>
    <n v="602"/>
    <n v="435"/>
    <x v="9"/>
    <x v="12"/>
    <n v="61"/>
    <s v="MSG"/>
    <s v="Graham/Michael"/>
    <n v="87.54"/>
    <s v="CSRT"/>
    <s v="Clay/Ryan"/>
    <n v="96.58"/>
    <s v="NONE"/>
    <n v="184.12"/>
    <n v="9.039999999999992"/>
    <x v="3"/>
    <x v="6"/>
    <s v="HOME"/>
    <s v="AWAY"/>
    <n v="96.58"/>
    <n v="87.54"/>
  </r>
  <r>
    <n v="652"/>
    <n v="422"/>
    <n v="206"/>
    <n v="272"/>
    <n v="160"/>
    <x v="9"/>
    <x v="12"/>
    <n v="62"/>
    <s v="DBNG"/>
    <s v="Dave/Nolan"/>
    <n v="108.02"/>
    <s v="SACS"/>
    <s v="Walker/Cory"/>
    <n v="124.8"/>
    <s v="NONE"/>
    <n v="232.82"/>
    <n v="16.78"/>
    <x v="1"/>
    <x v="1"/>
    <s v="HOME"/>
    <s v="AWAY"/>
    <n v="124.8"/>
    <n v="108.02"/>
  </r>
  <r>
    <n v="653"/>
    <n v="450"/>
    <n v="121"/>
    <n v="190"/>
    <n v="88"/>
    <x v="9"/>
    <x v="12"/>
    <n v="63"/>
    <s v="HSOD"/>
    <s v="Brian/Travis"/>
    <n v="116.42"/>
    <s v="CPDL"/>
    <s v="Drew/Cam"/>
    <n v="130.54"/>
    <s v="NONE"/>
    <n v="246.95999999999998"/>
    <n v="14.11999999999999"/>
    <x v="6"/>
    <x v="3"/>
    <s v="HOME"/>
    <s v="AWAY"/>
    <n v="130.54"/>
    <n v="116.42"/>
  </r>
  <r>
    <n v="654"/>
    <n v="661"/>
    <n v="354"/>
    <n v="496"/>
    <n v="192"/>
    <x v="9"/>
    <x v="12"/>
    <n v="64"/>
    <s v="DERS"/>
    <s v="Eric/Blake"/>
    <n v="103.98"/>
    <s v="GVO"/>
    <s v="Pat/Tucker"/>
    <n v="106.64"/>
    <s v="NONE"/>
    <n v="210.62"/>
    <n v="2.6599999999999966"/>
    <x v="2"/>
    <x v="2"/>
    <s v="HOME"/>
    <s v="AWAY"/>
    <n v="106.64"/>
    <n v="103.98"/>
  </r>
  <r>
    <n v="655"/>
    <n v="201"/>
    <n v="164"/>
    <n v="132"/>
    <n v="215"/>
    <x v="9"/>
    <x v="12"/>
    <n v="65"/>
    <s v="TpCp"/>
    <s v="Trent/Colin"/>
    <n v="137.26"/>
    <s v="DKMB"/>
    <s v="David/Marshall"/>
    <n v="102.7"/>
    <s v="NONE"/>
    <n v="239.95999999999998"/>
    <n v="34.559999999999988"/>
    <x v="4"/>
    <x v="4"/>
    <s v="AWAY"/>
    <s v="HOME"/>
    <n v="137.26"/>
    <n v="102.7"/>
  </r>
  <r>
    <n v="656"/>
    <n v="340"/>
    <n v="633"/>
    <n v="620"/>
    <n v="621"/>
    <x v="9"/>
    <x v="13"/>
    <n v="66"/>
    <s v="HSOD"/>
    <s v="Brian/Travis"/>
    <n v="71.680000000000007"/>
    <s v="GVO"/>
    <s v="Pat/Tucker"/>
    <n v="94.16"/>
    <s v="NONE"/>
    <n v="165.84"/>
    <n v="22.47999999999999"/>
    <x v="2"/>
    <x v="3"/>
    <s v="HOME"/>
    <s v="AWAY"/>
    <n v="94.16"/>
    <n v="71.680000000000007"/>
  </r>
  <r>
    <n v="657"/>
    <n v="688"/>
    <n v="449"/>
    <n v="563"/>
    <n v="254"/>
    <x v="9"/>
    <x v="13"/>
    <n v="67"/>
    <s v="TpCp"/>
    <s v="Trent/Colin"/>
    <n v="99.74"/>
    <s v="DERS"/>
    <s v="Eric/Blake"/>
    <n v="99.96"/>
    <s v="NONE"/>
    <n v="199.7"/>
    <n v="0.21999999999999886"/>
    <x v="5"/>
    <x v="7"/>
    <s v="HOME"/>
    <s v="AWAY"/>
    <n v="99.96"/>
    <n v="99.74"/>
  </r>
  <r>
    <n v="658"/>
    <n v="509"/>
    <n v="438"/>
    <n v="508"/>
    <n v="320"/>
    <x v="9"/>
    <x v="13"/>
    <n v="68"/>
    <s v="DKMB"/>
    <s v="David/Marshall"/>
    <n v="95.28"/>
    <s v="DBNG"/>
    <s v="Dave/Nolan"/>
    <n v="105.88"/>
    <s v="NONE"/>
    <n v="201.16"/>
    <n v="10.599999999999994"/>
    <x v="8"/>
    <x v="4"/>
    <s v="HOME"/>
    <s v="AWAY"/>
    <n v="105.88"/>
    <n v="95.28"/>
  </r>
  <r>
    <n v="659"/>
    <n v="375"/>
    <n v="425"/>
    <n v="442"/>
    <n v="377"/>
    <x v="9"/>
    <x v="13"/>
    <n v="69"/>
    <s v="CPDL"/>
    <s v="Drew/Cam"/>
    <n v="91.36"/>
    <s v="MSG"/>
    <s v="Graham/Michael"/>
    <n v="111.76"/>
    <s v="NONE"/>
    <n v="203.12"/>
    <n v="20.400000000000006"/>
    <x v="0"/>
    <x v="0"/>
    <s v="HOME"/>
    <s v="AWAY"/>
    <n v="111.76"/>
    <n v="91.36"/>
  </r>
  <r>
    <n v="660"/>
    <n v="85"/>
    <n v="181"/>
    <n v="90"/>
    <n v="342"/>
    <x v="9"/>
    <x v="13"/>
    <n v="70"/>
    <s v="CSRT"/>
    <s v="Clay/Ryan"/>
    <n v="143.4"/>
    <s v="SACS"/>
    <s v="Walker/Cory"/>
    <n v="93.98"/>
    <s v="NONE"/>
    <n v="237.38"/>
    <n v="49.42"/>
    <x v="3"/>
    <x v="5"/>
    <s v="AWAY"/>
    <s v="HOME"/>
    <n v="143.4"/>
    <n v="93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FFE80-CF01-474A-B93F-1CE63A36E4F2}" name="PivotTable4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3:P1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1">
        <item x="7"/>
        <item x="3"/>
        <item x="8"/>
        <item x="9"/>
        <item x="6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argin Victory" fld="16" subtotal="average" baseField="0" baseItem="9"/>
  </dataFields>
  <formats count="1">
    <format dxfId="24">
      <pivotArea collapsedLevelsAreSubtotals="1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728B4-088E-4681-B94C-688951F4159A}" name="PivotTable3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2:B4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8"/>
        <item x="1"/>
        <item x="4"/>
        <item x="0"/>
        <item x="2"/>
        <item x="6"/>
        <item x="9"/>
        <item x="7"/>
        <item x="5"/>
        <item t="default"/>
      </items>
    </pivotField>
    <pivotField showAll="0"/>
    <pivotField showAll="0"/>
    <pivotField showAll="0"/>
    <pivotField dataField="1" showAll="0"/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Loser Pts" fld="22" subtotal="average" baseField="18" baseItem="0"/>
  </dataFields>
  <formats count="1">
    <format dxfId="25">
      <pivotArea collapsedLevelsAreSubtotals="1" fieldPosition="0">
        <references count="1"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ED2D5-1455-4C82-A01C-15C6147F304C}" name="PivotTable2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8:B2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3"/>
        <item x="8"/>
        <item x="9"/>
        <item x="6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Winner Pts" fld="21" subtotal="average" baseField="20" baseItem="0"/>
  </dataFields>
  <formats count="1">
    <format dxfId="26">
      <pivotArea collapsedLevelsAreSubtotals="1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3952-5A8D-4F24-928F-E4BC14334A6E}" name="PivotTable1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17:P2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3"/>
        <item x="8"/>
        <item x="1"/>
        <item x="4"/>
        <item x="0"/>
        <item x="2"/>
        <item x="6"/>
        <item x="9"/>
        <item x="7"/>
        <item x="5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argin Victory" fld="16" subtotal="average" baseField="18" baseItem="0"/>
  </dataFields>
  <formats count="1">
    <format dxfId="27">
      <pivotArea collapsedLevelsAreSubtotals="1" fieldPosition="0">
        <references count="1"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1364E-1F36-4238-9FB3-A638B2373E47}" name="PivotTable9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L15" firstHeaderRow="1" firstDataRow="2" firstDataCol="1"/>
  <pivotFields count="23">
    <pivotField showAll="0"/>
    <pivotField showAll="0"/>
    <pivotField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7"/>
        <item x="3"/>
        <item x="8"/>
        <item x="9"/>
        <item x="6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Winner Nam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AC250-BF2D-4312-99C5-6F7772C90000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U4:V15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15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3"/>
        <item x="8"/>
        <item x="1"/>
        <item x="4"/>
        <item x="0"/>
        <item x="2"/>
        <item x="6"/>
        <item x="9"/>
        <item x="7"/>
        <item x="5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6" hier="-1"/>
  </pageFields>
  <dataFields count="1">
    <dataField name="Sum of Total Point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966E-64D3-4108-AAE8-5467A4C7C391}">
  <dimension ref="B1:BP94"/>
  <sheetViews>
    <sheetView tabSelected="1" zoomScale="85" zoomScaleNormal="85" workbookViewId="0">
      <selection activeCell="B5" sqref="B5"/>
    </sheetView>
    <sheetView tabSelected="1" workbookViewId="1">
      <selection activeCell="J24" sqref="J24"/>
    </sheetView>
  </sheetViews>
  <sheetFormatPr defaultColWidth="9.109375" defaultRowHeight="14.4" x14ac:dyDescent="0.3"/>
  <cols>
    <col min="1" max="1" width="2.88671875" style="3" customWidth="1"/>
    <col min="2" max="2" width="18.88671875" style="3" customWidth="1"/>
    <col min="3" max="13" width="9" style="3" customWidth="1"/>
    <col min="14" max="14" width="16.6640625" style="3" bestFit="1" customWidth="1"/>
    <col min="15" max="15" width="15.109375" style="3" customWidth="1"/>
    <col min="16" max="16" width="10.5546875" style="3" customWidth="1"/>
    <col min="17" max="17" width="6.33203125" style="3" bestFit="1" customWidth="1"/>
    <col min="18" max="18" width="10.109375" style="3" bestFit="1" customWidth="1"/>
    <col min="19" max="19" width="11" style="3" bestFit="1" customWidth="1"/>
    <col min="20" max="20" width="6.33203125" style="3" bestFit="1" customWidth="1"/>
    <col min="21" max="22" width="16.6640625" style="3" bestFit="1" customWidth="1"/>
    <col min="23" max="23" width="11.33203125" style="3" customWidth="1"/>
    <col min="24" max="25" width="15.88671875" style="3" bestFit="1" customWidth="1"/>
    <col min="26" max="26" width="11" style="3" bestFit="1" customWidth="1"/>
    <col min="27" max="27" width="6.33203125" style="3" bestFit="1" customWidth="1"/>
    <col min="28" max="28" width="8.88671875" style="53" customWidth="1"/>
    <col min="29" max="30" width="15.88671875" style="3" bestFit="1" customWidth="1"/>
    <col min="31" max="31" width="9.33203125" style="3" customWidth="1"/>
    <col min="32" max="32" width="7.33203125" style="3" bestFit="1" customWidth="1"/>
    <col min="33" max="33" width="7.109375" style="3" bestFit="1" customWidth="1"/>
    <col min="34" max="34" width="6.6640625" style="3" bestFit="1" customWidth="1"/>
    <col min="35" max="35" width="7.33203125" style="3" bestFit="1" customWidth="1"/>
    <col min="36" max="36" width="7.109375" style="3" bestFit="1" customWidth="1"/>
    <col min="37" max="37" width="7.44140625" style="3" customWidth="1"/>
    <col min="38" max="38" width="7.33203125" style="3" bestFit="1" customWidth="1"/>
    <col min="39" max="39" width="11" style="3" bestFit="1" customWidth="1"/>
    <col min="40" max="40" width="6.33203125" style="3" bestFit="1" customWidth="1"/>
    <col min="41" max="41" width="8.5546875" style="3" bestFit="1" customWidth="1"/>
    <col min="42" max="42" width="6.5546875" style="3" bestFit="1" customWidth="1"/>
    <col min="43" max="48" width="9.109375" style="3"/>
    <col min="49" max="49" width="9" style="3" bestFit="1" customWidth="1"/>
    <col min="50" max="51" width="15.88671875" style="3" bestFit="1" customWidth="1"/>
    <col min="52" max="52" width="6" style="3" bestFit="1" customWidth="1"/>
    <col min="53" max="53" width="7.44140625" style="3" bestFit="1" customWidth="1"/>
    <col min="54" max="54" width="5.5546875" style="3" bestFit="1" customWidth="1"/>
    <col min="55" max="55" width="6" style="3" bestFit="1" customWidth="1"/>
    <col min="56" max="56" width="7.44140625" style="3" bestFit="1" customWidth="1"/>
    <col min="57" max="57" width="6.88671875" style="3" bestFit="1" customWidth="1"/>
    <col min="58" max="59" width="7.5546875" style="3" bestFit="1" customWidth="1"/>
    <col min="60" max="60" width="6" style="3" bestFit="1" customWidth="1"/>
    <col min="61" max="61" width="7.44140625" style="3" bestFit="1" customWidth="1"/>
    <col min="62" max="62" width="5.5546875" style="3" bestFit="1" customWidth="1"/>
    <col min="63" max="63" width="6" style="3" bestFit="1" customWidth="1"/>
    <col min="64" max="64" width="7.44140625" style="3" bestFit="1" customWidth="1"/>
    <col min="65" max="65" width="6.88671875" style="3" bestFit="1" customWidth="1"/>
    <col min="66" max="67" width="7.5546875" style="3" bestFit="1" customWidth="1"/>
    <col min="68" max="68" width="7.5546875" style="18" bestFit="1" customWidth="1"/>
    <col min="69" max="16384" width="9.109375" style="3"/>
  </cols>
  <sheetData>
    <row r="1" spans="2:68" x14ac:dyDescent="0.3">
      <c r="B1" s="11" t="s">
        <v>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9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2:68" ht="15" thickBot="1" x14ac:dyDescent="0.35"/>
    <row r="3" spans="2:68" ht="15" thickBot="1" x14ac:dyDescent="0.35">
      <c r="B3" s="18" t="s">
        <v>53</v>
      </c>
      <c r="M3" s="18" t="s">
        <v>60</v>
      </c>
      <c r="T3" s="18" t="s">
        <v>71</v>
      </c>
      <c r="AD3" s="38"/>
      <c r="AE3" s="77" t="s">
        <v>85</v>
      </c>
      <c r="AF3" s="78"/>
      <c r="AG3" s="78"/>
      <c r="AH3" s="78"/>
      <c r="AI3" s="78"/>
      <c r="AJ3" s="78"/>
      <c r="AK3" s="78"/>
      <c r="AL3" s="79"/>
      <c r="AM3" s="74" t="s">
        <v>86</v>
      </c>
      <c r="AN3" s="75"/>
      <c r="AO3" s="75"/>
      <c r="AP3" s="75"/>
      <c r="AQ3" s="75"/>
      <c r="AR3" s="75"/>
      <c r="AS3" s="75"/>
      <c r="AT3" s="76"/>
      <c r="AW3" s="53"/>
      <c r="AY3" s="38"/>
      <c r="AZ3" s="77" t="s">
        <v>85</v>
      </c>
      <c r="BA3" s="78"/>
      <c r="BB3" s="78"/>
      <c r="BC3" s="78"/>
      <c r="BD3" s="78"/>
      <c r="BE3" s="78"/>
      <c r="BF3" s="78"/>
      <c r="BG3" s="79"/>
      <c r="BH3" s="74" t="s">
        <v>86</v>
      </c>
      <c r="BI3" s="75"/>
      <c r="BJ3" s="75"/>
      <c r="BK3" s="75"/>
      <c r="BL3" s="75"/>
      <c r="BM3" s="75"/>
      <c r="BN3" s="75"/>
      <c r="BO3" s="76"/>
    </row>
    <row r="4" spans="2:68" ht="28.8" x14ac:dyDescent="0.3">
      <c r="B4" s="4" t="s">
        <v>45</v>
      </c>
      <c r="C4" s="5" t="s">
        <v>3</v>
      </c>
      <c r="D4" s="5" t="s">
        <v>4</v>
      </c>
      <c r="E4" s="6" t="s">
        <v>42</v>
      </c>
      <c r="F4" s="5" t="s">
        <v>43</v>
      </c>
      <c r="G4" s="5" t="s">
        <v>48</v>
      </c>
      <c r="H4" s="5" t="s">
        <v>44</v>
      </c>
      <c r="I4" s="6" t="s">
        <v>69</v>
      </c>
      <c r="J4" s="5" t="s">
        <v>107</v>
      </c>
      <c r="K4" s="6" t="s">
        <v>108</v>
      </c>
      <c r="M4" s="23" t="s">
        <v>61</v>
      </c>
      <c r="N4" s="11" t="s">
        <v>41</v>
      </c>
      <c r="O4" s="19" t="s">
        <v>52</v>
      </c>
      <c r="P4" s="13" t="s">
        <v>62</v>
      </c>
      <c r="Q4" s="13" t="s">
        <v>63</v>
      </c>
      <c r="R4" s="13" t="s">
        <v>64</v>
      </c>
      <c r="T4" s="23" t="s">
        <v>61</v>
      </c>
      <c r="U4" s="11" t="s">
        <v>41</v>
      </c>
      <c r="V4" s="23" t="s">
        <v>62</v>
      </c>
      <c r="W4" s="23" t="s">
        <v>70</v>
      </c>
      <c r="X4" s="23" t="s">
        <v>3</v>
      </c>
      <c r="Y4" s="23" t="s">
        <v>4</v>
      </c>
      <c r="Z4" s="23" t="s">
        <v>109</v>
      </c>
      <c r="AB4" s="54" t="s">
        <v>98</v>
      </c>
      <c r="AC4" s="17" t="s">
        <v>89</v>
      </c>
      <c r="AD4" s="17" t="s">
        <v>52</v>
      </c>
      <c r="AE4" s="12" t="s">
        <v>94</v>
      </c>
      <c r="AF4" s="12" t="s">
        <v>95</v>
      </c>
      <c r="AG4" s="12" t="s">
        <v>3</v>
      </c>
      <c r="AH4" s="12" t="s">
        <v>96</v>
      </c>
      <c r="AI4" s="13" t="s">
        <v>97</v>
      </c>
      <c r="AJ4" s="13" t="s">
        <v>4</v>
      </c>
      <c r="AK4" s="13" t="s">
        <v>51</v>
      </c>
      <c r="AL4" s="13" t="s">
        <v>99</v>
      </c>
      <c r="AM4" s="12" t="s">
        <v>94</v>
      </c>
      <c r="AN4" s="12" t="s">
        <v>95</v>
      </c>
      <c r="AO4" s="12" t="s">
        <v>3</v>
      </c>
      <c r="AP4" s="12" t="s">
        <v>96</v>
      </c>
      <c r="AQ4" s="13" t="s">
        <v>97</v>
      </c>
      <c r="AR4" s="13" t="s">
        <v>4</v>
      </c>
      <c r="AS4" s="13" t="s">
        <v>51</v>
      </c>
      <c r="AT4" s="13" t="s">
        <v>99</v>
      </c>
      <c r="AU4" s="13" t="s">
        <v>84</v>
      </c>
      <c r="AW4" s="54" t="s">
        <v>98</v>
      </c>
      <c r="AX4" s="4" t="s">
        <v>89</v>
      </c>
      <c r="AY4" s="58" t="s">
        <v>52</v>
      </c>
      <c r="AZ4" s="5" t="s">
        <v>102</v>
      </c>
      <c r="BA4" s="5" t="s">
        <v>104</v>
      </c>
      <c r="BB4" s="5" t="s">
        <v>3</v>
      </c>
      <c r="BC4" s="5" t="s">
        <v>101</v>
      </c>
      <c r="BD4" s="6" t="s">
        <v>100</v>
      </c>
      <c r="BE4" s="6" t="s">
        <v>4</v>
      </c>
      <c r="BF4" s="6" t="s">
        <v>51</v>
      </c>
      <c r="BG4" s="56" t="s">
        <v>103</v>
      </c>
      <c r="BH4" s="5" t="s">
        <v>102</v>
      </c>
      <c r="BI4" s="5" t="s">
        <v>104</v>
      </c>
      <c r="BJ4" s="5" t="s">
        <v>3</v>
      </c>
      <c r="BK4" s="5" t="s">
        <v>101</v>
      </c>
      <c r="BL4" s="6" t="s">
        <v>100</v>
      </c>
      <c r="BM4" s="6" t="s">
        <v>4</v>
      </c>
      <c r="BN4" s="6" t="s">
        <v>51</v>
      </c>
      <c r="BO4" s="56" t="s">
        <v>103</v>
      </c>
      <c r="BP4" s="6" t="s">
        <v>84</v>
      </c>
    </row>
    <row r="5" spans="2:68" x14ac:dyDescent="0.3">
      <c r="B5" s="7" t="s">
        <v>32</v>
      </c>
      <c r="C5" s="7">
        <f>COUNTIF('Regular Season'!R:R,'Summary Page'!B5)</f>
        <v>86</v>
      </c>
      <c r="D5" s="7">
        <f>COUNTIF('Regular Season'!S:S,'Summary Page'!B5)</f>
        <v>88</v>
      </c>
      <c r="E5" s="8">
        <f>IFERROR(C5/SUM(C5:D5),"")</f>
        <v>0.4942528735632184</v>
      </c>
      <c r="F5" s="10">
        <f>SUMIF('Regular Season'!R:R,'Summary Page'!B5,'Regular Season'!T:T)+SUMIF('Regular Season'!S:S,'Summary Page'!B5,'Regular Season'!U:U)</f>
        <v>18422.78</v>
      </c>
      <c r="G5" s="10">
        <f>SUMIF('Regular Season'!R:R,'Summary Page'!B5,'Regular Season'!U:U)+SUMIF('Regular Season'!S:S,'Summary Page'!B5,'Regular Season'!T:T)</f>
        <v>18199.36</v>
      </c>
      <c r="H5" s="9">
        <f t="shared" ref="H5:H14" si="0">F5/SUM(C5:D5)</f>
        <v>105.87804597701148</v>
      </c>
      <c r="I5" s="9">
        <f>AVERAGEIF(Tables!C:C,'Summary Page'!B5,Tables!D:D)</f>
        <v>6.1538461538461542</v>
      </c>
      <c r="J5" s="9">
        <f>AVERAGEIF('Regular Season'!R:R,'Summary Page'!B5,'Regular Season'!T:T)</f>
        <v>117.93697674418603</v>
      </c>
      <c r="K5" s="9">
        <f>AVERAGEIF('Regular Season'!S:S,'Summary Page'!B5,'Regular Season'!U:U)</f>
        <v>94.093181818181833</v>
      </c>
      <c r="M5" s="25">
        <v>1</v>
      </c>
      <c r="N5" s="20" t="str">
        <f>VLOOKUP(M5,'Regular Season'!F:U,13,FALSE)</f>
        <v>Dave/Nolan</v>
      </c>
      <c r="O5" s="20" t="str">
        <f>VLOOKUP(M5,'Regular Season'!F:U,14,FALSE)</f>
        <v>Walker/Cory</v>
      </c>
      <c r="P5" s="20">
        <f>VLOOKUP(M5,'Regular Season'!F:U,3,FALSE)</f>
        <v>2023</v>
      </c>
      <c r="Q5" s="20">
        <f>VLOOKUP(M5,'Regular Season'!F:U,4,FALSE)</f>
        <v>13</v>
      </c>
      <c r="R5" s="21">
        <f>VLOOKUP(M5,'Regular Season'!F:U,15,FALSE)</f>
        <v>190.28</v>
      </c>
      <c r="T5" s="25">
        <v>1</v>
      </c>
      <c r="U5" s="20" t="str">
        <f>VLOOKUP(T5,Tables!A:K,3,FALSE)</f>
        <v>Graham/Michael</v>
      </c>
      <c r="V5" s="25">
        <f>VLOOKUP(T5,Tables!A:K,2,FALSE)</f>
        <v>2025</v>
      </c>
      <c r="W5" s="25">
        <f>VLOOKUP(T5,Tables!A:K,5,FALSE)</f>
        <v>3</v>
      </c>
      <c r="X5" s="25">
        <f>VLOOKUP(T5,Tables!A:K,6,FALSE)</f>
        <v>13</v>
      </c>
      <c r="Y5" s="25">
        <f>VLOOKUP(T5,Tables!A:K,7,FALSE)</f>
        <v>1</v>
      </c>
      <c r="Z5" s="31">
        <f>VLOOKUP(T5,Tables!A:K,11,FALSE)</f>
        <v>138.41857142857143</v>
      </c>
      <c r="AB5" s="53">
        <v>1</v>
      </c>
      <c r="AC5" s="7" t="s">
        <v>32</v>
      </c>
      <c r="AD5" s="7" t="s">
        <v>35</v>
      </c>
      <c r="AE5" s="36">
        <f>AVERAGEIFS('Regular Season'!T:T,'Regular Season'!R:R,'Summary Page'!AC5,'Regular Season'!S:S,'Summary Page'!AD5)</f>
        <v>104.04545454545455</v>
      </c>
      <c r="AF5" s="47">
        <f>AE5-VLOOKUP(AC5,'Summary Page (2)'!$B$5:$K$14,9,FALSE)</f>
        <v>-13.891522198731479</v>
      </c>
      <c r="AG5" s="52">
        <f>COUNTIFS('Regular Season'!R:R,'Summary Page'!AC5,'Regular Season'!S:S,'Summary Page'!AD5)</f>
        <v>11</v>
      </c>
      <c r="AH5" s="36">
        <f>AVERAGEIFS('Regular Season'!U:U,'Regular Season'!S:S,'Summary Page'!AC5,'Regular Season'!R:R,'Summary Page'!AD5)</f>
        <v>91.068888888888907</v>
      </c>
      <c r="AI5" s="47">
        <f>AH5-VLOOKUP(AC5,'Summary Page (2)'!$B$5:$K$14,10,FALSE)</f>
        <v>-3.0242929292929261</v>
      </c>
      <c r="AJ5" s="7">
        <f>COUNTIFS('Regular Season'!R:R,'Summary Page'!AD5,'Regular Season'!S:S,'Summary Page'!AC5)</f>
        <v>9</v>
      </c>
      <c r="AK5" s="36">
        <f t="shared" ref="AK5:AK36" si="1">IFERROR(((AG5*AE5)+(AH5*AJ5))/SUM(AG5,AJ5),"")</f>
        <v>98.206000000000003</v>
      </c>
      <c r="AL5" s="47">
        <f t="shared" ref="AL5:AL36" si="2">IFERROR(AK5-VLOOKUP(AC5,$B$5:$H$14,7,FALSE),"")</f>
        <v>-7.6720459770114786</v>
      </c>
      <c r="AM5" s="36">
        <f>AVERAGEIFS('Regular Season'!T:T,'Regular Season'!R:R,'Summary Page'!AD5,'Regular Season'!S:S,'Summary Page'!AC5)</f>
        <v>122.76222222222221</v>
      </c>
      <c r="AN5" s="47">
        <f>AM5-VLOOKUP(AD5,'Summary Page (2)'!$B$5:$K$14,9,FALSE)</f>
        <v>3.2886738351254223</v>
      </c>
      <c r="AO5" s="52">
        <f>COUNTIFS('Regular Season'!R:R,'Summary Page'!AD5,'Regular Season'!S:S,'Summary Page'!AC5)</f>
        <v>9</v>
      </c>
      <c r="AP5" s="36">
        <f>AVERAGEIFS('Regular Season'!U:U,'Regular Season'!S:S,'Summary Page'!AD5,'Regular Season'!R:R,'Summary Page'!AC5)</f>
        <v>82.661818181818191</v>
      </c>
      <c r="AQ5" s="47">
        <f>AP5-VLOOKUP(AD5,'Summary Page (2)'!$B$5:$K$14,10,FALSE)</f>
        <v>-10.411515151515161</v>
      </c>
      <c r="AR5" s="7">
        <f>COUNTIFS('Regular Season'!R:R,'Summary Page'!AC5,'Regular Season'!S:S,'Summary Page'!AD5)</f>
        <v>11</v>
      </c>
      <c r="AS5" s="36">
        <f t="shared" ref="AS5:AS36" si="3">IFERROR(((AO5*AM5)+(AP5*AR5))/SUM(AO5,AR5),"")</f>
        <v>100.70699999999999</v>
      </c>
      <c r="AT5" s="47">
        <f t="shared" ref="AT5:AT36" si="4">IFERROR(AS5-VLOOKUP(AD5,$B$5:$H$14,7,FALSE),"")</f>
        <v>-6.4767931034483013</v>
      </c>
      <c r="AU5" s="55">
        <f t="shared" ref="AU5:AU36" si="5">AL5-AT5</f>
        <v>-1.1952528735631773</v>
      </c>
      <c r="AW5" s="53">
        <v>88</v>
      </c>
      <c r="AX5" s="7" t="s">
        <v>36</v>
      </c>
      <c r="AY5" s="59" t="s">
        <v>29</v>
      </c>
      <c r="AZ5" s="36">
        <v>123.91499999999998</v>
      </c>
      <c r="BA5" s="47">
        <v>6.3284146341463412</v>
      </c>
      <c r="BB5" s="52">
        <v>12</v>
      </c>
      <c r="BC5" s="36">
        <v>108.6</v>
      </c>
      <c r="BD5" s="47">
        <v>15.876470588235293</v>
      </c>
      <c r="BE5" s="7">
        <v>5</v>
      </c>
      <c r="BF5" s="36">
        <v>119.4105882352941</v>
      </c>
      <c r="BG5" s="57">
        <v>13.095254901960772</v>
      </c>
      <c r="BH5" s="36">
        <v>128.02799999999999</v>
      </c>
      <c r="BI5" s="47">
        <v>5.601055555555547</v>
      </c>
      <c r="BJ5" s="52">
        <v>5</v>
      </c>
      <c r="BK5" s="36">
        <v>94.001666666666665</v>
      </c>
      <c r="BL5" s="47">
        <v>-4.3952564102564367</v>
      </c>
      <c r="BM5" s="7">
        <v>12</v>
      </c>
      <c r="BN5" s="36">
        <v>104.00941176470587</v>
      </c>
      <c r="BO5" s="57">
        <v>-5.921921568627468</v>
      </c>
      <c r="BP5" s="49">
        <v>19.01717647058824</v>
      </c>
    </row>
    <row r="6" spans="2:68" x14ac:dyDescent="0.3">
      <c r="B6" s="7" t="s">
        <v>35</v>
      </c>
      <c r="C6" s="7">
        <f>COUNTIF('Regular Season'!R:R,'Summary Page'!B6)</f>
        <v>93</v>
      </c>
      <c r="D6" s="7">
        <f>COUNTIF('Regular Season'!S:S,'Summary Page'!B6)</f>
        <v>81</v>
      </c>
      <c r="E6" s="8">
        <f t="shared" ref="E6:E14" si="6">IFERROR(C6/SUM(C6:D6),"")</f>
        <v>0.53448275862068961</v>
      </c>
      <c r="F6" s="10">
        <f>SUMIF('Regular Season'!R:R,'Summary Page'!B6,'Regular Season'!T:T)+SUMIF('Regular Season'!S:S,'Summary Page'!B6,'Regular Season'!U:U)</f>
        <v>18649.980000000003</v>
      </c>
      <c r="G6" s="10">
        <f>SUMIF('Regular Season'!R:R,'Summary Page'!B6,'Regular Season'!U:U)+SUMIF('Regular Season'!S:S,'Summary Page'!B6,'Regular Season'!T:T)</f>
        <v>18283.580000000002</v>
      </c>
      <c r="H6" s="9">
        <f t="shared" si="0"/>
        <v>107.18379310344829</v>
      </c>
      <c r="I6" s="9">
        <f>AVERAGEIF(Tables!C:C,'Summary Page'!B6,Tables!D:D)</f>
        <v>4.615384615384615</v>
      </c>
      <c r="J6" s="9">
        <f>AVERAGEIF('Regular Season'!R:R,'Summary Page'!B6,'Regular Season'!T:T)</f>
        <v>119.47354838709678</v>
      </c>
      <c r="K6" s="9">
        <f>AVERAGEIF('Regular Season'!S:S,'Summary Page'!B6,'Regular Season'!U:U)</f>
        <v>93.073333333333352</v>
      </c>
      <c r="M6" s="26">
        <v>2</v>
      </c>
      <c r="N6" s="20" t="str">
        <f>VLOOKUP(M6,'Regular Season'!F:U,13,FALSE)</f>
        <v>Pat/Tucker</v>
      </c>
      <c r="O6" s="20" t="str">
        <f>VLOOKUP(M6,'Regular Season'!F:U,14,FALSE)</f>
        <v>Dave/Nolan</v>
      </c>
      <c r="P6" s="20">
        <f>VLOOKUP(M6,'Regular Season'!F:U,3,FALSE)</f>
        <v>2022</v>
      </c>
      <c r="Q6" s="20">
        <f>VLOOKUP(M6,'Regular Season'!F:U,4,FALSE)</f>
        <v>2</v>
      </c>
      <c r="R6" s="21">
        <f>VLOOKUP(M6,'Regular Season'!F:U,15,FALSE)</f>
        <v>186.92</v>
      </c>
      <c r="T6" s="26">
        <v>2</v>
      </c>
      <c r="U6" s="20" t="str">
        <f>VLOOKUP(T6,Tables!A:K,3,FALSE)</f>
        <v>Eric/Blake</v>
      </c>
      <c r="V6" s="25">
        <f>VLOOKUP(T6,Tables!A:K,2,FALSE)</f>
        <v>2018</v>
      </c>
      <c r="W6" s="25">
        <f>VLOOKUP(T6,Tables!A:K,5,FALSE)</f>
        <v>3</v>
      </c>
      <c r="X6" s="25">
        <f>VLOOKUP(T6,Tables!A:K,6,FALSE)</f>
        <v>9</v>
      </c>
      <c r="Y6" s="25">
        <f>VLOOKUP(T6,Tables!A:K,7,FALSE)</f>
        <v>4</v>
      </c>
      <c r="Z6" s="31">
        <f>VLOOKUP(T6,Tables!A:K,11,FALSE)</f>
        <v>131.06923076923078</v>
      </c>
      <c r="AB6" s="53">
        <v>2</v>
      </c>
      <c r="AC6" s="7" t="s">
        <v>32</v>
      </c>
      <c r="AD6" s="7" t="s">
        <v>30</v>
      </c>
      <c r="AE6" s="36">
        <f>AVERAGEIFS('Regular Season'!T:T,'Regular Season'!R:R,'Summary Page'!AC6,'Regular Season'!S:S,'Summary Page'!AD6)</f>
        <v>124.26333333333332</v>
      </c>
      <c r="AF6" s="47">
        <f>AE6-VLOOKUP(AC6,'Summary Page (2)'!$B$5:$K$14,9,FALSE)</f>
        <v>6.326356589147295</v>
      </c>
      <c r="AG6" s="52">
        <f>COUNTIFS('Regular Season'!R:R,'Summary Page'!AC6,'Regular Season'!S:S,'Summary Page'!AD6)</f>
        <v>6</v>
      </c>
      <c r="AH6" s="36">
        <f>AVERAGEIFS('Regular Season'!U:U,'Regular Season'!S:S,'Summary Page'!AC6,'Regular Season'!R:R,'Summary Page'!AD6)</f>
        <v>100.6925</v>
      </c>
      <c r="AI6" s="47">
        <f>AH6-VLOOKUP(AC6,'Summary Page (2)'!$B$5:$K$14,10,FALSE)</f>
        <v>6.5993181818181625</v>
      </c>
      <c r="AJ6" s="7">
        <f>COUNTIFS('Regular Season'!R:R,'Summary Page'!AD6,'Regular Season'!S:S,'Summary Page'!AC6)</f>
        <v>8</v>
      </c>
      <c r="AK6" s="36">
        <f t="shared" si="1"/>
        <v>110.79428571428571</v>
      </c>
      <c r="AL6" s="47">
        <f t="shared" si="2"/>
        <v>4.9162397372742248</v>
      </c>
      <c r="AM6" s="36">
        <f>AVERAGEIFS('Regular Season'!T:T,'Regular Season'!R:R,'Summary Page'!AD6,'Regular Season'!S:S,'Summary Page'!AC6)</f>
        <v>117.63250000000001</v>
      </c>
      <c r="AN6" s="47">
        <f>AM6-VLOOKUP(AD6,'Summary Page (2)'!$B$5:$K$14,9,FALSE)</f>
        <v>-4.0672530864197682</v>
      </c>
      <c r="AO6" s="52">
        <f>COUNTIFS('Regular Season'!R:R,'Summary Page'!AD6,'Regular Season'!S:S,'Summary Page'!AC6)</f>
        <v>8</v>
      </c>
      <c r="AP6" s="36">
        <f>AVERAGEIFS('Regular Season'!U:U,'Regular Season'!S:S,'Summary Page'!AD6,'Regular Season'!R:R,'Summary Page'!AC6)</f>
        <v>96.15333333333335</v>
      </c>
      <c r="AQ6" s="47">
        <f>AP6-VLOOKUP(AD6,'Summary Page (2)'!$B$5:$K$14,10,FALSE)</f>
        <v>1.2772463768116324</v>
      </c>
      <c r="AR6" s="7">
        <f>COUNTIFS('Regular Season'!R:R,'Summary Page'!AC6,'Regular Season'!S:S,'Summary Page'!AD6)</f>
        <v>6</v>
      </c>
      <c r="AS6" s="36">
        <f t="shared" si="3"/>
        <v>108.42714285714285</v>
      </c>
      <c r="AT6" s="47">
        <f t="shared" si="4"/>
        <v>0.99199834847233603</v>
      </c>
      <c r="AU6" s="55">
        <f t="shared" si="5"/>
        <v>3.9242413888018888</v>
      </c>
      <c r="AW6" s="53">
        <v>51</v>
      </c>
      <c r="AX6" s="7" t="s">
        <v>34</v>
      </c>
      <c r="AY6" s="59" t="s">
        <v>29</v>
      </c>
      <c r="AZ6" s="36">
        <v>136.06727272727275</v>
      </c>
      <c r="BA6" s="47">
        <v>13.672842347525915</v>
      </c>
      <c r="BB6" s="52">
        <v>11</v>
      </c>
      <c r="BC6" s="36">
        <v>114.97600000000003</v>
      </c>
      <c r="BD6" s="47">
        <v>17.932619718309894</v>
      </c>
      <c r="BE6" s="7">
        <v>5</v>
      </c>
      <c r="BF6" s="36">
        <v>129.47625000000002</v>
      </c>
      <c r="BG6" s="57">
        <v>19.081316666666709</v>
      </c>
      <c r="BH6" s="36">
        <v>136.16400000000002</v>
      </c>
      <c r="BI6" s="47">
        <v>13.737055555555571</v>
      </c>
      <c r="BJ6" s="52">
        <v>5</v>
      </c>
      <c r="BK6" s="36">
        <v>100.67454545454547</v>
      </c>
      <c r="BL6" s="47">
        <v>2.2776223776223645</v>
      </c>
      <c r="BM6" s="7">
        <v>11</v>
      </c>
      <c r="BN6" s="36">
        <v>111.76500000000001</v>
      </c>
      <c r="BO6" s="57">
        <v>1.833666666666673</v>
      </c>
      <c r="BP6" s="49">
        <v>17.247650000000036</v>
      </c>
    </row>
    <row r="7" spans="2:68" x14ac:dyDescent="0.3">
      <c r="B7" s="7" t="s">
        <v>30</v>
      </c>
      <c r="C7" s="7">
        <f>COUNTIF('Regular Season'!R:R,'Summary Page'!B7)</f>
        <v>81</v>
      </c>
      <c r="D7" s="7">
        <f>COUNTIF('Regular Season'!S:S,'Summary Page'!B7)</f>
        <v>92</v>
      </c>
      <c r="E7" s="8">
        <f t="shared" si="6"/>
        <v>0.46820809248554912</v>
      </c>
      <c r="F7" s="10">
        <f>SUMIF('Regular Season'!R:R,'Summary Page'!B7,'Regular Season'!T:T)+SUMIF('Regular Season'!S:S,'Summary Page'!B7,'Regular Season'!U:U)</f>
        <v>18586.28</v>
      </c>
      <c r="G7" s="10">
        <f>SUMIF('Regular Season'!R:R,'Summary Page'!B7,'Regular Season'!U:U)+SUMIF('Regular Season'!S:S,'Summary Page'!B7,'Regular Season'!T:T)</f>
        <v>18598.640000000007</v>
      </c>
      <c r="H7" s="9">
        <f t="shared" si="0"/>
        <v>107.43514450867052</v>
      </c>
      <c r="I7" s="9">
        <f>AVERAGEIF(Tables!C:C,'Summary Page'!B7,Tables!D:D)</f>
        <v>6.0769230769230766</v>
      </c>
      <c r="J7" s="9">
        <f>AVERAGEIF('Regular Season'!R:R,'Summary Page'!B7,'Regular Season'!T:T)</f>
        <v>121.69975308641978</v>
      </c>
      <c r="K7" s="9">
        <f>AVERAGEIF('Regular Season'!S:S,'Summary Page'!B7,'Regular Season'!U:U)</f>
        <v>94.876086956521718</v>
      </c>
      <c r="M7" s="26">
        <v>3</v>
      </c>
      <c r="N7" s="20" t="str">
        <f>VLOOKUP(M7,'Regular Season'!F:U,13,FALSE)</f>
        <v>Graham/Michael</v>
      </c>
      <c r="O7" s="20" t="str">
        <f>VLOOKUP(M7,'Regular Season'!F:U,14,FALSE)</f>
        <v>Eric/Blake</v>
      </c>
      <c r="P7" s="20">
        <f>VLOOKUP(M7,'Regular Season'!F:U,3,FALSE)</f>
        <v>2023</v>
      </c>
      <c r="Q7" s="20">
        <f>VLOOKUP(M7,'Regular Season'!F:U,4,FALSE)</f>
        <v>3</v>
      </c>
      <c r="R7" s="21">
        <f>VLOOKUP(M7,'Regular Season'!F:U,15,FALSE)</f>
        <v>181.66</v>
      </c>
      <c r="T7" s="26">
        <v>3</v>
      </c>
      <c r="U7" s="20" t="str">
        <f>VLOOKUP(T7,Tables!A:K,3,FALSE)</f>
        <v>Dave/Nolan</v>
      </c>
      <c r="V7" s="25">
        <f>VLOOKUP(T7,Tables!A:K,2,FALSE)</f>
        <v>2019</v>
      </c>
      <c r="W7" s="25">
        <f>VLOOKUP(T7,Tables!A:K,5,FALSE)</f>
        <v>4</v>
      </c>
      <c r="X7" s="25">
        <f>VLOOKUP(T7,Tables!A:K,6,FALSE)</f>
        <v>10</v>
      </c>
      <c r="Y7" s="25">
        <f>VLOOKUP(T7,Tables!A:K,7,FALSE)</f>
        <v>3</v>
      </c>
      <c r="Z7" s="31">
        <f>VLOOKUP(T7,Tables!A:K,11,FALSE)</f>
        <v>127.13846153846154</v>
      </c>
      <c r="AB7" s="53">
        <v>3</v>
      </c>
      <c r="AC7" s="7" t="s">
        <v>32</v>
      </c>
      <c r="AD7" s="7" t="s">
        <v>38</v>
      </c>
      <c r="AE7" s="36">
        <f>AVERAGEIFS('Regular Season'!T:T,'Regular Season'!R:R,'Summary Page'!AC7,'Regular Season'!S:S,'Summary Page'!AD7)</f>
        <v>112.822</v>
      </c>
      <c r="AF7" s="47">
        <f>AE7-VLOOKUP(AC7,'Summary Page (2)'!$B$5:$K$14,9,FALSE)</f>
        <v>-5.1149767441860234</v>
      </c>
      <c r="AG7" s="52">
        <f>COUNTIFS('Regular Season'!R:R,'Summary Page'!AC7,'Regular Season'!S:S,'Summary Page'!AD7)</f>
        <v>10</v>
      </c>
      <c r="AH7" s="36">
        <f>AVERAGEIFS('Regular Season'!U:U,'Regular Season'!S:S,'Summary Page'!AC7,'Regular Season'!R:R,'Summary Page'!AD7)</f>
        <v>98.668888888888887</v>
      </c>
      <c r="AI7" s="47">
        <f>AH7-VLOOKUP(AC7,'Summary Page (2)'!$B$5:$K$14,10,FALSE)</f>
        <v>4.575707070707054</v>
      </c>
      <c r="AJ7" s="7">
        <f>COUNTIFS('Regular Season'!R:R,'Summary Page'!AD7,'Regular Season'!S:S,'Summary Page'!AC7)</f>
        <v>9</v>
      </c>
      <c r="AK7" s="36">
        <f t="shared" si="1"/>
        <v>106.1178947368421</v>
      </c>
      <c r="AL7" s="47">
        <f t="shared" si="2"/>
        <v>0.23984875983062182</v>
      </c>
      <c r="AM7" s="36">
        <f>AVERAGEIFS('Regular Season'!T:T,'Regular Season'!R:R,'Summary Page'!AD7,'Regular Season'!S:S,'Summary Page'!AC7)</f>
        <v>116.73333333333332</v>
      </c>
      <c r="AN7" s="47">
        <f>AM7-VLOOKUP(AD7,'Summary Page (2)'!$B$5:$K$14,9,FALSE)</f>
        <v>-2.4547826086956803</v>
      </c>
      <c r="AO7" s="52">
        <f>COUNTIFS('Regular Season'!R:R,'Summary Page'!AD7,'Regular Season'!S:S,'Summary Page'!AC7)</f>
        <v>9</v>
      </c>
      <c r="AP7" s="36">
        <f>AVERAGEIFS('Regular Season'!U:U,'Regular Season'!S:S,'Summary Page'!AD7,'Regular Season'!R:R,'Summary Page'!AC7)</f>
        <v>92.36399999999999</v>
      </c>
      <c r="AQ7" s="47">
        <f>AP7-VLOOKUP(AD7,'Summary Page (2)'!$B$5:$K$14,10,FALSE)</f>
        <v>1.8175849056602971</v>
      </c>
      <c r="AR7" s="7">
        <f>COUNTIFS('Regular Season'!R:R,'Summary Page'!AC7,'Regular Season'!S:S,'Summary Page'!AD7)</f>
        <v>10</v>
      </c>
      <c r="AS7" s="36">
        <f t="shared" si="3"/>
        <v>103.90736842105262</v>
      </c>
      <c r="AT7" s="47">
        <f t="shared" si="4"/>
        <v>2.0679398496239969</v>
      </c>
      <c r="AU7" s="55">
        <f t="shared" si="5"/>
        <v>-1.8280910897933751</v>
      </c>
      <c r="AW7" s="53">
        <v>7</v>
      </c>
      <c r="AX7" s="7" t="s">
        <v>32</v>
      </c>
      <c r="AY7" s="59" t="s">
        <v>31</v>
      </c>
      <c r="AZ7" s="36">
        <v>118.19230769230771</v>
      </c>
      <c r="BA7" s="47">
        <v>1.0908791208791513</v>
      </c>
      <c r="BB7" s="52">
        <v>13</v>
      </c>
      <c r="BC7" s="36">
        <v>93.115000000000009</v>
      </c>
      <c r="BD7" s="47">
        <v>-0.45000000000000284</v>
      </c>
      <c r="BE7" s="7">
        <v>8</v>
      </c>
      <c r="BF7" s="36">
        <v>108.63904761904762</v>
      </c>
      <c r="BG7" s="57">
        <v>4.0903809523809542</v>
      </c>
      <c r="BH7" s="36">
        <v>105.1575</v>
      </c>
      <c r="BI7" s="47">
        <v>-15.415743243243242</v>
      </c>
      <c r="BJ7" s="52">
        <v>8</v>
      </c>
      <c r="BK7" s="36">
        <v>87.259999999999991</v>
      </c>
      <c r="BL7" s="47">
        <v>-6.1378947368421422</v>
      </c>
      <c r="BM7" s="7">
        <v>13</v>
      </c>
      <c r="BN7" s="36">
        <v>94.07809523809523</v>
      </c>
      <c r="BO7" s="57">
        <v>-12.7263047619048</v>
      </c>
      <c r="BP7" s="49">
        <v>16.816685714285754</v>
      </c>
    </row>
    <row r="8" spans="2:68" x14ac:dyDescent="0.3">
      <c r="B8" s="7" t="s">
        <v>38</v>
      </c>
      <c r="C8" s="7">
        <f>COUNTIF('Regular Season'!R:R,'Summary Page'!B8)</f>
        <v>69</v>
      </c>
      <c r="D8" s="7">
        <f>COUNTIF('Regular Season'!S:S,'Summary Page'!B8)</f>
        <v>106</v>
      </c>
      <c r="E8" s="8">
        <f t="shared" si="6"/>
        <v>0.39428571428571429</v>
      </c>
      <c r="F8" s="10">
        <f>SUMIF('Regular Season'!R:R,'Summary Page'!B8,'Regular Season'!T:T)+SUMIF('Regular Season'!S:S,'Summary Page'!B8,'Regular Season'!U:U)</f>
        <v>17821.900000000009</v>
      </c>
      <c r="G8" s="10">
        <f>SUMIF('Regular Season'!R:R,'Summary Page'!B8,'Regular Season'!U:U)+SUMIF('Regular Season'!S:S,'Summary Page'!B8,'Regular Season'!T:T)</f>
        <v>18752.740000000002</v>
      </c>
      <c r="H8" s="9">
        <f t="shared" si="0"/>
        <v>101.83942857142863</v>
      </c>
      <c r="I8" s="9">
        <f>AVERAGEIF(Tables!C:C,'Summary Page'!B8,Tables!D:D)</f>
        <v>7.1538461538461542</v>
      </c>
      <c r="J8" s="9">
        <f>AVERAGEIF('Regular Season'!R:R,'Summary Page'!B8,'Regular Season'!T:T)</f>
        <v>119.188115942029</v>
      </c>
      <c r="K8" s="9">
        <f>AVERAGEIF('Regular Season'!S:S,'Summary Page'!B8,'Regular Season'!U:U)</f>
        <v>90.546415094339693</v>
      </c>
      <c r="M8" s="26">
        <v>4</v>
      </c>
      <c r="N8" s="20" t="str">
        <f>VLOOKUP(M8,'Regular Season'!F:U,13,FALSE)</f>
        <v>Pat/Tucker</v>
      </c>
      <c r="O8" s="20" t="str">
        <f>VLOOKUP(M8,'Regular Season'!F:U,14,FALSE)</f>
        <v>David/Marshall</v>
      </c>
      <c r="P8" s="20">
        <f>VLOOKUP(M8,'Regular Season'!F:U,3,FALSE)</f>
        <v>2022</v>
      </c>
      <c r="Q8" s="20">
        <f>VLOOKUP(M8,'Regular Season'!F:U,4,FALSE)</f>
        <v>8</v>
      </c>
      <c r="R8" s="21">
        <f>VLOOKUP(M8,'Regular Season'!F:U,15,FALSE)</f>
        <v>181.62</v>
      </c>
      <c r="T8" s="26">
        <v>4</v>
      </c>
      <c r="U8" s="20" t="str">
        <f>VLOOKUP(T8,Tables!A:K,3,FALSE)</f>
        <v>David/Marshall</v>
      </c>
      <c r="V8" s="25">
        <f>VLOOKUP(T8,Tables!A:K,2,FALSE)</f>
        <v>2021</v>
      </c>
      <c r="W8" s="25">
        <f>VLOOKUP(T8,Tables!A:K,5,FALSE)</f>
        <v>5</v>
      </c>
      <c r="X8" s="25">
        <f>VLOOKUP(T8,Tables!A:K,6,FALSE)</f>
        <v>9</v>
      </c>
      <c r="Y8" s="25">
        <f>VLOOKUP(T8,Tables!A:K,7,FALSE)</f>
        <v>5</v>
      </c>
      <c r="Z8" s="31">
        <f>VLOOKUP(T8,Tables!A:K,11,FALSE)</f>
        <v>125.53285714285714</v>
      </c>
      <c r="AB8" s="53">
        <v>4</v>
      </c>
      <c r="AC8" s="7" t="s">
        <v>32</v>
      </c>
      <c r="AD8" s="7" t="s">
        <v>37</v>
      </c>
      <c r="AE8" s="36">
        <f>AVERAGEIFS('Regular Season'!T:T,'Regular Season'!R:R,'Summary Page'!AC8,'Regular Season'!S:S,'Summary Page'!AD8)</f>
        <v>127.28222222222222</v>
      </c>
      <c r="AF8" s="47">
        <f>AE8-VLOOKUP(AC8,'Summary Page (2)'!$B$5:$K$14,9,FALSE)</f>
        <v>9.3452454780361904</v>
      </c>
      <c r="AG8" s="52">
        <f>COUNTIFS('Regular Season'!R:R,'Summary Page'!AC8,'Regular Season'!S:S,'Summary Page'!AD8)</f>
        <v>9</v>
      </c>
      <c r="AH8" s="36">
        <f>AVERAGEIFS('Regular Season'!U:U,'Regular Season'!S:S,'Summary Page'!AC8,'Regular Season'!R:R,'Summary Page'!AD8)</f>
        <v>88.694285714285698</v>
      </c>
      <c r="AI8" s="47">
        <f>AH8-VLOOKUP(AC8,'Summary Page (2)'!$B$5:$K$14,10,FALSE)</f>
        <v>-5.3988961038961349</v>
      </c>
      <c r="AJ8" s="7">
        <f>COUNTIFS('Regular Season'!R:R,'Summary Page'!AD8,'Regular Season'!S:S,'Summary Page'!AC8)</f>
        <v>14</v>
      </c>
      <c r="AK8" s="36">
        <f t="shared" si="1"/>
        <v>103.79391304347826</v>
      </c>
      <c r="AL8" s="47">
        <f t="shared" si="2"/>
        <v>-2.0841329335332262</v>
      </c>
      <c r="AM8" s="36">
        <f>AVERAGEIFS('Regular Season'!T:T,'Regular Season'!R:R,'Summary Page'!AD8,'Regular Season'!S:S,'Summary Page'!AC8)</f>
        <v>114.68999999999998</v>
      </c>
      <c r="AN8" s="47">
        <f>AM8-VLOOKUP(AD8,'Summary Page (2)'!$B$5:$K$14,9,FALSE)</f>
        <v>-1.1502439024390299</v>
      </c>
      <c r="AO8" s="52">
        <f>COUNTIFS('Regular Season'!R:R,'Summary Page'!AD8,'Regular Season'!S:S,'Summary Page'!AC8)</f>
        <v>14</v>
      </c>
      <c r="AP8" s="36">
        <f>AVERAGEIFS('Regular Season'!U:U,'Regular Season'!S:S,'Summary Page'!AD8,'Regular Season'!R:R,'Summary Page'!AC8)</f>
        <v>99.566666666666677</v>
      </c>
      <c r="AQ8" s="47">
        <f>AP8-VLOOKUP(AD8,'Summary Page (2)'!$B$5:$K$14,10,FALSE)</f>
        <v>6.715905797101442</v>
      </c>
      <c r="AR8" s="7">
        <f>COUNTIFS('Regular Season'!R:R,'Summary Page'!AC8,'Regular Season'!S:S,'Summary Page'!AD8)</f>
        <v>9</v>
      </c>
      <c r="AS8" s="36">
        <f t="shared" si="3"/>
        <v>108.77217391304349</v>
      </c>
      <c r="AT8" s="47">
        <f t="shared" si="4"/>
        <v>5.0872888555722113</v>
      </c>
      <c r="AU8" s="55">
        <f t="shared" si="5"/>
        <v>-7.1714217891054375</v>
      </c>
      <c r="AW8" s="53">
        <v>9</v>
      </c>
      <c r="AX8" s="7" t="s">
        <v>32</v>
      </c>
      <c r="AY8" s="59" t="s">
        <v>36</v>
      </c>
      <c r="AZ8" s="36">
        <v>122.24000000000001</v>
      </c>
      <c r="BA8" s="47">
        <v>5.1385714285714528</v>
      </c>
      <c r="BB8" s="52">
        <v>8</v>
      </c>
      <c r="BC8" s="36">
        <v>67.91</v>
      </c>
      <c r="BD8" s="47">
        <v>-25.655000000000015</v>
      </c>
      <c r="BE8" s="7">
        <v>4</v>
      </c>
      <c r="BF8" s="36">
        <v>104.13</v>
      </c>
      <c r="BG8" s="57">
        <v>-0.41866666666666674</v>
      </c>
      <c r="BH8" s="36">
        <v>108.1</v>
      </c>
      <c r="BI8" s="47">
        <v>-9.4865853658536423</v>
      </c>
      <c r="BJ8" s="52">
        <v>4</v>
      </c>
      <c r="BK8" s="36">
        <v>82.5</v>
      </c>
      <c r="BL8" s="47">
        <v>-10.223529411764702</v>
      </c>
      <c r="BM8" s="7">
        <v>8</v>
      </c>
      <c r="BN8" s="36">
        <v>91.033333333333346</v>
      </c>
      <c r="BO8" s="57">
        <v>-15.281999999999982</v>
      </c>
      <c r="BP8" s="49">
        <v>14.863333333333316</v>
      </c>
    </row>
    <row r="9" spans="2:68" x14ac:dyDescent="0.3">
      <c r="B9" s="7" t="s">
        <v>37</v>
      </c>
      <c r="C9" s="7">
        <f>COUNTIF('Regular Season'!R:R,'Summary Page'!B9)</f>
        <v>82</v>
      </c>
      <c r="D9" s="7">
        <f>COUNTIF('Regular Season'!S:S,'Summary Page'!B9)</f>
        <v>92</v>
      </c>
      <c r="E9" s="8">
        <f t="shared" si="6"/>
        <v>0.47126436781609193</v>
      </c>
      <c r="F9" s="10">
        <f>SUMIF('Regular Season'!R:R,'Summary Page'!B9,'Regular Season'!T:T)+SUMIF('Regular Season'!S:S,'Summary Page'!B9,'Regular Season'!U:U)</f>
        <v>18041.170000000002</v>
      </c>
      <c r="G9" s="10">
        <f>SUMIF('Regular Season'!R:R,'Summary Page'!B9,'Regular Season'!U:U)+SUMIF('Regular Season'!S:S,'Summary Page'!B9,'Regular Season'!T:T)</f>
        <v>18755.380000000005</v>
      </c>
      <c r="H9" s="9">
        <f t="shared" si="0"/>
        <v>103.68488505747128</v>
      </c>
      <c r="I9" s="9">
        <f>AVERAGEIF(Tables!C:C,'Summary Page'!B9,Tables!D:D)</f>
        <v>6.0769230769230766</v>
      </c>
      <c r="J9" s="9">
        <f>AVERAGEIF('Regular Season'!R:R,'Summary Page'!B9,'Regular Season'!T:T)</f>
        <v>115.84024390243901</v>
      </c>
      <c r="K9" s="9">
        <f>AVERAGEIF('Regular Season'!S:S,'Summary Page'!B9,'Regular Season'!U:U)</f>
        <v>92.850760869565235</v>
      </c>
      <c r="M9" s="26">
        <v>5</v>
      </c>
      <c r="N9" s="20" t="str">
        <f>VLOOKUP(M9,'Regular Season'!F:U,13,FALSE)</f>
        <v>Eric/Blake</v>
      </c>
      <c r="O9" s="20" t="str">
        <f>VLOOKUP(M9,'Regular Season'!F:U,14,FALSE)</f>
        <v>Graham/Michael</v>
      </c>
      <c r="P9" s="20">
        <f>VLOOKUP(M9,'Regular Season'!F:U,3,FALSE)</f>
        <v>2015</v>
      </c>
      <c r="Q9" s="20">
        <f>VLOOKUP(M9,'Regular Season'!F:U,4,FALSE)</f>
        <v>5</v>
      </c>
      <c r="R9" s="21">
        <f>VLOOKUP(M9,'Regular Season'!F:U,15,FALSE)</f>
        <v>177</v>
      </c>
      <c r="T9" s="26">
        <v>5</v>
      </c>
      <c r="U9" s="20" t="str">
        <f>VLOOKUP(T9,Tables!A:K,3,FALSE)</f>
        <v>Graham/Michael</v>
      </c>
      <c r="V9" s="25">
        <f>VLOOKUP(T9,Tables!A:K,2,FALSE)</f>
        <v>2019</v>
      </c>
      <c r="W9" s="25">
        <f>VLOOKUP(T9,Tables!A:K,5,FALSE)</f>
        <v>3</v>
      </c>
      <c r="X9" s="25">
        <f>VLOOKUP(T9,Tables!A:K,6,FALSE)</f>
        <v>8</v>
      </c>
      <c r="Y9" s="25">
        <f>VLOOKUP(T9,Tables!A:K,7,FALSE)</f>
        <v>5</v>
      </c>
      <c r="Z9" s="31">
        <f>VLOOKUP(T9,Tables!A:K,11,FALSE)</f>
        <v>122.97538461538463</v>
      </c>
      <c r="AB9" s="53">
        <v>5</v>
      </c>
      <c r="AC9" s="7" t="s">
        <v>32</v>
      </c>
      <c r="AD9" s="7" t="s">
        <v>34</v>
      </c>
      <c r="AE9" s="36">
        <f>AVERAGEIFS('Regular Season'!T:T,'Regular Season'!R:R,'Summary Page'!AC9,'Regular Season'!S:S,'Summary Page'!AD9)</f>
        <v>125.45249999999999</v>
      </c>
      <c r="AF9" s="47">
        <f>AE9-VLOOKUP(AC9,'Summary Page (2)'!$B$5:$K$14,9,FALSE)</f>
        <v>7.5155232558139602</v>
      </c>
      <c r="AG9" s="52">
        <f>COUNTIFS('Regular Season'!R:R,'Summary Page'!AC9,'Regular Season'!S:S,'Summary Page'!AD9)</f>
        <v>8</v>
      </c>
      <c r="AH9" s="36">
        <f>AVERAGEIFS('Regular Season'!U:U,'Regular Season'!S:S,'Summary Page'!AC9,'Regular Season'!R:R,'Summary Page'!AD9)</f>
        <v>95.342857142857127</v>
      </c>
      <c r="AI9" s="47">
        <f>AH9-VLOOKUP(AC9,'Summary Page (2)'!$B$5:$K$14,10,FALSE)</f>
        <v>1.2496753246752945</v>
      </c>
      <c r="AJ9" s="7">
        <f>COUNTIFS('Regular Season'!R:R,'Summary Page'!AD9,'Regular Season'!S:S,'Summary Page'!AC9)</f>
        <v>7</v>
      </c>
      <c r="AK9" s="36">
        <f t="shared" si="1"/>
        <v>111.40133333333331</v>
      </c>
      <c r="AL9" s="47">
        <f t="shared" si="2"/>
        <v>5.5232873563218305</v>
      </c>
      <c r="AM9" s="36">
        <f>AVERAGEIFS('Regular Season'!T:T,'Regular Season'!R:R,'Summary Page'!AD9,'Regular Season'!S:S,'Summary Page'!AC9)</f>
        <v>116.0342857142857</v>
      </c>
      <c r="AN9" s="47">
        <f>AM9-VLOOKUP(AD9,'Summary Page (2)'!$B$5:$K$14,9,FALSE)</f>
        <v>-6.3083516483516604</v>
      </c>
      <c r="AO9" s="52">
        <f>COUNTIFS('Regular Season'!R:R,'Summary Page'!AD9,'Regular Season'!S:S,'Summary Page'!AC9)</f>
        <v>7</v>
      </c>
      <c r="AP9" s="36">
        <f>AVERAGEIFS('Regular Season'!U:U,'Regular Season'!S:S,'Summary Page'!AD9,'Regular Season'!R:R,'Summary Page'!AC9)</f>
        <v>106.4175</v>
      </c>
      <c r="AQ9" s="47">
        <f>AP9-VLOOKUP(AD9,'Summary Page (2)'!$B$5:$K$14,10,FALSE)</f>
        <v>10.017500000000013</v>
      </c>
      <c r="AR9" s="7">
        <f>COUNTIFS('Regular Season'!R:R,'Summary Page'!AC9,'Regular Season'!S:S,'Summary Page'!AD9)</f>
        <v>8</v>
      </c>
      <c r="AS9" s="36">
        <f t="shared" si="3"/>
        <v>110.90533333333333</v>
      </c>
      <c r="AT9" s="47">
        <f t="shared" si="4"/>
        <v>0.93763218390806458</v>
      </c>
      <c r="AU9" s="55">
        <f t="shared" si="5"/>
        <v>4.585655172413766</v>
      </c>
      <c r="AW9" s="53">
        <v>67</v>
      </c>
      <c r="AX9" s="7" t="s">
        <v>31</v>
      </c>
      <c r="AY9" s="59" t="s">
        <v>38</v>
      </c>
      <c r="AZ9" s="36">
        <v>127.55272727272727</v>
      </c>
      <c r="BA9" s="47">
        <v>6.979484029484027</v>
      </c>
      <c r="BB9" s="52">
        <v>11</v>
      </c>
      <c r="BC9" s="36">
        <v>73.033333333333331</v>
      </c>
      <c r="BD9" s="47">
        <v>-20.364561403508802</v>
      </c>
      <c r="BE9" s="7">
        <v>3</v>
      </c>
      <c r="BF9" s="36">
        <v>115.86999999999999</v>
      </c>
      <c r="BG9" s="57">
        <v>9.0655999999999608</v>
      </c>
      <c r="BH9" s="36">
        <v>118.69333333333334</v>
      </c>
      <c r="BI9" s="47">
        <v>0.83011904761902144</v>
      </c>
      <c r="BJ9" s="52">
        <v>3</v>
      </c>
      <c r="BK9" s="36">
        <v>90.872727272727261</v>
      </c>
      <c r="BL9" s="47">
        <v>-2.3017408123848782E-2</v>
      </c>
      <c r="BM9" s="7">
        <v>11</v>
      </c>
      <c r="BN9" s="36">
        <v>96.834285714285699</v>
      </c>
      <c r="BO9" s="57">
        <v>-4.1293142857143437</v>
      </c>
      <c r="BP9" s="49">
        <v>13.194914285714304</v>
      </c>
    </row>
    <row r="10" spans="2:68" x14ac:dyDescent="0.3">
      <c r="B10" s="7" t="s">
        <v>34</v>
      </c>
      <c r="C10" s="7">
        <f>COUNTIF('Regular Season'!R:R,'Summary Page'!B10)</f>
        <v>91</v>
      </c>
      <c r="D10" s="7">
        <f>COUNTIF('Regular Season'!S:S,'Summary Page'!B10)</f>
        <v>83</v>
      </c>
      <c r="E10" s="8">
        <f t="shared" si="6"/>
        <v>0.52298850574712641</v>
      </c>
      <c r="F10" s="10">
        <f>SUMIF('Regular Season'!R:R,'Summary Page'!B10,'Regular Season'!T:T)+SUMIF('Regular Season'!S:S,'Summary Page'!B10,'Regular Season'!U:U)</f>
        <v>19134.379999999997</v>
      </c>
      <c r="G10" s="10">
        <f>SUMIF('Regular Season'!R:R,'Summary Page'!B10,'Regular Season'!U:U)+SUMIF('Regular Season'!S:S,'Summary Page'!B10,'Regular Season'!T:T)</f>
        <v>18865.580000000002</v>
      </c>
      <c r="H10" s="9">
        <f t="shared" si="0"/>
        <v>109.96770114942527</v>
      </c>
      <c r="I10" s="9">
        <f>AVERAGEIF(Tables!C:C,'Summary Page'!B10,Tables!D:D)</f>
        <v>4.8461538461538458</v>
      </c>
      <c r="J10" s="9">
        <f>AVERAGEIF('Regular Season'!R:R,'Summary Page'!B10,'Regular Season'!T:T)</f>
        <v>122.34263736263736</v>
      </c>
      <c r="K10" s="9">
        <f>AVERAGEIF('Regular Season'!S:S,'Summary Page'!B10,'Regular Season'!U:U)</f>
        <v>96.399999999999991</v>
      </c>
      <c r="M10" s="26">
        <v>6</v>
      </c>
      <c r="N10" s="20" t="str">
        <f>VLOOKUP(M10,'Regular Season'!F:U,13,FALSE)</f>
        <v>Clay/Ryan</v>
      </c>
      <c r="O10" s="20" t="str">
        <f>VLOOKUP(M10,'Regular Season'!F:U,14,FALSE)</f>
        <v>Dave/Nolan</v>
      </c>
      <c r="P10" s="20">
        <f>VLOOKUP(M10,'Regular Season'!F:U,3,FALSE)</f>
        <v>2019</v>
      </c>
      <c r="Q10" s="20">
        <f>VLOOKUP(M10,'Regular Season'!F:U,4,FALSE)</f>
        <v>5</v>
      </c>
      <c r="R10" s="21">
        <f>VLOOKUP(M10,'Regular Season'!F:U,15,FALSE)</f>
        <v>176.56</v>
      </c>
      <c r="T10" s="26">
        <v>6</v>
      </c>
      <c r="U10" s="20" t="str">
        <f>VLOOKUP(T10,Tables!A:K,3,FALSE)</f>
        <v>Clay/Ryan</v>
      </c>
      <c r="V10" s="25">
        <f>VLOOKUP(T10,Tables!A:K,2,FALSE)</f>
        <v>2019</v>
      </c>
      <c r="W10" s="25">
        <f>VLOOKUP(T10,Tables!A:K,5,FALSE)</f>
        <v>6</v>
      </c>
      <c r="X10" s="25">
        <f>VLOOKUP(T10,Tables!A:K,6,FALSE)</f>
        <v>6</v>
      </c>
      <c r="Y10" s="25">
        <f>VLOOKUP(T10,Tables!A:K,7,FALSE)</f>
        <v>7</v>
      </c>
      <c r="Z10" s="31">
        <f>VLOOKUP(T10,Tables!A:K,11,FALSE)</f>
        <v>122.44923076923077</v>
      </c>
      <c r="AB10" s="53">
        <v>6</v>
      </c>
      <c r="AC10" s="7" t="s">
        <v>32</v>
      </c>
      <c r="AD10" s="7" t="s">
        <v>29</v>
      </c>
      <c r="AE10" s="36">
        <f>AVERAGEIFS('Regular Season'!T:T,'Regular Season'!R:R,'Summary Page'!AC10,'Regular Season'!S:S,'Summary Page'!AD10)</f>
        <v>114.09555555555555</v>
      </c>
      <c r="AF10" s="47">
        <f>AE10-VLOOKUP(AC10,'Summary Page (2)'!$B$5:$K$14,9,FALSE)</f>
        <v>-3.841421188630477</v>
      </c>
      <c r="AG10" s="52">
        <f>COUNTIFS('Regular Season'!R:R,'Summary Page'!AC10,'Regular Season'!S:S,'Summary Page'!AD10)</f>
        <v>9</v>
      </c>
      <c r="AH10" s="36">
        <f>AVERAGEIFS('Regular Season'!U:U,'Regular Season'!S:S,'Summary Page'!AC10,'Regular Season'!R:R,'Summary Page'!AD10)</f>
        <v>98.785454545454527</v>
      </c>
      <c r="AI10" s="47">
        <f>AH10-VLOOKUP(AC10,'Summary Page (2)'!$B$5:$K$14,10,FALSE)</f>
        <v>4.6922727272726945</v>
      </c>
      <c r="AJ10" s="7">
        <f>COUNTIFS('Regular Season'!R:R,'Summary Page'!AD10,'Regular Season'!S:S,'Summary Page'!AC10)</f>
        <v>11</v>
      </c>
      <c r="AK10" s="36">
        <f t="shared" si="1"/>
        <v>105.675</v>
      </c>
      <c r="AL10" s="47">
        <f t="shared" si="2"/>
        <v>-0.20304597701148452</v>
      </c>
      <c r="AM10" s="36">
        <f>AVERAGEIFS('Regular Season'!T:T,'Regular Season'!R:R,'Summary Page'!AD10,'Regular Season'!S:S,'Summary Page'!AC10)</f>
        <v>128.71272727272728</v>
      </c>
      <c r="AN10" s="47">
        <f>AM10-VLOOKUP(AD10,'Summary Page (2)'!$B$5:$K$14,9,FALSE)</f>
        <v>3.5540606060606308</v>
      </c>
      <c r="AO10" s="52">
        <f>COUNTIFS('Regular Season'!R:R,'Summary Page'!AD10,'Regular Season'!S:S,'Summary Page'!AC10)</f>
        <v>11</v>
      </c>
      <c r="AP10" s="36">
        <f>AVERAGEIFS('Regular Season'!U:U,'Regular Season'!S:S,'Summary Page'!AD10,'Regular Season'!R:R,'Summary Page'!AC10)</f>
        <v>92.804444444444428</v>
      </c>
      <c r="AQ10" s="47">
        <f>AP10-VLOOKUP(AD10,'Summary Page (2)'!$B$5:$K$14,10,FALSE)</f>
        <v>-6.1426984126984507</v>
      </c>
      <c r="AR10" s="7">
        <f>COUNTIFS('Regular Season'!R:R,'Summary Page'!AC10,'Regular Season'!S:S,'Summary Page'!AD10)</f>
        <v>9</v>
      </c>
      <c r="AS10" s="36">
        <f t="shared" si="3"/>
        <v>112.554</v>
      </c>
      <c r="AT10" s="47">
        <f t="shared" si="4"/>
        <v>4.9172413793101555E-2</v>
      </c>
      <c r="AU10" s="55">
        <f t="shared" si="5"/>
        <v>-0.25221839080458608</v>
      </c>
      <c r="AW10" s="53">
        <v>79</v>
      </c>
      <c r="AX10" s="7" t="s">
        <v>33</v>
      </c>
      <c r="AY10" s="59" t="s">
        <v>29</v>
      </c>
      <c r="AZ10" s="36">
        <v>128.78199999999998</v>
      </c>
      <c r="BA10" s="47">
        <v>7.6957078651685009</v>
      </c>
      <c r="BB10" s="52">
        <v>10</v>
      </c>
      <c r="BC10" s="36">
        <v>104.74285714285713</v>
      </c>
      <c r="BD10" s="47">
        <v>9.9569555035128872</v>
      </c>
      <c r="BE10" s="7">
        <v>7</v>
      </c>
      <c r="BF10" s="36">
        <v>118.88352941176468</v>
      </c>
      <c r="BG10" s="57">
        <v>8.492729411764671</v>
      </c>
      <c r="BH10" s="36">
        <v>113.75428571428571</v>
      </c>
      <c r="BI10" s="47">
        <v>-8.6726587301587301</v>
      </c>
      <c r="BJ10" s="52">
        <v>7</v>
      </c>
      <c r="BK10" s="36">
        <v>100.354</v>
      </c>
      <c r="BL10" s="47">
        <v>1.9570769230768974</v>
      </c>
      <c r="BM10" s="7">
        <v>10</v>
      </c>
      <c r="BN10" s="36">
        <v>105.87176470588236</v>
      </c>
      <c r="BO10" s="57">
        <v>-4.0595686274509859</v>
      </c>
      <c r="BP10" s="49">
        <v>12.552298039215657</v>
      </c>
    </row>
    <row r="11" spans="2:68" x14ac:dyDescent="0.3">
      <c r="B11" s="7" t="s">
        <v>29</v>
      </c>
      <c r="C11" s="7">
        <f>COUNTIF('Regular Season'!R:R,'Summary Page'!B11)</f>
        <v>90</v>
      </c>
      <c r="D11" s="7">
        <f>COUNTIF('Regular Season'!S:S,'Summary Page'!B11)</f>
        <v>84</v>
      </c>
      <c r="E11" s="8">
        <f t="shared" si="6"/>
        <v>0.51724137931034486</v>
      </c>
      <c r="F11" s="10">
        <f>SUMIF('Regular Season'!R:R,'Summary Page'!B11,'Regular Season'!T:T)+SUMIF('Regular Season'!S:S,'Summary Page'!B11,'Regular Season'!U:U)</f>
        <v>19575.84</v>
      </c>
      <c r="G11" s="10">
        <f>SUMIF('Regular Season'!R:R,'Summary Page'!B11,'Regular Season'!U:U)+SUMIF('Regular Season'!S:S,'Summary Page'!B11,'Regular Season'!T:T)</f>
        <v>19246.159999999996</v>
      </c>
      <c r="H11" s="9">
        <f t="shared" si="0"/>
        <v>112.5048275862069</v>
      </c>
      <c r="I11" s="9">
        <f>AVERAGEIF(Tables!C:C,'Summary Page'!B11,Tables!D:D)</f>
        <v>5.0769230769230766</v>
      </c>
      <c r="J11" s="9">
        <f>AVERAGEIF('Regular Season'!R:R,'Summary Page'!B11,'Regular Season'!T:T)</f>
        <v>125.15866666666665</v>
      </c>
      <c r="K11" s="9">
        <f>AVERAGEIF('Regular Season'!S:S,'Summary Page'!B11,'Regular Season'!U:U)</f>
        <v>98.947142857142879</v>
      </c>
      <c r="M11" s="26">
        <v>7</v>
      </c>
      <c r="N11" s="20" t="str">
        <f>VLOOKUP(M11,'Regular Season'!F:U,13,FALSE)</f>
        <v>Brian/Travis</v>
      </c>
      <c r="O11" s="20" t="str">
        <f>VLOOKUP(M11,'Regular Season'!F:U,14,FALSE)</f>
        <v>Walker/Cory</v>
      </c>
      <c r="P11" s="20">
        <f>VLOOKUP(M11,'Regular Season'!F:U,3,FALSE)</f>
        <v>2020</v>
      </c>
      <c r="Q11" s="20">
        <f>VLOOKUP(M11,'Regular Season'!F:U,4,FALSE)</f>
        <v>12</v>
      </c>
      <c r="R11" s="21">
        <f>VLOOKUP(M11,'Regular Season'!F:U,15,FALSE)</f>
        <v>174.08</v>
      </c>
      <c r="T11" s="26">
        <v>7</v>
      </c>
      <c r="U11" s="20" t="str">
        <f>VLOOKUP(T11,Tables!A:K,3,FALSE)</f>
        <v>Graham/Michael</v>
      </c>
      <c r="V11" s="25">
        <f>VLOOKUP(T11,Tables!A:K,2,FALSE)</f>
        <v>2014</v>
      </c>
      <c r="W11" s="25">
        <f>VLOOKUP(T11,Tables!A:K,5,FALSE)</f>
        <v>5</v>
      </c>
      <c r="X11" s="25">
        <f>VLOOKUP(T11,Tables!A:K,6,FALSE)</f>
        <v>6</v>
      </c>
      <c r="Y11" s="25">
        <f>VLOOKUP(T11,Tables!A:K,7,FALSE)</f>
        <v>7</v>
      </c>
      <c r="Z11" s="31">
        <f>VLOOKUP(T11,Tables!A:K,11,FALSE)</f>
        <v>122.34615384615384</v>
      </c>
      <c r="AB11" s="53">
        <v>7</v>
      </c>
      <c r="AC11" s="7" t="s">
        <v>32</v>
      </c>
      <c r="AD11" s="7" t="s">
        <v>31</v>
      </c>
      <c r="AE11" s="36">
        <f>AVERAGEIFS('Regular Season'!T:T,'Regular Season'!R:R,'Summary Page'!AC11,'Regular Season'!S:S,'Summary Page'!AD11)</f>
        <v>118.55866666666667</v>
      </c>
      <c r="AF11" s="47">
        <f>AE11-VLOOKUP(AC11,'Summary Page (2)'!$B$5:$K$14,9,FALSE)</f>
        <v>0.62168992248064114</v>
      </c>
      <c r="AG11" s="52">
        <f>COUNTIFS('Regular Season'!R:R,'Summary Page'!AC11,'Regular Season'!S:S,'Summary Page'!AD11)</f>
        <v>15</v>
      </c>
      <c r="AH11" s="36">
        <f>AVERAGEIFS('Regular Season'!U:U,'Regular Season'!S:S,'Summary Page'!AC11,'Regular Season'!R:R,'Summary Page'!AD11)</f>
        <v>94.171111111111117</v>
      </c>
      <c r="AI11" s="47">
        <f>AH11-VLOOKUP(AC11,'Summary Page (2)'!$B$5:$K$14,10,FALSE)</f>
        <v>7.7929292929283633E-2</v>
      </c>
      <c r="AJ11" s="7">
        <f>COUNTIFS('Regular Season'!R:R,'Summary Page'!AD11,'Regular Season'!S:S,'Summary Page'!AC11)</f>
        <v>9</v>
      </c>
      <c r="AK11" s="36">
        <f t="shared" si="1"/>
        <v>109.41333333333334</v>
      </c>
      <c r="AL11" s="47">
        <f t="shared" si="2"/>
        <v>3.5352873563218594</v>
      </c>
      <c r="AM11" s="36">
        <f>AVERAGEIFS('Regular Season'!T:T,'Regular Season'!R:R,'Summary Page'!AD11,'Regular Season'!S:S,'Summary Page'!AC11)</f>
        <v>106.42444444444443</v>
      </c>
      <c r="AN11" s="47">
        <f>AM11-VLOOKUP(AD11,'Summary Page (2)'!$B$5:$K$14,9,FALSE)</f>
        <v>-14.017936507936497</v>
      </c>
      <c r="AO11" s="52">
        <f>COUNTIFS('Regular Season'!R:R,'Summary Page'!AD11,'Regular Season'!S:S,'Summary Page'!AC11)</f>
        <v>9</v>
      </c>
      <c r="AP11" s="36">
        <f>AVERAGEIFS('Regular Season'!U:U,'Regular Season'!S:S,'Summary Page'!AD11,'Regular Season'!R:R,'Summary Page'!AC11)</f>
        <v>86.406666666666666</v>
      </c>
      <c r="AQ11" s="47">
        <f>AP11-VLOOKUP(AD11,'Summary Page (2)'!$B$5:$K$14,10,FALSE)</f>
        <v>-8.0990151515151894</v>
      </c>
      <c r="AR11" s="7">
        <f>COUNTIFS('Regular Season'!R:R,'Summary Page'!AC11,'Regular Season'!S:S,'Summary Page'!AD11)</f>
        <v>15</v>
      </c>
      <c r="AS11" s="36">
        <f t="shared" si="3"/>
        <v>93.913333333333341</v>
      </c>
      <c r="AT11" s="47">
        <f t="shared" si="4"/>
        <v>-13.259108527131801</v>
      </c>
      <c r="AU11" s="55">
        <f t="shared" si="5"/>
        <v>16.79439588345366</v>
      </c>
      <c r="AW11" s="53">
        <v>87</v>
      </c>
      <c r="AX11" s="7" t="s">
        <v>36</v>
      </c>
      <c r="AY11" s="59" t="s">
        <v>34</v>
      </c>
      <c r="AZ11" s="36">
        <v>111.77333333333333</v>
      </c>
      <c r="BA11" s="47">
        <v>-5.8132520325203103</v>
      </c>
      <c r="BB11" s="52">
        <v>12</v>
      </c>
      <c r="BC11" s="36">
        <v>89.17</v>
      </c>
      <c r="BD11" s="47">
        <v>-3.5535294117646998</v>
      </c>
      <c r="BE11" s="7">
        <v>8</v>
      </c>
      <c r="BF11" s="36">
        <v>102.732</v>
      </c>
      <c r="BG11" s="57">
        <v>-3.5833333333333286</v>
      </c>
      <c r="BH11" s="36">
        <v>97.765000000000001</v>
      </c>
      <c r="BI11" s="47">
        <v>-24.629430379746836</v>
      </c>
      <c r="BJ11" s="52">
        <v>8</v>
      </c>
      <c r="BK11" s="36">
        <v>96.204999999999998</v>
      </c>
      <c r="BL11" s="47">
        <v>-0.83838028169013512</v>
      </c>
      <c r="BM11" s="7">
        <v>12</v>
      </c>
      <c r="BN11" s="36">
        <v>96.828999999999994</v>
      </c>
      <c r="BO11" s="57">
        <v>-13.565933333333319</v>
      </c>
      <c r="BP11" s="49">
        <v>9.9825999999999908</v>
      </c>
    </row>
    <row r="12" spans="2:68" x14ac:dyDescent="0.3">
      <c r="B12" s="7" t="s">
        <v>31</v>
      </c>
      <c r="C12" s="7">
        <f>COUNTIF('Regular Season'!R:R,'Summary Page'!B12)</f>
        <v>84</v>
      </c>
      <c r="D12" s="7">
        <f>COUNTIF('Regular Season'!S:S,'Summary Page'!B12)</f>
        <v>88</v>
      </c>
      <c r="E12" s="8">
        <f t="shared" si="6"/>
        <v>0.48837209302325579</v>
      </c>
      <c r="F12" s="10">
        <f>SUMIF('Regular Season'!R:R,'Summary Page'!B12,'Regular Season'!T:T)+SUMIF('Regular Season'!S:S,'Summary Page'!B12,'Regular Season'!U:U)</f>
        <v>18433.660000000003</v>
      </c>
      <c r="G12" s="10">
        <f>SUMIF('Regular Season'!R:R,'Summary Page'!B12,'Regular Season'!U:U)+SUMIF('Regular Season'!S:S,'Summary Page'!B12,'Regular Season'!T:T)</f>
        <v>18937.729999999996</v>
      </c>
      <c r="H12" s="9">
        <f t="shared" si="0"/>
        <v>107.17244186046514</v>
      </c>
      <c r="I12" s="9">
        <f>AVERAGEIF(Tables!C:C,'Summary Page'!B12,Tables!D:D)</f>
        <v>5.8461538461538458</v>
      </c>
      <c r="J12" s="9">
        <f>AVERAGEIF('Regular Season'!R:R,'Summary Page'!B12,'Regular Season'!T:T)</f>
        <v>120.44238095238093</v>
      </c>
      <c r="K12" s="9">
        <f>AVERAGEIF('Regular Season'!S:S,'Summary Page'!B12,'Regular Season'!U:U)</f>
        <v>94.505681818181856</v>
      </c>
      <c r="M12" s="26">
        <v>8</v>
      </c>
      <c r="N12" s="20" t="str">
        <f>VLOOKUP(M12,'Regular Season'!F:U,13,FALSE)</f>
        <v>Trent/Colin</v>
      </c>
      <c r="O12" s="20" t="str">
        <f>VLOOKUP(M12,'Regular Season'!F:U,14,FALSE)</f>
        <v>Pat/Tucker</v>
      </c>
      <c r="P12" s="20">
        <f>VLOOKUP(M12,'Regular Season'!F:U,3,FALSE)</f>
        <v>2022</v>
      </c>
      <c r="Q12" s="20">
        <f>VLOOKUP(M12,'Regular Season'!F:U,4,FALSE)</f>
        <v>10</v>
      </c>
      <c r="R12" s="21">
        <f>VLOOKUP(M12,'Regular Season'!F:U,15,FALSE)</f>
        <v>173.08</v>
      </c>
      <c r="T12" s="26">
        <v>8</v>
      </c>
      <c r="U12" s="20" t="str">
        <f>VLOOKUP(T12,Tables!A:K,3,FALSE)</f>
        <v>Pat/Tucker</v>
      </c>
      <c r="V12" s="25">
        <f>VLOOKUP(T12,Tables!A:K,2,FALSE)</f>
        <v>2020</v>
      </c>
      <c r="W12" s="25">
        <f>VLOOKUP(T12,Tables!A:K,5,FALSE)</f>
        <v>3</v>
      </c>
      <c r="X12" s="25">
        <f>VLOOKUP(T12,Tables!A:K,6,FALSE)</f>
        <v>10</v>
      </c>
      <c r="Y12" s="25">
        <f>VLOOKUP(T12,Tables!A:K,7,FALSE)</f>
        <v>3</v>
      </c>
      <c r="Z12" s="31">
        <f>VLOOKUP(T12,Tables!A:K,11,FALSE)</f>
        <v>122.1846153846154</v>
      </c>
      <c r="AB12" s="53">
        <v>8</v>
      </c>
      <c r="AC12" s="7" t="s">
        <v>32</v>
      </c>
      <c r="AD12" s="7" t="s">
        <v>33</v>
      </c>
      <c r="AE12" s="36">
        <f>AVERAGEIFS('Regular Season'!T:T,'Regular Season'!R:R,'Summary Page'!AC12,'Regular Season'!S:S,'Summary Page'!AD12)</f>
        <v>117.52888888888889</v>
      </c>
      <c r="AF12" s="47">
        <f>AE12-VLOOKUP(AC12,'Summary Page (2)'!$B$5:$K$14,9,FALSE)</f>
        <v>-0.40808785529713987</v>
      </c>
      <c r="AG12" s="52">
        <f>COUNTIFS('Regular Season'!R:R,'Summary Page'!AC12,'Regular Season'!S:S,'Summary Page'!AD12)</f>
        <v>9</v>
      </c>
      <c r="AH12" s="36">
        <f>AVERAGEIFS('Regular Season'!U:U,'Regular Season'!S:S,'Summary Page'!AC12,'Regular Season'!R:R,'Summary Page'!AD12)</f>
        <v>98.642499999999984</v>
      </c>
      <c r="AI12" s="47">
        <f>AH12-VLOOKUP(AC12,'Summary Page (2)'!$B$5:$K$14,10,FALSE)</f>
        <v>4.5493181818181512</v>
      </c>
      <c r="AJ12" s="7">
        <f>COUNTIFS('Regular Season'!R:R,'Summary Page'!AD12,'Regular Season'!S:S,'Summary Page'!AC12)</f>
        <v>16</v>
      </c>
      <c r="AK12" s="36">
        <f t="shared" si="1"/>
        <v>105.44159999999999</v>
      </c>
      <c r="AL12" s="47">
        <f t="shared" si="2"/>
        <v>-0.43644597701148768</v>
      </c>
      <c r="AM12" s="36">
        <f>AVERAGEIFS('Regular Season'!T:T,'Regular Season'!R:R,'Summary Page'!AD12,'Regular Season'!S:S,'Summary Page'!AC12)</f>
        <v>119.33125</v>
      </c>
      <c r="AN12" s="47">
        <f>AM12-VLOOKUP(AD12,'Summary Page (2)'!$B$5:$K$14,9,FALSE)</f>
        <v>-1.4250245098039329</v>
      </c>
      <c r="AO12" s="52">
        <f>COUNTIFS('Regular Season'!R:R,'Summary Page'!AD12,'Regular Season'!S:S,'Summary Page'!AC12)</f>
        <v>16</v>
      </c>
      <c r="AP12" s="36">
        <f>AVERAGEIFS('Regular Season'!U:U,'Regular Season'!S:S,'Summary Page'!AD12,'Regular Season'!R:R,'Summary Page'!AC12)</f>
        <v>92.01111111111112</v>
      </c>
      <c r="AQ12" s="47">
        <f>AP12-VLOOKUP(AD12,'Summary Page (2)'!$B$5:$K$14,10,FALSE)</f>
        <v>-4.6813213213212919</v>
      </c>
      <c r="AR12" s="7">
        <f>COUNTIFS('Regular Season'!R:R,'Summary Page'!AC12,'Regular Season'!S:S,'Summary Page'!AD12)</f>
        <v>9</v>
      </c>
      <c r="AS12" s="36">
        <f t="shared" si="3"/>
        <v>109.49600000000001</v>
      </c>
      <c r="AT12" s="47">
        <f t="shared" si="4"/>
        <v>-1.1425227272727199</v>
      </c>
      <c r="AU12" s="55">
        <f t="shared" si="5"/>
        <v>0.70607675026123218</v>
      </c>
      <c r="AW12" s="53">
        <v>37</v>
      </c>
      <c r="AX12" s="7" t="s">
        <v>37</v>
      </c>
      <c r="AY12" s="59" t="s">
        <v>32</v>
      </c>
      <c r="AZ12" s="36">
        <v>116.33499999999998</v>
      </c>
      <c r="BA12" s="47">
        <v>0.79034246575339751</v>
      </c>
      <c r="BB12" s="52">
        <v>12</v>
      </c>
      <c r="BC12" s="36">
        <v>100.69428571428573</v>
      </c>
      <c r="BD12" s="47">
        <v>9.1654545454545087</v>
      </c>
      <c r="BE12" s="7">
        <v>7</v>
      </c>
      <c r="BF12" s="36">
        <v>110.57263157894738</v>
      </c>
      <c r="BG12" s="57">
        <v>7.3560982456140209</v>
      </c>
      <c r="BH12" s="36">
        <v>124.66571428571429</v>
      </c>
      <c r="BI12" s="47">
        <v>7.5642857142857309</v>
      </c>
      <c r="BJ12" s="52">
        <v>7</v>
      </c>
      <c r="BK12" s="36">
        <v>89.416666666666671</v>
      </c>
      <c r="BL12" s="47">
        <v>-4.1483333333333405</v>
      </c>
      <c r="BM12" s="7">
        <v>12</v>
      </c>
      <c r="BN12" s="36">
        <v>102.40315789473684</v>
      </c>
      <c r="BO12" s="57">
        <v>-2.1455087719298263</v>
      </c>
      <c r="BP12" s="49">
        <v>9.5016070175438472</v>
      </c>
    </row>
    <row r="13" spans="2:68" x14ac:dyDescent="0.3">
      <c r="B13" s="7" t="s">
        <v>33</v>
      </c>
      <c r="C13" s="7">
        <f>COUNTIF('Regular Season'!R:R,'Summary Page'!B13)</f>
        <v>102</v>
      </c>
      <c r="D13" s="7">
        <f>COUNTIF('Regular Season'!S:S,'Summary Page'!B13)</f>
        <v>74</v>
      </c>
      <c r="E13" s="8">
        <f t="shared" si="6"/>
        <v>0.57954545454545459</v>
      </c>
      <c r="F13" s="10">
        <f>SUMIF('Regular Season'!R:R,'Summary Page'!B13,'Regular Season'!T:T)+SUMIF('Regular Season'!S:S,'Summary Page'!B13,'Regular Season'!U:U)</f>
        <v>19472.38</v>
      </c>
      <c r="G13" s="10">
        <f>SUMIF('Regular Season'!R:R,'Summary Page'!B13,'Regular Season'!U:U)+SUMIF('Regular Season'!S:S,'Summary Page'!B13,'Regular Season'!T:T)</f>
        <v>18604.720000000005</v>
      </c>
      <c r="H13" s="9">
        <f t="shared" si="0"/>
        <v>110.63852272727273</v>
      </c>
      <c r="I13" s="9">
        <f>AVERAGEIF(Tables!C:C,'Summary Page'!B13,Tables!D:D)</f>
        <v>3.9230769230769229</v>
      </c>
      <c r="J13" s="9">
        <f>AVERAGEIF('Regular Season'!R:R,'Summary Page'!B13,'Regular Season'!T:T)</f>
        <v>120.75627450980393</v>
      </c>
      <c r="K13" s="9">
        <f>AVERAGEIF('Regular Season'!S:S,'Summary Page'!B13,'Regular Season'!U:U)</f>
        <v>96.692432432432412</v>
      </c>
      <c r="M13" s="26">
        <v>9</v>
      </c>
      <c r="N13" s="20" t="str">
        <f>VLOOKUP(M13,'Regular Season'!F:U,13,FALSE)</f>
        <v>Pat/Tucker</v>
      </c>
      <c r="O13" s="20" t="str">
        <f>VLOOKUP(M13,'Regular Season'!F:U,14,FALSE)</f>
        <v>Eric/Blake</v>
      </c>
      <c r="P13" s="20">
        <f>VLOOKUP(M13,'Regular Season'!F:U,3,FALSE)</f>
        <v>2014</v>
      </c>
      <c r="Q13" s="20">
        <f>VLOOKUP(M13,'Regular Season'!F:U,4,FALSE)</f>
        <v>6</v>
      </c>
      <c r="R13" s="21">
        <f>VLOOKUP(M13,'Regular Season'!F:U,15,FALSE)</f>
        <v>172.5</v>
      </c>
      <c r="T13" s="26">
        <v>9</v>
      </c>
      <c r="U13" s="20" t="str">
        <f>VLOOKUP(T13,Tables!A:K,3,FALSE)</f>
        <v>Trent/Colin</v>
      </c>
      <c r="V13" s="25">
        <f>VLOOKUP(T13,Tables!A:K,2,FALSE)</f>
        <v>2023</v>
      </c>
      <c r="W13" s="25">
        <f>VLOOKUP(T13,Tables!A:K,5,FALSE)</f>
        <v>1</v>
      </c>
      <c r="X13" s="25">
        <f>VLOOKUP(T13,Tables!A:K,6,FALSE)</f>
        <v>9</v>
      </c>
      <c r="Y13" s="25">
        <f>VLOOKUP(T13,Tables!A:K,7,FALSE)</f>
        <v>5</v>
      </c>
      <c r="Z13" s="31">
        <f>VLOOKUP(T13,Tables!A:K,11,FALSE)</f>
        <v>121.60285714285715</v>
      </c>
      <c r="AB13" s="53">
        <v>9</v>
      </c>
      <c r="AC13" s="7" t="s">
        <v>32</v>
      </c>
      <c r="AD13" s="7" t="s">
        <v>36</v>
      </c>
      <c r="AE13" s="36">
        <f>AVERAGEIFS('Regular Season'!T:T,'Regular Season'!R:R,'Summary Page'!AC13,'Regular Season'!S:S,'Summary Page'!AD13)</f>
        <v>123.56888888888891</v>
      </c>
      <c r="AF13" s="47">
        <f>AE13-VLOOKUP(AC13,'Summary Page (2)'!$B$5:$K$14,9,FALSE)</f>
        <v>5.6319121447028806</v>
      </c>
      <c r="AG13" s="52">
        <f>COUNTIFS('Regular Season'!R:R,'Summary Page'!AC13,'Regular Season'!S:S,'Summary Page'!AD13)</f>
        <v>9</v>
      </c>
      <c r="AH13" s="36">
        <f>AVERAGEIFS('Regular Season'!U:U,'Regular Season'!S:S,'Summary Page'!AC13,'Regular Season'!R:R,'Summary Page'!AD13)</f>
        <v>69.087999999999994</v>
      </c>
      <c r="AI13" s="47">
        <f>AH13-VLOOKUP(AC13,'Summary Page (2)'!$B$5:$K$14,10,FALSE)</f>
        <v>-25.005181818181839</v>
      </c>
      <c r="AJ13" s="7">
        <f>COUNTIFS('Regular Season'!R:R,'Summary Page'!AD13,'Regular Season'!S:S,'Summary Page'!AC13)</f>
        <v>5</v>
      </c>
      <c r="AK13" s="36">
        <f t="shared" si="1"/>
        <v>104.11142857142856</v>
      </c>
      <c r="AL13" s="47">
        <f t="shared" si="2"/>
        <v>-1.7666174055829202</v>
      </c>
      <c r="AM13" s="36">
        <f>AVERAGEIFS('Regular Season'!T:T,'Regular Season'!R:R,'Summary Page'!AD13,'Regular Season'!S:S,'Summary Page'!AC13)</f>
        <v>106.88399999999999</v>
      </c>
      <c r="AN13" s="47">
        <f>AM13-VLOOKUP(AD13,'Summary Page (2)'!$B$5:$K$14,9,FALSE)</f>
        <v>-9.1938260869564914</v>
      </c>
      <c r="AO13" s="52">
        <f>COUNTIFS('Regular Season'!R:R,'Summary Page'!AD13,'Regular Season'!S:S,'Summary Page'!AC13)</f>
        <v>5</v>
      </c>
      <c r="AP13" s="36">
        <f>AVERAGEIFS('Regular Season'!U:U,'Regular Season'!S:S,'Summary Page'!AD13,'Regular Season'!R:R,'Summary Page'!AC13)</f>
        <v>83.426666666666677</v>
      </c>
      <c r="AQ13" s="47">
        <f>AP13-VLOOKUP(AD13,'Summary Page (2)'!$B$5:$K$14,10,FALSE)</f>
        <v>-11.343577235772329</v>
      </c>
      <c r="AR13" s="7">
        <f>COUNTIFS('Regular Season'!R:R,'Summary Page'!AC13,'Regular Season'!S:S,'Summary Page'!AD13)</f>
        <v>9</v>
      </c>
      <c r="AS13" s="36">
        <f t="shared" si="3"/>
        <v>91.804285714285726</v>
      </c>
      <c r="AT13" s="47">
        <f t="shared" si="4"/>
        <v>-14.232036124794718</v>
      </c>
      <c r="AU13" s="55">
        <f t="shared" si="5"/>
        <v>12.465418719211797</v>
      </c>
      <c r="AW13" s="53">
        <v>16</v>
      </c>
      <c r="AX13" s="7" t="s">
        <v>35</v>
      </c>
      <c r="AY13" s="59" t="s">
        <v>31</v>
      </c>
      <c r="AZ13" s="36">
        <v>123.16333333333331</v>
      </c>
      <c r="BA13" s="47">
        <v>4.184852320675077</v>
      </c>
      <c r="BB13" s="52">
        <v>6</v>
      </c>
      <c r="BC13" s="36">
        <v>95.24</v>
      </c>
      <c r="BD13" s="47">
        <v>2.4180281690140646</v>
      </c>
      <c r="BE13" s="7">
        <v>5</v>
      </c>
      <c r="BF13" s="36">
        <v>110.47090909090907</v>
      </c>
      <c r="BG13" s="57">
        <v>3.8731757575757229</v>
      </c>
      <c r="BH13" s="36">
        <v>113.428</v>
      </c>
      <c r="BI13" s="47">
        <v>-7.1452432432432431</v>
      </c>
      <c r="BJ13" s="52">
        <v>5</v>
      </c>
      <c r="BK13" s="36">
        <v>92.123333333333335</v>
      </c>
      <c r="BL13" s="47">
        <v>-1.2745614035087982</v>
      </c>
      <c r="BM13" s="7">
        <v>6</v>
      </c>
      <c r="BN13" s="36">
        <v>101.80727272727273</v>
      </c>
      <c r="BO13" s="57">
        <v>-4.9971272727272975</v>
      </c>
      <c r="BP13" s="49">
        <v>8.8703030303030204</v>
      </c>
    </row>
    <row r="14" spans="2:68" ht="15" thickBot="1" x14ac:dyDescent="0.35">
      <c r="B14" s="7" t="s">
        <v>36</v>
      </c>
      <c r="C14" s="7">
        <f>COUNTIF('Regular Season'!R:R,'Summary Page'!B14)</f>
        <v>92</v>
      </c>
      <c r="D14" s="7">
        <f>COUNTIF('Regular Season'!S:S,'Summary Page'!B14)</f>
        <v>82</v>
      </c>
      <c r="E14" s="8">
        <f t="shared" si="6"/>
        <v>0.52873563218390807</v>
      </c>
      <c r="F14" s="10">
        <f>SUMIF('Regular Season'!R:R,'Summary Page'!B14,'Regular Season'!T:T)+SUMIF('Regular Season'!S:S,'Summary Page'!B14,'Regular Season'!U:U)</f>
        <v>18450.319999999996</v>
      </c>
      <c r="G14" s="10">
        <f>SUMIF('Regular Season'!R:R,'Summary Page'!B14,'Regular Season'!U:U)+SUMIF('Regular Season'!S:S,'Summary Page'!B14,'Regular Season'!T:T)</f>
        <v>18344.800000000003</v>
      </c>
      <c r="H14" s="9">
        <f t="shared" si="0"/>
        <v>106.03632183908044</v>
      </c>
      <c r="I14" s="9">
        <f>AVERAGEIF(Tables!C:C,'Summary Page'!B14,Tables!D:D)</f>
        <v>5.2307692307692308</v>
      </c>
      <c r="J14" s="9">
        <f>AVERAGEIF('Regular Season'!R:R,'Summary Page'!B14,'Regular Season'!T:T)</f>
        <v>116.07782608695648</v>
      </c>
      <c r="K14" s="9">
        <f>AVERAGEIF('Regular Season'!S:S,'Summary Page'!B14,'Regular Season'!U:U)</f>
        <v>94.770243902439006</v>
      </c>
      <c r="M14" s="27">
        <v>10</v>
      </c>
      <c r="N14" s="14" t="str">
        <f>VLOOKUP(M14,'Regular Season'!F:U,13,FALSE)</f>
        <v>Pat/Tucker</v>
      </c>
      <c r="O14" s="14" t="str">
        <f>VLOOKUP(M14,'Regular Season'!F:U,14,FALSE)</f>
        <v>Drew/Cam</v>
      </c>
      <c r="P14" s="14">
        <f>VLOOKUP(M14,'Regular Season'!F:U,3,FALSE)</f>
        <v>2020</v>
      </c>
      <c r="Q14" s="14">
        <f>VLOOKUP(M14,'Regular Season'!F:U,4,FALSE)</f>
        <v>4</v>
      </c>
      <c r="R14" s="22">
        <f>VLOOKUP(M14,'Regular Season'!F:U,15,FALSE)</f>
        <v>171.38</v>
      </c>
      <c r="T14" s="27">
        <v>10</v>
      </c>
      <c r="U14" s="14" t="str">
        <f>VLOOKUP(T14,Tables!A:K,3,FALSE)</f>
        <v>Walker/Cory</v>
      </c>
      <c r="V14" s="27">
        <f>VLOOKUP(T14,Tables!A:K,2,FALSE)</f>
        <v>2022</v>
      </c>
      <c r="W14" s="27">
        <f>VLOOKUP(T14,Tables!A:K,5,FALSE)</f>
        <v>1</v>
      </c>
      <c r="X14" s="27">
        <f>VLOOKUP(T14,Tables!A:K,6,FALSE)</f>
        <v>10</v>
      </c>
      <c r="Y14" s="27">
        <f>VLOOKUP(T14,Tables!A:K,7,FALSE)</f>
        <v>4</v>
      </c>
      <c r="Z14" s="32">
        <f>VLOOKUP(T14,Tables!A:K,11,FALSE)</f>
        <v>120.78</v>
      </c>
      <c r="AB14" s="53">
        <v>10</v>
      </c>
      <c r="AC14" s="7" t="s">
        <v>35</v>
      </c>
      <c r="AD14" s="7" t="s">
        <v>32</v>
      </c>
      <c r="AE14" s="36">
        <f>AVERAGEIFS('Regular Season'!T:T,'Regular Season'!R:R,'Summary Page'!AC14,'Regular Season'!S:S,'Summary Page'!AD14)</f>
        <v>122.76222222222221</v>
      </c>
      <c r="AF14" s="47">
        <f>AE14-VLOOKUP(AC14,'Summary Page (2)'!$B$5:$K$14,9,FALSE)</f>
        <v>3.2886738351254223</v>
      </c>
      <c r="AG14" s="52">
        <f>COUNTIFS('Regular Season'!R:R,'Summary Page'!AC14,'Regular Season'!S:S,'Summary Page'!AD14)</f>
        <v>9</v>
      </c>
      <c r="AH14" s="36">
        <f>AVERAGEIFS('Regular Season'!U:U,'Regular Season'!S:S,'Summary Page'!AC14,'Regular Season'!R:R,'Summary Page'!AD14)</f>
        <v>82.661818181818191</v>
      </c>
      <c r="AI14" s="47">
        <f>AH14-VLOOKUP(AC14,'Summary Page (2)'!$B$5:$K$14,10,FALSE)</f>
        <v>-10.411515151515161</v>
      </c>
      <c r="AJ14" s="7">
        <f>COUNTIFS('Regular Season'!R:R,'Summary Page'!AD14,'Regular Season'!S:S,'Summary Page'!AC14)</f>
        <v>11</v>
      </c>
      <c r="AK14" s="36">
        <f t="shared" si="1"/>
        <v>100.70699999999999</v>
      </c>
      <c r="AL14" s="47">
        <f t="shared" si="2"/>
        <v>-6.4767931034483013</v>
      </c>
      <c r="AM14" s="36">
        <f>AVERAGEIFS('Regular Season'!T:T,'Regular Season'!R:R,'Summary Page'!AD14,'Regular Season'!S:S,'Summary Page'!AC14)</f>
        <v>104.04545454545455</v>
      </c>
      <c r="AN14" s="47">
        <f>AM14-VLOOKUP(AD14,'Summary Page (2)'!$B$5:$K$14,9,FALSE)</f>
        <v>-13.891522198731479</v>
      </c>
      <c r="AO14" s="52">
        <f>COUNTIFS('Regular Season'!R:R,'Summary Page'!AD14,'Regular Season'!S:S,'Summary Page'!AC14)</f>
        <v>11</v>
      </c>
      <c r="AP14" s="36">
        <f>AVERAGEIFS('Regular Season'!U:U,'Regular Season'!S:S,'Summary Page'!AD14,'Regular Season'!R:R,'Summary Page'!AC14)</f>
        <v>91.068888888888907</v>
      </c>
      <c r="AQ14" s="47">
        <f>AP14-VLOOKUP(AD14,'Summary Page (2)'!$B$5:$K$14,10,FALSE)</f>
        <v>-3.0242929292929261</v>
      </c>
      <c r="AR14" s="7">
        <f>COUNTIFS('Regular Season'!R:R,'Summary Page'!AC14,'Regular Season'!S:S,'Summary Page'!AD14)</f>
        <v>9</v>
      </c>
      <c r="AS14" s="36">
        <f t="shared" si="3"/>
        <v>98.206000000000003</v>
      </c>
      <c r="AT14" s="47">
        <f t="shared" si="4"/>
        <v>-7.6720459770114786</v>
      </c>
      <c r="AU14" s="55">
        <f t="shared" si="5"/>
        <v>1.1952528735631773</v>
      </c>
      <c r="AW14" s="53">
        <v>5</v>
      </c>
      <c r="AX14" s="7" t="s">
        <v>32</v>
      </c>
      <c r="AY14" s="59" t="s">
        <v>34</v>
      </c>
      <c r="AZ14" s="36">
        <v>125.95714285714284</v>
      </c>
      <c r="BA14" s="47">
        <v>8.855714285714285</v>
      </c>
      <c r="BB14" s="52">
        <v>7</v>
      </c>
      <c r="BC14" s="36">
        <v>94.84666666666665</v>
      </c>
      <c r="BD14" s="47">
        <v>1.2816666666666379</v>
      </c>
      <c r="BE14" s="7">
        <v>6</v>
      </c>
      <c r="BF14" s="36">
        <v>111.59846153846152</v>
      </c>
      <c r="BG14" s="57">
        <v>7.0497948717948589</v>
      </c>
      <c r="BH14" s="36">
        <v>114.76333333333332</v>
      </c>
      <c r="BI14" s="47">
        <v>-7.6310970464135153</v>
      </c>
      <c r="BJ14" s="52">
        <v>6</v>
      </c>
      <c r="BK14" s="36">
        <v>104.25714285714287</v>
      </c>
      <c r="BL14" s="47">
        <v>7.2137625754527335</v>
      </c>
      <c r="BM14" s="7">
        <v>7</v>
      </c>
      <c r="BN14" s="36">
        <v>109.10615384615386</v>
      </c>
      <c r="BO14" s="57">
        <v>-1.288779487179454</v>
      </c>
      <c r="BP14" s="49">
        <v>8.3385743589743129</v>
      </c>
    </row>
    <row r="15" spans="2:68" ht="15" thickTop="1" x14ac:dyDescent="0.3">
      <c r="E15" s="42"/>
      <c r="F15" s="43"/>
      <c r="G15" s="43"/>
      <c r="H15" s="44"/>
      <c r="I15" s="44"/>
      <c r="M15" s="45"/>
      <c r="R15" s="44"/>
      <c r="T15" s="45"/>
      <c r="V15" s="45"/>
      <c r="W15" s="45"/>
      <c r="X15" s="45"/>
      <c r="Y15" s="45"/>
      <c r="Z15" s="46"/>
      <c r="AB15" s="53">
        <v>11</v>
      </c>
      <c r="AC15" s="7" t="s">
        <v>35</v>
      </c>
      <c r="AD15" s="7" t="s">
        <v>30</v>
      </c>
      <c r="AE15" s="36">
        <f>AVERAGEIFS('Regular Season'!T:T,'Regular Season'!R:R,'Summary Page'!AC15,'Regular Season'!S:S,'Summary Page'!AD15)</f>
        <v>122.782</v>
      </c>
      <c r="AF15" s="47">
        <f>AE15-VLOOKUP(AC15,'Summary Page (2)'!$B$5:$K$14,9,FALSE)</f>
        <v>3.3084516129032124</v>
      </c>
      <c r="AG15" s="52">
        <f>COUNTIFS('Regular Season'!R:R,'Summary Page'!AC15,'Regular Season'!S:S,'Summary Page'!AD15)</f>
        <v>10</v>
      </c>
      <c r="AH15" s="36">
        <f>AVERAGEIFS('Regular Season'!U:U,'Regular Season'!S:S,'Summary Page'!AC15,'Regular Season'!R:R,'Summary Page'!AD15)</f>
        <v>94.695999999999998</v>
      </c>
      <c r="AI15" s="47">
        <f>AH15-VLOOKUP(AC15,'Summary Page (2)'!$B$5:$K$14,10,FALSE)</f>
        <v>1.6226666666666461</v>
      </c>
      <c r="AJ15" s="7">
        <f>COUNTIFS('Regular Season'!R:R,'Summary Page'!AD15,'Regular Season'!S:S,'Summary Page'!AC15)</f>
        <v>10</v>
      </c>
      <c r="AK15" s="36">
        <f t="shared" si="1"/>
        <v>108.73899999999999</v>
      </c>
      <c r="AL15" s="47">
        <f t="shared" si="2"/>
        <v>1.5552068965516952</v>
      </c>
      <c r="AM15" s="36">
        <f>AVERAGEIFS('Regular Season'!T:T,'Regular Season'!R:R,'Summary Page'!AD15,'Regular Season'!S:S,'Summary Page'!AC15)</f>
        <v>118.03</v>
      </c>
      <c r="AN15" s="47">
        <f>AM15-VLOOKUP(AD15,'Summary Page (2)'!$B$5:$K$14,9,FALSE)</f>
        <v>-3.6697530864197745</v>
      </c>
      <c r="AO15" s="52">
        <f>COUNTIFS('Regular Season'!R:R,'Summary Page'!AD15,'Regular Season'!S:S,'Summary Page'!AC15)</f>
        <v>10</v>
      </c>
      <c r="AP15" s="36">
        <f>AVERAGEIFS('Regular Season'!U:U,'Regular Season'!S:S,'Summary Page'!AD15,'Regular Season'!R:R,'Summary Page'!AC15)</f>
        <v>93.941999999999979</v>
      </c>
      <c r="AQ15" s="47">
        <f>AP15-VLOOKUP(AD15,'Summary Page (2)'!$B$5:$K$14,10,FALSE)</f>
        <v>-0.9340869565217389</v>
      </c>
      <c r="AR15" s="7">
        <f>COUNTIFS('Regular Season'!R:R,'Summary Page'!AC15,'Regular Season'!S:S,'Summary Page'!AD15)</f>
        <v>10</v>
      </c>
      <c r="AS15" s="36">
        <f t="shared" si="3"/>
        <v>105.98599999999999</v>
      </c>
      <c r="AT15" s="47">
        <f t="shared" si="4"/>
        <v>-1.4491445086705284</v>
      </c>
      <c r="AU15" s="55">
        <f t="shared" si="5"/>
        <v>3.0043514052222235</v>
      </c>
      <c r="AW15" s="53">
        <v>23</v>
      </c>
      <c r="AX15" s="7" t="s">
        <v>30</v>
      </c>
      <c r="AY15" s="59" t="s">
        <v>34</v>
      </c>
      <c r="AZ15" s="36">
        <v>127.95</v>
      </c>
      <c r="BA15" s="47">
        <v>5.4673684210526119</v>
      </c>
      <c r="BB15" s="52">
        <v>10</v>
      </c>
      <c r="BC15" s="36">
        <v>102.48222222222222</v>
      </c>
      <c r="BD15" s="47">
        <v>6.1643843843843769</v>
      </c>
      <c r="BE15" s="7">
        <v>9</v>
      </c>
      <c r="BF15" s="36">
        <v>115.8863157894737</v>
      </c>
      <c r="BG15" s="57">
        <v>6.3116491228069975</v>
      </c>
      <c r="BH15" s="36">
        <v>126.10000000000001</v>
      </c>
      <c r="BI15" s="47">
        <v>3.705569620253172</v>
      </c>
      <c r="BJ15" s="52">
        <v>9</v>
      </c>
      <c r="BK15" s="36">
        <v>92.955999999999989</v>
      </c>
      <c r="BL15" s="47">
        <v>-4.0873802816901446</v>
      </c>
      <c r="BM15" s="7">
        <v>10</v>
      </c>
      <c r="BN15" s="36">
        <v>108.65578947368421</v>
      </c>
      <c r="BO15" s="57">
        <v>-1.7391438596491042</v>
      </c>
      <c r="BP15" s="49">
        <v>8.0507929824561018</v>
      </c>
    </row>
    <row r="16" spans="2:68" x14ac:dyDescent="0.3">
      <c r="B16" s="18" t="s">
        <v>54</v>
      </c>
      <c r="M16" s="18" t="s">
        <v>65</v>
      </c>
      <c r="T16" s="18" t="s">
        <v>81</v>
      </c>
      <c r="Z16" s="46"/>
      <c r="AB16" s="53">
        <v>12</v>
      </c>
      <c r="AC16" s="7" t="s">
        <v>35</v>
      </c>
      <c r="AD16" s="7" t="s">
        <v>38</v>
      </c>
      <c r="AE16" s="36">
        <f>AVERAGEIFS('Regular Season'!T:T,'Regular Season'!R:R,'Summary Page'!AC16,'Regular Season'!S:S,'Summary Page'!AD16)</f>
        <v>116.82400000000001</v>
      </c>
      <c r="AF16" s="47">
        <f>AE16-VLOOKUP(AC16,'Summary Page (2)'!$B$5:$K$14,9,FALSE)</f>
        <v>-2.6495483870967718</v>
      </c>
      <c r="AG16" s="52">
        <f>COUNTIFS('Regular Season'!R:R,'Summary Page'!AC16,'Regular Season'!S:S,'Summary Page'!AD16)</f>
        <v>15</v>
      </c>
      <c r="AH16" s="36">
        <f>AVERAGEIFS('Regular Season'!U:U,'Regular Season'!S:S,'Summary Page'!AC16,'Regular Season'!R:R,'Summary Page'!AD16)</f>
        <v>96.59</v>
      </c>
      <c r="AI16" s="47">
        <f>AH16-VLOOKUP(AC16,'Summary Page (2)'!$B$5:$K$14,10,FALSE)</f>
        <v>3.5166666666666515</v>
      </c>
      <c r="AJ16" s="7">
        <f>COUNTIFS('Regular Season'!R:R,'Summary Page'!AD16,'Regular Season'!S:S,'Summary Page'!AC16)</f>
        <v>8</v>
      </c>
      <c r="AK16" s="36">
        <f t="shared" si="1"/>
        <v>109.78608695652174</v>
      </c>
      <c r="AL16" s="47">
        <f t="shared" si="2"/>
        <v>2.6022938530734478</v>
      </c>
      <c r="AM16" s="36">
        <f>AVERAGEIFS('Regular Season'!T:T,'Regular Season'!R:R,'Summary Page'!AD16,'Regular Season'!S:S,'Summary Page'!AC16)</f>
        <v>129.02500000000001</v>
      </c>
      <c r="AN16" s="47">
        <f>AM16-VLOOKUP(AD16,'Summary Page (2)'!$B$5:$K$14,9,FALSE)</f>
        <v>9.8368840579710053</v>
      </c>
      <c r="AO16" s="52">
        <f>COUNTIFS('Regular Season'!R:R,'Summary Page'!AD16,'Regular Season'!S:S,'Summary Page'!AC16)</f>
        <v>8</v>
      </c>
      <c r="AP16" s="36">
        <f>AVERAGEIFS('Regular Season'!U:U,'Regular Season'!S:S,'Summary Page'!AD16,'Regular Season'!R:R,'Summary Page'!AC16)</f>
        <v>93.478666666666669</v>
      </c>
      <c r="AQ16" s="47">
        <f>AP16-VLOOKUP(AD16,'Summary Page (2)'!$B$5:$K$14,10,FALSE)</f>
        <v>2.932251572326976</v>
      </c>
      <c r="AR16" s="7">
        <f>COUNTIFS('Regular Season'!R:R,'Summary Page'!AC16,'Regular Season'!S:S,'Summary Page'!AD16)</f>
        <v>15</v>
      </c>
      <c r="AS16" s="36">
        <f t="shared" si="3"/>
        <v>105.84260869565217</v>
      </c>
      <c r="AT16" s="47">
        <f t="shared" si="4"/>
        <v>4.0031801242235474</v>
      </c>
      <c r="AU16" s="55">
        <f t="shared" si="5"/>
        <v>-1.4008862711500996</v>
      </c>
      <c r="AW16" s="53">
        <v>61</v>
      </c>
      <c r="AX16" s="7" t="s">
        <v>29</v>
      </c>
      <c r="AY16" s="59" t="s">
        <v>31</v>
      </c>
      <c r="AZ16" s="36">
        <v>131.852</v>
      </c>
      <c r="BA16" s="47">
        <v>9.4250555555555593</v>
      </c>
      <c r="BB16" s="52">
        <v>10</v>
      </c>
      <c r="BC16" s="36">
        <v>102.70222222222225</v>
      </c>
      <c r="BD16" s="47">
        <v>4.3052991452991449</v>
      </c>
      <c r="BE16" s="7">
        <v>9</v>
      </c>
      <c r="BF16" s="36">
        <v>118.04421052631579</v>
      </c>
      <c r="BG16" s="57">
        <v>8.1128771929824524</v>
      </c>
      <c r="BH16" s="36">
        <v>120.14666666666669</v>
      </c>
      <c r="BI16" s="47">
        <v>-0.42657657657655079</v>
      </c>
      <c r="BJ16" s="52">
        <v>9</v>
      </c>
      <c r="BK16" s="36">
        <v>95.563999999999993</v>
      </c>
      <c r="BL16" s="47">
        <v>2.1661052631578599</v>
      </c>
      <c r="BM16" s="7">
        <v>10</v>
      </c>
      <c r="BN16" s="36">
        <v>107.20842105263158</v>
      </c>
      <c r="BO16" s="57">
        <v>0.40402105263154908</v>
      </c>
      <c r="BP16" s="49">
        <v>7.7088561403509033</v>
      </c>
    </row>
    <row r="17" spans="2:68" x14ac:dyDescent="0.3">
      <c r="B17" s="4" t="s">
        <v>45</v>
      </c>
      <c r="C17" s="5" t="s">
        <v>3</v>
      </c>
      <c r="D17" s="5" t="s">
        <v>4</v>
      </c>
      <c r="E17" s="6" t="s">
        <v>42</v>
      </c>
      <c r="F17" s="5" t="s">
        <v>43</v>
      </c>
      <c r="G17" s="5" t="s">
        <v>55</v>
      </c>
      <c r="H17" s="6" t="s">
        <v>56</v>
      </c>
      <c r="I17" s="6" t="s">
        <v>59</v>
      </c>
      <c r="M17" s="23" t="s">
        <v>61</v>
      </c>
      <c r="N17" s="11" t="s">
        <v>41</v>
      </c>
      <c r="O17" s="19" t="s">
        <v>52</v>
      </c>
      <c r="P17" s="13" t="s">
        <v>62</v>
      </c>
      <c r="Q17" s="13" t="s">
        <v>63</v>
      </c>
      <c r="R17" s="13" t="s">
        <v>80</v>
      </c>
      <c r="T17" s="23" t="s">
        <v>61</v>
      </c>
      <c r="U17" s="11" t="s">
        <v>19</v>
      </c>
      <c r="V17" s="19" t="s">
        <v>18</v>
      </c>
      <c r="W17" s="13" t="s">
        <v>62</v>
      </c>
      <c r="X17" s="13" t="s">
        <v>63</v>
      </c>
      <c r="Y17" s="13" t="s">
        <v>82</v>
      </c>
      <c r="Z17" s="46"/>
      <c r="AB17" s="53">
        <v>13</v>
      </c>
      <c r="AC17" s="7" t="s">
        <v>35</v>
      </c>
      <c r="AD17" s="7" t="s">
        <v>37</v>
      </c>
      <c r="AE17" s="36">
        <f>AVERAGEIFS('Regular Season'!T:T,'Regular Season'!R:R,'Summary Page'!AC17,'Regular Season'!S:S,'Summary Page'!AD17)</f>
        <v>120.00666666666667</v>
      </c>
      <c r="AF17" s="47">
        <f>AE17-VLOOKUP(AC17,'Summary Page (2)'!$B$5:$K$14,9,FALSE)</f>
        <v>0.53311827956989077</v>
      </c>
      <c r="AG17" s="52">
        <f>COUNTIFS('Regular Season'!R:R,'Summary Page'!AC17,'Regular Season'!S:S,'Summary Page'!AD17)</f>
        <v>12</v>
      </c>
      <c r="AH17" s="36">
        <f>AVERAGEIFS('Regular Season'!U:U,'Regular Season'!S:S,'Summary Page'!AC17,'Regular Season'!R:R,'Summary Page'!AD17)</f>
        <v>98.265714285714282</v>
      </c>
      <c r="AI17" s="47">
        <f>AH17-VLOOKUP(AC17,'Summary Page (2)'!$B$5:$K$14,10,FALSE)</f>
        <v>5.1923809523809297</v>
      </c>
      <c r="AJ17" s="7">
        <f>COUNTIFS('Regular Season'!R:R,'Summary Page'!AD17,'Regular Season'!S:S,'Summary Page'!AC17)</f>
        <v>7</v>
      </c>
      <c r="AK17" s="36">
        <f t="shared" si="1"/>
        <v>111.99684210526316</v>
      </c>
      <c r="AL17" s="47">
        <f t="shared" si="2"/>
        <v>4.8130490018148606</v>
      </c>
      <c r="AM17" s="36">
        <f>AVERAGEIFS('Regular Season'!T:T,'Regular Season'!R:R,'Summary Page'!AD17,'Regular Season'!S:S,'Summary Page'!AC17)</f>
        <v>120.77714285714288</v>
      </c>
      <c r="AN17" s="47">
        <f>AM17-VLOOKUP(AD17,'Summary Page (2)'!$B$5:$K$14,9,FALSE)</f>
        <v>4.9368989547038638</v>
      </c>
      <c r="AO17" s="52">
        <f>COUNTIFS('Regular Season'!R:R,'Summary Page'!AD17,'Regular Season'!S:S,'Summary Page'!AC17)</f>
        <v>7</v>
      </c>
      <c r="AP17" s="36">
        <f>AVERAGEIFS('Regular Season'!U:U,'Regular Season'!S:S,'Summary Page'!AD17,'Regular Season'!R:R,'Summary Page'!AC17)</f>
        <v>95.321666666666673</v>
      </c>
      <c r="AQ17" s="47">
        <f>AP17-VLOOKUP(AD17,'Summary Page (2)'!$B$5:$K$14,10,FALSE)</f>
        <v>2.4709057971014374</v>
      </c>
      <c r="AR17" s="7">
        <f>COUNTIFS('Regular Season'!R:R,'Summary Page'!AC17,'Regular Season'!S:S,'Summary Page'!AD17)</f>
        <v>12</v>
      </c>
      <c r="AS17" s="36">
        <f t="shared" si="3"/>
        <v>104.7</v>
      </c>
      <c r="AT17" s="47">
        <f t="shared" si="4"/>
        <v>1.0151149425287258</v>
      </c>
      <c r="AU17" s="55">
        <f t="shared" si="5"/>
        <v>3.7979340592861348</v>
      </c>
      <c r="AW17" s="53">
        <v>52</v>
      </c>
      <c r="AX17" s="7" t="s">
        <v>34</v>
      </c>
      <c r="AY17" s="59" t="s">
        <v>31</v>
      </c>
      <c r="AZ17" s="36">
        <v>134.75333333333333</v>
      </c>
      <c r="BA17" s="47">
        <v>12.358902953586494</v>
      </c>
      <c r="BB17" s="52">
        <v>9</v>
      </c>
      <c r="BC17" s="36">
        <v>107.45250000000001</v>
      </c>
      <c r="BD17" s="47">
        <v>10.409119718309881</v>
      </c>
      <c r="BE17" s="7">
        <v>8</v>
      </c>
      <c r="BF17" s="36">
        <v>121.90588235294118</v>
      </c>
      <c r="BG17" s="57">
        <v>11.510949019607864</v>
      </c>
      <c r="BH17" s="36">
        <v>123.05</v>
      </c>
      <c r="BI17" s="47">
        <v>2.4767567567567568</v>
      </c>
      <c r="BJ17" s="52">
        <v>8</v>
      </c>
      <c r="BK17" s="36">
        <v>101.32222222222224</v>
      </c>
      <c r="BL17" s="47">
        <v>7.924327485380104</v>
      </c>
      <c r="BM17" s="7">
        <v>9</v>
      </c>
      <c r="BN17" s="36">
        <v>111.54705882352943</v>
      </c>
      <c r="BO17" s="57">
        <v>4.7426588235293963</v>
      </c>
      <c r="BP17" s="49">
        <v>6.7682901960784676</v>
      </c>
    </row>
    <row r="18" spans="2:68" x14ac:dyDescent="0.3">
      <c r="B18" s="7" t="s">
        <v>32</v>
      </c>
      <c r="C18" s="7">
        <f>COUNTIF(Playoffs!O:O,'Summary Page'!B18)</f>
        <v>2</v>
      </c>
      <c r="D18" s="7">
        <f>COUNTIF(Playoffs!P:P,'Summary Page'!B18)</f>
        <v>11</v>
      </c>
      <c r="E18" s="8">
        <f t="shared" ref="E18:E27" si="7">IFERROR(C18/SUM(C18:D18),"")</f>
        <v>0.15384615384615385</v>
      </c>
      <c r="F18" s="10">
        <f>SUMIF(Playoffs!O:O,'Summary Page'!B18,Playoffs!Q:Q)+SUMIF(Playoffs!P:P,'Summary Page'!B18,Playoffs!R:R)</f>
        <v>1354.66</v>
      </c>
      <c r="G18" s="10">
        <f>COUNTIFS(Tables!C:C,'Summary Page'!B18,Tables!H:H,"Y")</f>
        <v>8</v>
      </c>
      <c r="H18" s="10">
        <f>COUNTIFS(Tables!E:E,"1",Tables!C:C,'Summary Page'!B18)</f>
        <v>0</v>
      </c>
      <c r="I18" s="10">
        <f>COUNTIFS(Tables!E:E,"1",Tables!C:C,'Summary Page'!B18)+COUNTIFS(Tables!E:E,"2",Tables!C:C,'Summary Page'!B18)+COUNTIFS(Tables!E:E,"3",Tables!C:C,'Summary Page'!B18)+COUNTIFS(Tables!E:E,"4",Tables!C:C,'Summary Page'!B18)</f>
        <v>3</v>
      </c>
      <c r="M18" s="25">
        <v>1</v>
      </c>
      <c r="N18" s="20" t="str">
        <f>VLOOKUP(M5,'Regular Season'!D:U,15,FALSE)</f>
        <v>Dave/Nolan</v>
      </c>
      <c r="O18" s="20" t="str">
        <f>VLOOKUP(M5,'Regular Season'!D:U,16,FALSE)</f>
        <v>Walker/Cory</v>
      </c>
      <c r="P18" s="20">
        <f>VLOOKUP(M5,'Regular Season'!D:U,5,FALSE)</f>
        <v>2023</v>
      </c>
      <c r="Q18" s="20">
        <f>VLOOKUP(M5,'Regular Season'!D:U,6,FALSE)</f>
        <v>13</v>
      </c>
      <c r="R18" s="21">
        <f>VLOOKUP(M5,'Regular Season'!D:U,14,FALSE)</f>
        <v>99.4</v>
      </c>
      <c r="T18" s="25">
        <v>1</v>
      </c>
      <c r="U18" s="20" t="str">
        <f>VLOOKUP(T18,'Regular Season'!E:U,14,FALSE)</f>
        <v>Graham/Michael</v>
      </c>
      <c r="V18" s="20" t="str">
        <f>VLOOKUP(T18,'Regular Season'!E:U,15,FALSE)</f>
        <v>Eric/Blake</v>
      </c>
      <c r="W18" s="20">
        <f>VLOOKUP(T18,'Regular Season'!E:U,4,FALSE)</f>
        <v>2023</v>
      </c>
      <c r="X18" s="20">
        <f>VLOOKUP(T18,'Regular Season'!E:U,5,FALSE)</f>
        <v>3</v>
      </c>
      <c r="Y18" s="21">
        <f>VLOOKUP(T18,'Regular Season'!E:U,12,FALSE)</f>
        <v>337.84000000000003</v>
      </c>
      <c r="Z18" s="46"/>
      <c r="AB18" s="53">
        <v>14</v>
      </c>
      <c r="AC18" s="7" t="s">
        <v>35</v>
      </c>
      <c r="AD18" s="7" t="s">
        <v>34</v>
      </c>
      <c r="AE18" s="36">
        <f>AVERAGEIFS('Regular Season'!T:T,'Regular Season'!R:R,'Summary Page'!AC18,'Regular Season'!S:S,'Summary Page'!AD18)</f>
        <v>109.71200000000002</v>
      </c>
      <c r="AF18" s="47">
        <f>AE18-VLOOKUP(AC18,'Summary Page (2)'!$B$5:$K$14,9,FALSE)</f>
        <v>-9.7615483870967665</v>
      </c>
      <c r="AG18" s="52">
        <f>COUNTIFS('Regular Season'!R:R,'Summary Page'!AC18,'Regular Season'!S:S,'Summary Page'!AD18)</f>
        <v>10</v>
      </c>
      <c r="AH18" s="36">
        <f>AVERAGEIFS('Regular Season'!U:U,'Regular Season'!S:S,'Summary Page'!AC18,'Regular Season'!R:R,'Summary Page'!AD18)</f>
        <v>88.766666666666666</v>
      </c>
      <c r="AI18" s="47">
        <f>AH18-VLOOKUP(AC18,'Summary Page (2)'!$B$5:$K$14,10,FALSE)</f>
        <v>-4.3066666666666862</v>
      </c>
      <c r="AJ18" s="7">
        <f>COUNTIFS('Regular Season'!R:R,'Summary Page'!AD18,'Regular Season'!S:S,'Summary Page'!AC18)</f>
        <v>9</v>
      </c>
      <c r="AK18" s="36">
        <f t="shared" si="1"/>
        <v>99.790526315789478</v>
      </c>
      <c r="AL18" s="47">
        <f t="shared" si="2"/>
        <v>-7.393266787658817</v>
      </c>
      <c r="AM18" s="36">
        <f>AVERAGEIFS('Regular Season'!T:T,'Regular Season'!R:R,'Summary Page'!AD18,'Regular Season'!S:S,'Summary Page'!AC18)</f>
        <v>114.54222222222224</v>
      </c>
      <c r="AN18" s="47">
        <f>AM18-VLOOKUP(AD18,'Summary Page (2)'!$B$5:$K$14,9,FALSE)</f>
        <v>-7.8004151404151258</v>
      </c>
      <c r="AO18" s="52">
        <f>COUNTIFS('Regular Season'!R:R,'Summary Page'!AD18,'Regular Season'!S:S,'Summary Page'!AC18)</f>
        <v>9</v>
      </c>
      <c r="AP18" s="36">
        <f>AVERAGEIFS('Regular Season'!U:U,'Regular Season'!S:S,'Summary Page'!AD18,'Regular Season'!R:R,'Summary Page'!AC18)</f>
        <v>86.933999999999997</v>
      </c>
      <c r="AQ18" s="47">
        <f>AP18-VLOOKUP(AD18,'Summary Page (2)'!$B$5:$K$14,10,FALSE)</f>
        <v>-9.465999999999994</v>
      </c>
      <c r="AR18" s="7">
        <f>COUNTIFS('Regular Season'!R:R,'Summary Page'!AC18,'Regular Season'!S:S,'Summary Page'!AD18)</f>
        <v>10</v>
      </c>
      <c r="AS18" s="36">
        <f t="shared" si="3"/>
        <v>100.01157894736842</v>
      </c>
      <c r="AT18" s="47">
        <f t="shared" si="4"/>
        <v>-9.9561222020568465</v>
      </c>
      <c r="AU18" s="55">
        <f t="shared" si="5"/>
        <v>2.5628554143980296</v>
      </c>
      <c r="AW18" s="53">
        <v>71</v>
      </c>
      <c r="AX18" s="7" t="s">
        <v>31</v>
      </c>
      <c r="AY18" s="59" t="s">
        <v>33</v>
      </c>
      <c r="AZ18" s="36">
        <v>123.306</v>
      </c>
      <c r="BA18" s="47">
        <v>2.732756756756757</v>
      </c>
      <c r="BB18" s="52">
        <v>10</v>
      </c>
      <c r="BC18" s="36">
        <v>92.610000000000014</v>
      </c>
      <c r="BD18" s="47">
        <v>-0.78789473684211941</v>
      </c>
      <c r="BE18" s="7">
        <v>8</v>
      </c>
      <c r="BF18" s="36">
        <v>109.66333333333334</v>
      </c>
      <c r="BG18" s="57">
        <v>2.8589333333333116</v>
      </c>
      <c r="BH18" s="36">
        <v>122.36250000000001</v>
      </c>
      <c r="BI18" s="47">
        <v>1.27620786516853</v>
      </c>
      <c r="BJ18" s="52">
        <v>8</v>
      </c>
      <c r="BK18" s="36">
        <v>94.22999999999999</v>
      </c>
      <c r="BL18" s="47">
        <v>-0.55590163934425618</v>
      </c>
      <c r="BM18" s="7">
        <v>10</v>
      </c>
      <c r="BN18" s="36">
        <v>106.73333333333333</v>
      </c>
      <c r="BO18" s="57">
        <v>-3.6574666666666786</v>
      </c>
      <c r="BP18" s="49">
        <v>6.5163999999999902</v>
      </c>
    </row>
    <row r="19" spans="2:68" x14ac:dyDescent="0.3">
      <c r="B19" s="7" t="s">
        <v>35</v>
      </c>
      <c r="C19" s="7">
        <f>COUNTIF(Playoffs!O:O,'Summary Page'!B19)</f>
        <v>13</v>
      </c>
      <c r="D19" s="7">
        <f>COUNTIF(Playoffs!P:P,'Summary Page'!B19)</f>
        <v>7</v>
      </c>
      <c r="E19" s="8">
        <f t="shared" si="7"/>
        <v>0.65</v>
      </c>
      <c r="F19" s="10">
        <f>SUMIF(Playoffs!O:O,'Summary Page'!B19,Playoffs!Q:Q)+SUMIF(Playoffs!P:P,'Summary Page'!B19,Playoffs!R:R)</f>
        <v>2398.0400000000004</v>
      </c>
      <c r="G19" s="10">
        <f>COUNTIFS(Tables!C:C,'Summary Page'!B19,Tables!H:H,"Y")</f>
        <v>10</v>
      </c>
      <c r="H19" s="10">
        <f>COUNTIFS(Tables!E:E,"1",Tables!C:C,'Summary Page'!B19)</f>
        <v>3</v>
      </c>
      <c r="I19" s="10">
        <f>COUNTIFS(Tables!E:E,"1",Tables!C:C,'Summary Page'!B19)+COUNTIFS(Tables!E:E,"2",Tables!C:C,'Summary Page'!B19)+COUNTIFS(Tables!E:E,"3",Tables!C:C,'Summary Page'!B19)+COUNTIFS(Tables!E:E,"4",Tables!C:C,'Summary Page'!B19)</f>
        <v>6</v>
      </c>
      <c r="M19" s="26">
        <v>2</v>
      </c>
      <c r="N19" s="20" t="str">
        <f>VLOOKUP(M6,'Regular Season'!D:U,15,FALSE)</f>
        <v>Pat/Tucker</v>
      </c>
      <c r="O19" s="20" t="str">
        <f>VLOOKUP(M6,'Regular Season'!D:U,16,FALSE)</f>
        <v>David/Marshall</v>
      </c>
      <c r="P19" s="20">
        <f>VLOOKUP(M6,'Regular Season'!D:U,5,FALSE)</f>
        <v>2022</v>
      </c>
      <c r="Q19" s="20">
        <f>VLOOKUP(M6,'Regular Season'!D:U,6,FALSE)</f>
        <v>8</v>
      </c>
      <c r="R19" s="21">
        <f>VLOOKUP(M6,'Regular Season'!D:U,14,FALSE)</f>
        <v>96.62</v>
      </c>
      <c r="T19" s="26">
        <v>2</v>
      </c>
      <c r="U19" s="20" t="str">
        <f>VLOOKUP(T19,'Regular Season'!E:U,14,FALSE)</f>
        <v>Clay/Ryan</v>
      </c>
      <c r="V19" s="20" t="str">
        <f>VLOOKUP(T19,'Regular Season'!E:U,15,FALSE)</f>
        <v>Dave/Nolan</v>
      </c>
      <c r="W19" s="20">
        <f>VLOOKUP(T19,'Regular Season'!E:U,4,FALSE)</f>
        <v>2019</v>
      </c>
      <c r="X19" s="20">
        <f>VLOOKUP(T19,'Regular Season'!E:U,5,FALSE)</f>
        <v>5</v>
      </c>
      <c r="Y19" s="21">
        <f>VLOOKUP(T19,'Regular Season'!E:U,12,FALSE)</f>
        <v>328.98</v>
      </c>
      <c r="Z19" s="46"/>
      <c r="AB19" s="53">
        <v>15</v>
      </c>
      <c r="AC19" s="7" t="s">
        <v>35</v>
      </c>
      <c r="AD19" s="7" t="s">
        <v>29</v>
      </c>
      <c r="AE19" s="36">
        <f>AVERAGEIFS('Regular Season'!T:T,'Regular Season'!R:R,'Summary Page'!AC19,'Regular Season'!S:S,'Summary Page'!AD19)</f>
        <v>128.18</v>
      </c>
      <c r="AF19" s="47">
        <f>AE19-VLOOKUP(AC19,'Summary Page (2)'!$B$5:$K$14,9,FALSE)</f>
        <v>8.7064516129032228</v>
      </c>
      <c r="AG19" s="52">
        <f>COUNTIFS('Regular Season'!R:R,'Summary Page'!AC19,'Regular Season'!S:S,'Summary Page'!AD19)</f>
        <v>6</v>
      </c>
      <c r="AH19" s="36">
        <f>AVERAGEIFS('Regular Season'!U:U,'Regular Season'!S:S,'Summary Page'!AC19,'Regular Season'!R:R,'Summary Page'!AD19)</f>
        <v>93.75</v>
      </c>
      <c r="AI19" s="47">
        <f>AH19-VLOOKUP(AC19,'Summary Page (2)'!$B$5:$K$14,10,FALSE)</f>
        <v>0.6766666666666481</v>
      </c>
      <c r="AJ19" s="7">
        <f>COUNTIFS('Regular Season'!R:R,'Summary Page'!AD19,'Regular Season'!S:S,'Summary Page'!AC19)</f>
        <v>10</v>
      </c>
      <c r="AK19" s="36">
        <f t="shared" si="1"/>
        <v>106.66125</v>
      </c>
      <c r="AL19" s="47">
        <f t="shared" si="2"/>
        <v>-0.52254310344829946</v>
      </c>
      <c r="AM19" s="36">
        <f>AVERAGEIFS('Regular Season'!T:T,'Regular Season'!R:R,'Summary Page'!AD19,'Regular Season'!S:S,'Summary Page'!AC19)</f>
        <v>124.2</v>
      </c>
      <c r="AN19" s="47">
        <f>AM19-VLOOKUP(AD19,'Summary Page (2)'!$B$5:$K$14,9,FALSE)</f>
        <v>-0.95866666666664457</v>
      </c>
      <c r="AO19" s="52">
        <f>COUNTIFS('Regular Season'!R:R,'Summary Page'!AD19,'Regular Season'!S:S,'Summary Page'!AC19)</f>
        <v>10</v>
      </c>
      <c r="AP19" s="36">
        <f>AVERAGEIFS('Regular Season'!U:U,'Regular Season'!S:S,'Summary Page'!AD19,'Regular Season'!R:R,'Summary Page'!AC19)</f>
        <v>98.089999999999989</v>
      </c>
      <c r="AQ19" s="47">
        <f>AP19-VLOOKUP(AD19,'Summary Page (2)'!$B$5:$K$14,10,FALSE)</f>
        <v>-0.85714285714288962</v>
      </c>
      <c r="AR19" s="7">
        <f>COUNTIFS('Regular Season'!R:R,'Summary Page'!AC19,'Regular Season'!S:S,'Summary Page'!AD19)</f>
        <v>6</v>
      </c>
      <c r="AS19" s="36">
        <f t="shared" si="3"/>
        <v>114.40875</v>
      </c>
      <c r="AT19" s="47">
        <f t="shared" si="4"/>
        <v>1.9039224137930972</v>
      </c>
      <c r="AU19" s="55">
        <f t="shared" si="5"/>
        <v>-2.4264655172413967</v>
      </c>
      <c r="AW19" s="53">
        <v>66</v>
      </c>
      <c r="AX19" s="7" t="s">
        <v>31</v>
      </c>
      <c r="AY19" s="59" t="s">
        <v>30</v>
      </c>
      <c r="AZ19" s="36">
        <v>134.33142857142857</v>
      </c>
      <c r="BA19" s="47">
        <v>13.758185328185334</v>
      </c>
      <c r="BB19" s="52">
        <v>7</v>
      </c>
      <c r="BC19" s="36">
        <v>86.457777777777778</v>
      </c>
      <c r="BD19" s="47">
        <v>-6.9401169590643548</v>
      </c>
      <c r="BE19" s="7">
        <v>9</v>
      </c>
      <c r="BF19" s="36">
        <v>107.4025</v>
      </c>
      <c r="BG19" s="57">
        <v>0.59809999999997387</v>
      </c>
      <c r="BH19" s="36">
        <v>108.73333333333333</v>
      </c>
      <c r="BI19" s="47">
        <v>-13.749298245614057</v>
      </c>
      <c r="BJ19" s="52">
        <v>9</v>
      </c>
      <c r="BK19" s="36">
        <v>98.057142857142864</v>
      </c>
      <c r="BL19" s="47">
        <v>1.7393050193050215</v>
      </c>
      <c r="BM19" s="7">
        <v>7</v>
      </c>
      <c r="BN19" s="36">
        <v>104.0625</v>
      </c>
      <c r="BO19" s="57">
        <v>-5.5121666666667011</v>
      </c>
      <c r="BP19" s="49">
        <v>6.110266666666675</v>
      </c>
    </row>
    <row r="20" spans="2:68" x14ac:dyDescent="0.3">
      <c r="B20" s="7" t="s">
        <v>30</v>
      </c>
      <c r="C20" s="7">
        <f>COUNTIF(Playoffs!O:O,'Summary Page'!B20)</f>
        <v>6</v>
      </c>
      <c r="D20" s="7">
        <f>COUNTIF(Playoffs!P:P,'Summary Page'!B20)</f>
        <v>8</v>
      </c>
      <c r="E20" s="8">
        <f t="shared" si="7"/>
        <v>0.42857142857142855</v>
      </c>
      <c r="F20" s="10">
        <f>SUMIF(Playoffs!O:O,'Summary Page'!B20,Playoffs!Q:Q)+SUMIF(Playoffs!P:P,'Summary Page'!B20,Playoffs!R:R)</f>
        <v>1523.82</v>
      </c>
      <c r="G20" s="10">
        <f>COUNTIFS(Tables!C:C,'Summary Page'!B20,Tables!H:H,"Y")</f>
        <v>7</v>
      </c>
      <c r="H20" s="10">
        <f>COUNTIFS(Tables!E:E,"1",Tables!C:C,'Summary Page'!B20)</f>
        <v>0</v>
      </c>
      <c r="I20" s="10">
        <f>COUNTIFS(Tables!E:E,"1",Tables!C:C,'Summary Page'!B20)+COUNTIFS(Tables!E:E,"2",Tables!C:C,'Summary Page'!B20)+COUNTIFS(Tables!E:E,"3",Tables!C:C,'Summary Page'!B20)+COUNTIFS(Tables!E:E,"4",Tables!C:C,'Summary Page'!B20)</f>
        <v>5</v>
      </c>
      <c r="M20" s="26">
        <v>3</v>
      </c>
      <c r="N20" s="20" t="str">
        <f>VLOOKUP(M7,'Regular Season'!D:U,15,FALSE)</f>
        <v>Pat/Tucker</v>
      </c>
      <c r="O20" s="20" t="str">
        <f>VLOOKUP(M7,'Regular Season'!D:U,16,FALSE)</f>
        <v>Dave/Nolan</v>
      </c>
      <c r="P20" s="20">
        <f>VLOOKUP(M7,'Regular Season'!D:U,5,FALSE)</f>
        <v>2022</v>
      </c>
      <c r="Q20" s="20">
        <f>VLOOKUP(M7,'Regular Season'!D:U,6,FALSE)</f>
        <v>2</v>
      </c>
      <c r="R20" s="21">
        <f>VLOOKUP(M7,'Regular Season'!D:U,14,FALSE)</f>
        <v>92.719999999999985</v>
      </c>
      <c r="T20" s="26">
        <v>3</v>
      </c>
      <c r="U20" s="20" t="str">
        <f>VLOOKUP(T20,'Regular Season'!E:U,14,FALSE)</f>
        <v>Eric/Blake</v>
      </c>
      <c r="V20" s="20" t="str">
        <f>VLOOKUP(T20,'Regular Season'!E:U,15,FALSE)</f>
        <v>Dave/Nolan</v>
      </c>
      <c r="W20" s="20">
        <f>VLOOKUP(T20,'Regular Season'!E:U,4,FALSE)</f>
        <v>2021</v>
      </c>
      <c r="X20" s="20">
        <f>VLOOKUP(T20,'Regular Season'!E:U,5,FALSE)</f>
        <v>5</v>
      </c>
      <c r="Y20" s="21">
        <f>VLOOKUP(T20,'Regular Season'!E:U,12,FALSE)</f>
        <v>315.46000000000004</v>
      </c>
      <c r="Z20" s="46"/>
      <c r="AB20" s="53">
        <v>16</v>
      </c>
      <c r="AC20" s="7" t="s">
        <v>35</v>
      </c>
      <c r="AD20" s="7" t="s">
        <v>31</v>
      </c>
      <c r="AE20" s="36">
        <f>AVERAGEIFS('Regular Season'!T:T,'Regular Season'!R:R,'Summary Page'!AC20,'Regular Season'!S:S,'Summary Page'!AD20)</f>
        <v>126.92571428571428</v>
      </c>
      <c r="AF20" s="47">
        <f>AE20-VLOOKUP(AC20,'Summary Page (2)'!$B$5:$K$14,9,FALSE)</f>
        <v>7.4521658986174941</v>
      </c>
      <c r="AG20" s="52">
        <f>COUNTIFS('Regular Season'!R:R,'Summary Page'!AC20,'Regular Season'!S:S,'Summary Page'!AD20)</f>
        <v>7</v>
      </c>
      <c r="AH20" s="36">
        <f>AVERAGEIFS('Regular Season'!U:U,'Regular Season'!S:S,'Summary Page'!AC20,'Regular Season'!R:R,'Summary Page'!AD20)</f>
        <v>95.24</v>
      </c>
      <c r="AI20" s="47">
        <f>AH20-VLOOKUP(AC20,'Summary Page (2)'!$B$5:$K$14,10,FALSE)</f>
        <v>2.166666666666643</v>
      </c>
      <c r="AJ20" s="7">
        <f>COUNTIFS('Regular Season'!R:R,'Summary Page'!AD20,'Regular Season'!S:S,'Summary Page'!AC20)</f>
        <v>5</v>
      </c>
      <c r="AK20" s="36">
        <f t="shared" si="1"/>
        <v>113.72333333333331</v>
      </c>
      <c r="AL20" s="47">
        <f t="shared" si="2"/>
        <v>6.53954022988502</v>
      </c>
      <c r="AM20" s="36">
        <f>AVERAGEIFS('Regular Season'!T:T,'Regular Season'!R:R,'Summary Page'!AD20,'Regular Season'!S:S,'Summary Page'!AC20)</f>
        <v>113.428</v>
      </c>
      <c r="AN20" s="47">
        <f>AM20-VLOOKUP(AD20,'Summary Page (2)'!$B$5:$K$14,9,FALSE)</f>
        <v>-7.0143809523809324</v>
      </c>
      <c r="AO20" s="52">
        <f>COUNTIFS('Regular Season'!R:R,'Summary Page'!AD20,'Regular Season'!S:S,'Summary Page'!AC20)</f>
        <v>5</v>
      </c>
      <c r="AP20" s="36">
        <f>AVERAGEIFS('Regular Season'!U:U,'Regular Season'!S:S,'Summary Page'!AD20,'Regular Season'!R:R,'Summary Page'!AC20)</f>
        <v>95.065714285714293</v>
      </c>
      <c r="AQ20" s="47">
        <f>AP20-VLOOKUP(AD20,'Summary Page (2)'!$B$5:$K$14,10,FALSE)</f>
        <v>0.56003246753243729</v>
      </c>
      <c r="AR20" s="7">
        <f>COUNTIFS('Regular Season'!R:R,'Summary Page'!AC20,'Regular Season'!S:S,'Summary Page'!AD20)</f>
        <v>7</v>
      </c>
      <c r="AS20" s="36">
        <f t="shared" si="3"/>
        <v>102.71666666666665</v>
      </c>
      <c r="AT20" s="47">
        <f t="shared" si="4"/>
        <v>-4.4557751937984875</v>
      </c>
      <c r="AU20" s="55">
        <f t="shared" si="5"/>
        <v>10.995315423683508</v>
      </c>
      <c r="AW20" s="53">
        <v>86</v>
      </c>
      <c r="AX20" s="7" t="s">
        <v>36</v>
      </c>
      <c r="AY20" s="59" t="s">
        <v>37</v>
      </c>
      <c r="AZ20" s="36">
        <v>112.49250000000001</v>
      </c>
      <c r="BA20" s="47">
        <v>-5.0940853658536298</v>
      </c>
      <c r="BB20" s="52">
        <v>8</v>
      </c>
      <c r="BC20" s="36">
        <v>91.316000000000003</v>
      </c>
      <c r="BD20" s="47">
        <v>-1.407529411764699</v>
      </c>
      <c r="BE20" s="7">
        <v>5</v>
      </c>
      <c r="BF20" s="36">
        <v>104.34769230769231</v>
      </c>
      <c r="BG20" s="57">
        <v>-1.9676410256410151</v>
      </c>
      <c r="BH20" s="36">
        <v>120.968</v>
      </c>
      <c r="BI20" s="47">
        <v>5.4233424657534215</v>
      </c>
      <c r="BJ20" s="52">
        <v>5</v>
      </c>
      <c r="BK20" s="36">
        <v>80.002499999999998</v>
      </c>
      <c r="BL20" s="47">
        <v>-11.52633116883122</v>
      </c>
      <c r="BM20" s="7">
        <v>8</v>
      </c>
      <c r="BN20" s="36">
        <v>95.758461538461546</v>
      </c>
      <c r="BO20" s="57">
        <v>-7.4580717948718132</v>
      </c>
      <c r="BP20" s="49">
        <v>5.4904307692307981</v>
      </c>
    </row>
    <row r="21" spans="2:68" x14ac:dyDescent="0.3">
      <c r="B21" s="7" t="s">
        <v>38</v>
      </c>
      <c r="C21" s="7">
        <f>COUNTIF(Playoffs!O:O,'Summary Page'!B21)</f>
        <v>3</v>
      </c>
      <c r="D21" s="7">
        <f>COUNTIF(Playoffs!P:P,'Summary Page'!B21)</f>
        <v>5</v>
      </c>
      <c r="E21" s="8">
        <f t="shared" si="7"/>
        <v>0.375</v>
      </c>
      <c r="F21" s="10">
        <f>SUMIF(Playoffs!O:O,'Summary Page'!B21,Playoffs!Q:Q)+SUMIF(Playoffs!P:P,'Summary Page'!B21,Playoffs!R:R)</f>
        <v>898.54</v>
      </c>
      <c r="G21" s="10">
        <f>COUNTIFS(Tables!C:C,'Summary Page'!B21,Tables!H:H,"Y")</f>
        <v>4</v>
      </c>
      <c r="H21" s="10">
        <f>COUNTIFS(Tables!E:E,"1",Tables!C:C,'Summary Page'!B21)</f>
        <v>1</v>
      </c>
      <c r="I21" s="10">
        <f>COUNTIFS(Tables!E:E,"1",Tables!C:C,'Summary Page'!B21)+COUNTIFS(Tables!E:E,"2",Tables!C:C,'Summary Page'!B21)+COUNTIFS(Tables!E:E,"3",Tables!C:C,'Summary Page'!B21)+COUNTIFS(Tables!E:E,"4",Tables!C:C,'Summary Page'!B21)</f>
        <v>3</v>
      </c>
      <c r="M21" s="26">
        <v>4</v>
      </c>
      <c r="N21" s="20" t="str">
        <f>VLOOKUP(M8,'Regular Season'!D:U,15,FALSE)</f>
        <v>Graham/Michael</v>
      </c>
      <c r="O21" s="20" t="str">
        <f>VLOOKUP(M8,'Regular Season'!D:U,16,FALSE)</f>
        <v>Brian/Travis</v>
      </c>
      <c r="P21" s="20">
        <f>VLOOKUP(M8,'Regular Season'!D:U,5,FALSE)</f>
        <v>2013</v>
      </c>
      <c r="Q21" s="20">
        <f>VLOOKUP(M8,'Regular Season'!D:U,6,FALSE)</f>
        <v>9</v>
      </c>
      <c r="R21" s="21">
        <f>VLOOKUP(M8,'Regular Season'!D:U,14,FALSE)</f>
        <v>92</v>
      </c>
      <c r="T21" s="26">
        <v>4</v>
      </c>
      <c r="U21" s="20" t="str">
        <f>VLOOKUP(T21,'Regular Season'!E:U,14,FALSE)</f>
        <v>Eric/Blake</v>
      </c>
      <c r="V21" s="20" t="str">
        <f>VLOOKUP(T21,'Regular Season'!E:U,15,FALSE)</f>
        <v>Pat/Tucker</v>
      </c>
      <c r="W21" s="20">
        <f>VLOOKUP(T21,'Regular Season'!E:U,4,FALSE)</f>
        <v>2021</v>
      </c>
      <c r="X21" s="20">
        <f>VLOOKUP(T21,'Regular Season'!E:U,5,FALSE)</f>
        <v>4</v>
      </c>
      <c r="Y21" s="21">
        <f>VLOOKUP(T21,'Regular Season'!E:U,12,FALSE)</f>
        <v>304.12</v>
      </c>
      <c r="Z21" s="46"/>
      <c r="AB21" s="53">
        <v>17</v>
      </c>
      <c r="AC21" s="7" t="s">
        <v>35</v>
      </c>
      <c r="AD21" s="7" t="s">
        <v>33</v>
      </c>
      <c r="AE21" s="36">
        <f>AVERAGEIFS('Regular Season'!T:T,'Regular Season'!R:R,'Summary Page'!AC21,'Regular Season'!S:S,'Summary Page'!AD21)</f>
        <v>119.49111111111112</v>
      </c>
      <c r="AF21" s="47">
        <f>AE21-VLOOKUP(AC21,'Summary Page (2)'!$B$5:$K$14,9,FALSE)</f>
        <v>1.7562724014339892E-2</v>
      </c>
      <c r="AG21" s="52">
        <f>COUNTIFS('Regular Season'!R:R,'Summary Page'!AC21,'Regular Season'!S:S,'Summary Page'!AD21)</f>
        <v>9</v>
      </c>
      <c r="AH21" s="36">
        <f>AVERAGEIFS('Regular Season'!U:U,'Regular Season'!S:S,'Summary Page'!AC21,'Regular Season'!R:R,'Summary Page'!AD21)</f>
        <v>95.409090909090907</v>
      </c>
      <c r="AI21" s="47">
        <f>AH21-VLOOKUP(AC21,'Summary Page (2)'!$B$5:$K$14,10,FALSE)</f>
        <v>2.3357575757575546</v>
      </c>
      <c r="AJ21" s="7">
        <f>COUNTIFS('Regular Season'!R:R,'Summary Page'!AD21,'Regular Season'!S:S,'Summary Page'!AC21)</f>
        <v>11</v>
      </c>
      <c r="AK21" s="36">
        <f t="shared" si="1"/>
        <v>106.24600000000001</v>
      </c>
      <c r="AL21" s="47">
        <f t="shared" si="2"/>
        <v>-0.93779310344828559</v>
      </c>
      <c r="AM21" s="36">
        <f>AVERAGEIFS('Regular Season'!T:T,'Regular Season'!R:R,'Summary Page'!AD21,'Regular Season'!S:S,'Summary Page'!AC21)</f>
        <v>118.22181818181819</v>
      </c>
      <c r="AN21" s="47">
        <f>AM21-VLOOKUP(AD21,'Summary Page (2)'!$B$5:$K$14,9,FALSE)</f>
        <v>-2.5344563279857368</v>
      </c>
      <c r="AO21" s="52">
        <f>COUNTIFS('Regular Season'!R:R,'Summary Page'!AD21,'Regular Season'!S:S,'Summary Page'!AC21)</f>
        <v>11</v>
      </c>
      <c r="AP21" s="36">
        <f>AVERAGEIFS('Regular Season'!U:U,'Regular Season'!S:S,'Summary Page'!AD21,'Regular Season'!R:R,'Summary Page'!AC21)</f>
        <v>99.644444444444446</v>
      </c>
      <c r="AQ21" s="47">
        <f>AP21-VLOOKUP(AD21,'Summary Page (2)'!$B$5:$K$14,10,FALSE)</f>
        <v>2.9520120120120339</v>
      </c>
      <c r="AR21" s="7">
        <f>COUNTIFS('Regular Season'!R:R,'Summary Page'!AC21,'Regular Season'!S:S,'Summary Page'!AD21)</f>
        <v>9</v>
      </c>
      <c r="AS21" s="36">
        <f t="shared" si="3"/>
        <v>109.86199999999999</v>
      </c>
      <c r="AT21" s="47">
        <f t="shared" si="4"/>
        <v>-0.77652272727273441</v>
      </c>
      <c r="AU21" s="55">
        <f t="shared" si="5"/>
        <v>-0.16127037617555118</v>
      </c>
      <c r="AW21" s="53">
        <v>89</v>
      </c>
      <c r="AX21" s="7" t="s">
        <v>36</v>
      </c>
      <c r="AY21" s="59" t="s">
        <v>31</v>
      </c>
      <c r="AZ21" s="36">
        <v>125.79</v>
      </c>
      <c r="BA21" s="47">
        <v>8.2034146341463696</v>
      </c>
      <c r="BB21" s="52">
        <v>8</v>
      </c>
      <c r="BC21" s="36">
        <v>97.88</v>
      </c>
      <c r="BD21" s="47">
        <v>5.1564705882352939</v>
      </c>
      <c r="BE21" s="7">
        <v>8</v>
      </c>
      <c r="BF21" s="36">
        <v>111.83500000000001</v>
      </c>
      <c r="BG21" s="57">
        <v>5.51966666666668</v>
      </c>
      <c r="BH21" s="36">
        <v>118.01500000000001</v>
      </c>
      <c r="BI21" s="47">
        <v>-2.5582432432432256</v>
      </c>
      <c r="BJ21" s="52">
        <v>8</v>
      </c>
      <c r="BK21" s="36">
        <v>95.847499999999997</v>
      </c>
      <c r="BL21" s="47">
        <v>2.4496052631578635</v>
      </c>
      <c r="BM21" s="7">
        <v>8</v>
      </c>
      <c r="BN21" s="36">
        <v>106.93125000000001</v>
      </c>
      <c r="BO21" s="57">
        <v>0.12684999999997615</v>
      </c>
      <c r="BP21" s="49">
        <v>5.3928166666667039</v>
      </c>
    </row>
    <row r="22" spans="2:68" x14ac:dyDescent="0.3">
      <c r="B22" s="7" t="s">
        <v>37</v>
      </c>
      <c r="C22" s="7">
        <f>COUNTIF(Playoffs!O:O,'Summary Page'!B22)</f>
        <v>10</v>
      </c>
      <c r="D22" s="7">
        <f>COUNTIF(Playoffs!P:P,'Summary Page'!B22)</f>
        <v>8</v>
      </c>
      <c r="E22" s="8">
        <f t="shared" si="7"/>
        <v>0.55555555555555558</v>
      </c>
      <c r="F22" s="10">
        <f>SUMIF(Playoffs!O:O,'Summary Page'!B22,Playoffs!Q:Q)+SUMIF(Playoffs!P:P,'Summary Page'!B22,Playoffs!R:R)</f>
        <v>2256.2200000000003</v>
      </c>
      <c r="G22" s="10">
        <f>COUNTIFS(Tables!C:C,'Summary Page'!B22,Tables!H:H,"Y")</f>
        <v>8</v>
      </c>
      <c r="H22" s="10">
        <f>COUNTIFS(Tables!E:E,"1",Tables!C:C,'Summary Page'!B22)</f>
        <v>1</v>
      </c>
      <c r="I22" s="10">
        <f>COUNTIFS(Tables!E:E,"1",Tables!C:C,'Summary Page'!B22)+COUNTIFS(Tables!E:E,"2",Tables!C:C,'Summary Page'!B22)+COUNTIFS(Tables!E:E,"3",Tables!C:C,'Summary Page'!B22)+COUNTIFS(Tables!E:E,"4",Tables!C:C,'Summary Page'!B22)</f>
        <v>6</v>
      </c>
      <c r="M22" s="26">
        <v>5</v>
      </c>
      <c r="N22" s="20" t="str">
        <f>VLOOKUP(M9,'Regular Season'!D:U,15,FALSE)</f>
        <v>Brian/Travis</v>
      </c>
      <c r="O22" s="20" t="str">
        <f>VLOOKUP(M9,'Regular Season'!D:U,16,FALSE)</f>
        <v>Walker/Cory</v>
      </c>
      <c r="P22" s="20">
        <f>VLOOKUP(M9,'Regular Season'!D:U,5,FALSE)</f>
        <v>2020</v>
      </c>
      <c r="Q22" s="20">
        <f>VLOOKUP(M9,'Regular Season'!D:U,6,FALSE)</f>
        <v>12</v>
      </c>
      <c r="R22" s="21">
        <f>VLOOKUP(M9,'Regular Season'!D:U,14,FALSE)</f>
        <v>90.980000000000018</v>
      </c>
      <c r="T22" s="26">
        <v>5</v>
      </c>
      <c r="U22" s="20" t="str">
        <f>VLOOKUP(T22,'Regular Season'!E:U,14,FALSE)</f>
        <v>Pat/Tucker</v>
      </c>
      <c r="V22" s="20" t="str">
        <f>VLOOKUP(T22,'Regular Season'!E:U,15,FALSE)</f>
        <v>Eric/Blake</v>
      </c>
      <c r="W22" s="20">
        <f>VLOOKUP(T22,'Regular Season'!E:U,4,FALSE)</f>
        <v>2014</v>
      </c>
      <c r="X22" s="20">
        <f>VLOOKUP(T22,'Regular Season'!E:U,5,FALSE)</f>
        <v>6</v>
      </c>
      <c r="Y22" s="21">
        <f>VLOOKUP(T22,'Regular Season'!E:U,12,FALSE)</f>
        <v>303.5</v>
      </c>
      <c r="Z22" s="46"/>
      <c r="AB22" s="53">
        <v>18</v>
      </c>
      <c r="AC22" s="7" t="s">
        <v>35</v>
      </c>
      <c r="AD22" s="7" t="s">
        <v>36</v>
      </c>
      <c r="AE22" s="36">
        <f>AVERAGEIFS('Regular Season'!T:T,'Regular Season'!R:R,'Summary Page'!AC22,'Regular Season'!S:S,'Summary Page'!AD22)</f>
        <v>117.05466666666668</v>
      </c>
      <c r="AF22" s="47">
        <f>AE22-VLOOKUP(AC22,'Summary Page (2)'!$B$5:$K$14,9,FALSE)</f>
        <v>-2.4188817204301074</v>
      </c>
      <c r="AG22" s="52">
        <f>COUNTIFS('Regular Season'!R:R,'Summary Page'!AC22,'Regular Season'!S:S,'Summary Page'!AD22)</f>
        <v>15</v>
      </c>
      <c r="AH22" s="36">
        <f>AVERAGEIFS('Regular Season'!U:U,'Regular Season'!S:S,'Summary Page'!AC22,'Regular Season'!R:R,'Summary Page'!AD22)</f>
        <v>96.002000000000024</v>
      </c>
      <c r="AI22" s="47">
        <f>AH22-VLOOKUP(AC22,'Summary Page (2)'!$B$5:$K$14,10,FALSE)</f>
        <v>2.9286666666666719</v>
      </c>
      <c r="AJ22" s="7">
        <f>COUNTIFS('Regular Season'!R:R,'Summary Page'!AD22,'Regular Season'!S:S,'Summary Page'!AC22)</f>
        <v>10</v>
      </c>
      <c r="AK22" s="36">
        <f t="shared" si="1"/>
        <v>108.6336</v>
      </c>
      <c r="AL22" s="47">
        <f t="shared" si="2"/>
        <v>1.4498068965517064</v>
      </c>
      <c r="AM22" s="36">
        <f>AVERAGEIFS('Regular Season'!T:T,'Regular Season'!R:R,'Summary Page'!AD22,'Regular Season'!S:S,'Summary Page'!AC22)</f>
        <v>121.56800000000001</v>
      </c>
      <c r="AN22" s="47">
        <f>AM22-VLOOKUP(AD22,'Summary Page (2)'!$B$5:$K$14,9,FALSE)</f>
        <v>5.4901739130435345</v>
      </c>
      <c r="AO22" s="52">
        <f>COUNTIFS('Regular Season'!R:R,'Summary Page'!AD22,'Regular Season'!S:S,'Summary Page'!AC22)</f>
        <v>10</v>
      </c>
      <c r="AP22" s="36">
        <f>AVERAGEIFS('Regular Season'!U:U,'Regular Season'!S:S,'Summary Page'!AD22,'Regular Season'!R:R,'Summary Page'!AC22)</f>
        <v>93.318666666666658</v>
      </c>
      <c r="AQ22" s="47">
        <f>AP22-VLOOKUP(AD22,'Summary Page (2)'!$B$5:$K$14,10,FALSE)</f>
        <v>-1.4515772357723478</v>
      </c>
      <c r="AR22" s="7">
        <f>COUNTIFS('Regular Season'!R:R,'Summary Page'!AC22,'Regular Season'!S:S,'Summary Page'!AD22)</f>
        <v>15</v>
      </c>
      <c r="AS22" s="36">
        <f t="shared" si="3"/>
        <v>104.61840000000001</v>
      </c>
      <c r="AT22" s="47">
        <f t="shared" si="4"/>
        <v>-1.4179218390804351</v>
      </c>
      <c r="AU22" s="55">
        <f t="shared" si="5"/>
        <v>2.8677287356321415</v>
      </c>
      <c r="AW22" s="53">
        <v>41</v>
      </c>
      <c r="AX22" s="7" t="s">
        <v>37</v>
      </c>
      <c r="AY22" s="59" t="s">
        <v>34</v>
      </c>
      <c r="AZ22" s="36">
        <v>123.3</v>
      </c>
      <c r="BA22" s="47">
        <v>7.7553424657534151</v>
      </c>
      <c r="BB22" s="52">
        <v>7</v>
      </c>
      <c r="BC22" s="36">
        <v>95.49199999999999</v>
      </c>
      <c r="BD22" s="47">
        <v>3.9631688311687725</v>
      </c>
      <c r="BE22" s="7">
        <v>5</v>
      </c>
      <c r="BF22" s="36">
        <v>111.71333333333332</v>
      </c>
      <c r="BG22" s="57">
        <v>8.4967999999999648</v>
      </c>
      <c r="BH22" s="36">
        <v>128.71199999999999</v>
      </c>
      <c r="BI22" s="47">
        <v>6.3175696202531526</v>
      </c>
      <c r="BJ22" s="52">
        <v>5</v>
      </c>
      <c r="BK22" s="36">
        <v>102.89428571428572</v>
      </c>
      <c r="BL22" s="47">
        <v>5.8509054325955816</v>
      </c>
      <c r="BM22" s="7">
        <v>7</v>
      </c>
      <c r="BN22" s="36">
        <v>113.65166666666666</v>
      </c>
      <c r="BO22" s="57">
        <v>3.2567333333333437</v>
      </c>
      <c r="BP22" s="49">
        <v>5.2400666666666211</v>
      </c>
    </row>
    <row r="23" spans="2:68" x14ac:dyDescent="0.3">
      <c r="B23" s="7" t="s">
        <v>34</v>
      </c>
      <c r="C23" s="7">
        <f>COUNTIF(Playoffs!O:O,'Summary Page'!B23)</f>
        <v>10</v>
      </c>
      <c r="D23" s="7">
        <f>COUNTIF(Playoffs!P:P,'Summary Page'!B23)</f>
        <v>9</v>
      </c>
      <c r="E23" s="8">
        <f t="shared" si="7"/>
        <v>0.52631578947368418</v>
      </c>
      <c r="F23" s="10">
        <f>SUMIF(Playoffs!O:O,'Summary Page'!B23,Playoffs!Q:Q)+SUMIF(Playoffs!P:P,'Summary Page'!B23,Playoffs!R:R)</f>
        <v>2294.34</v>
      </c>
      <c r="G23" s="10">
        <f>COUNTIFS(Tables!C:C,'Summary Page'!B23,Tables!H:H,"Y")</f>
        <v>8</v>
      </c>
      <c r="H23" s="10">
        <f>COUNTIFS(Tables!E:E,"1",Tables!C:C,'Summary Page'!B23)</f>
        <v>1</v>
      </c>
      <c r="I23" s="10">
        <f>COUNTIFS(Tables!E:E,"1",Tables!C:C,'Summary Page'!B23)+COUNTIFS(Tables!E:E,"2",Tables!C:C,'Summary Page'!B23)+COUNTIFS(Tables!E:E,"3",Tables!C:C,'Summary Page'!B23)+COUNTIFS(Tables!E:E,"4",Tables!C:C,'Summary Page'!B23)</f>
        <v>7</v>
      </c>
      <c r="M23" s="26">
        <v>6</v>
      </c>
      <c r="N23" s="20" t="str">
        <f>VLOOKUP(M10,'Regular Season'!D:U,15,FALSE)</f>
        <v>Walker/Cory</v>
      </c>
      <c r="O23" s="20" t="str">
        <f>VLOOKUP(M10,'Regular Season'!D:U,16,FALSE)</f>
        <v>Graham/Michael</v>
      </c>
      <c r="P23" s="20">
        <f>VLOOKUP(M10,'Regular Season'!D:U,5,FALSE)</f>
        <v>2022</v>
      </c>
      <c r="Q23" s="20">
        <f>VLOOKUP(M10,'Regular Season'!D:U,6,FALSE)</f>
        <v>11</v>
      </c>
      <c r="R23" s="21">
        <f>VLOOKUP(M10,'Regular Season'!D:U,14,FALSE)</f>
        <v>89.4</v>
      </c>
      <c r="T23" s="26">
        <v>6</v>
      </c>
      <c r="U23" s="20" t="str">
        <f>VLOOKUP(T23,'Regular Season'!E:U,14,FALSE)</f>
        <v>Drew/Cam</v>
      </c>
      <c r="V23" s="20" t="str">
        <f>VLOOKUP(T23,'Regular Season'!E:U,15,FALSE)</f>
        <v>Graham/Michael</v>
      </c>
      <c r="W23" s="20">
        <f>VLOOKUP(T23,'Regular Season'!E:U,4,FALSE)</f>
        <v>2025</v>
      </c>
      <c r="X23" s="20">
        <f>VLOOKUP(T23,'Regular Season'!E:U,5,FALSE)</f>
        <v>4</v>
      </c>
      <c r="Y23" s="21">
        <f>VLOOKUP(T23,'Regular Season'!E:U,12,FALSE)</f>
        <v>298.60000000000002</v>
      </c>
      <c r="Z23" s="46"/>
      <c r="AB23" s="53">
        <v>19</v>
      </c>
      <c r="AC23" s="7" t="s">
        <v>30</v>
      </c>
      <c r="AD23" s="7" t="s">
        <v>32</v>
      </c>
      <c r="AE23" s="36">
        <f>AVERAGEIFS('Regular Season'!T:T,'Regular Season'!R:R,'Summary Page'!AC23,'Regular Season'!S:S,'Summary Page'!AD23)</f>
        <v>117.63250000000001</v>
      </c>
      <c r="AF23" s="47">
        <f>AE23-VLOOKUP(AC23,'Summary Page (2)'!$B$5:$K$14,9,FALSE)</f>
        <v>-4.0672530864197682</v>
      </c>
      <c r="AG23" s="52">
        <f>COUNTIFS('Regular Season'!R:R,'Summary Page'!AC23,'Regular Season'!S:S,'Summary Page'!AD23)</f>
        <v>8</v>
      </c>
      <c r="AH23" s="36">
        <f>AVERAGEIFS('Regular Season'!U:U,'Regular Season'!S:S,'Summary Page'!AC23,'Regular Season'!R:R,'Summary Page'!AD23)</f>
        <v>96.15333333333335</v>
      </c>
      <c r="AI23" s="47">
        <f>AH23-VLOOKUP(AC23,'Summary Page (2)'!$B$5:$K$14,10,FALSE)</f>
        <v>1.2772463768116324</v>
      </c>
      <c r="AJ23" s="7">
        <f>COUNTIFS('Regular Season'!R:R,'Summary Page'!AD23,'Regular Season'!S:S,'Summary Page'!AC23)</f>
        <v>6</v>
      </c>
      <c r="AK23" s="36">
        <f t="shared" si="1"/>
        <v>108.42714285714285</v>
      </c>
      <c r="AL23" s="47">
        <f t="shared" si="2"/>
        <v>0.99199834847233603</v>
      </c>
      <c r="AM23" s="36">
        <f>AVERAGEIFS('Regular Season'!T:T,'Regular Season'!R:R,'Summary Page'!AD23,'Regular Season'!S:S,'Summary Page'!AC23)</f>
        <v>124.26333333333332</v>
      </c>
      <c r="AN23" s="47">
        <f>AM23-VLOOKUP(AD23,'Summary Page (2)'!$B$5:$K$14,9,FALSE)</f>
        <v>6.326356589147295</v>
      </c>
      <c r="AO23" s="52">
        <f>COUNTIFS('Regular Season'!R:R,'Summary Page'!AD23,'Regular Season'!S:S,'Summary Page'!AC23)</f>
        <v>6</v>
      </c>
      <c r="AP23" s="36">
        <f>AVERAGEIFS('Regular Season'!U:U,'Regular Season'!S:S,'Summary Page'!AD23,'Regular Season'!R:R,'Summary Page'!AC23)</f>
        <v>100.6925</v>
      </c>
      <c r="AQ23" s="47">
        <f>AP23-VLOOKUP(AD23,'Summary Page (2)'!$B$5:$K$14,10,FALSE)</f>
        <v>6.5993181818181625</v>
      </c>
      <c r="AR23" s="7">
        <f>COUNTIFS('Regular Season'!R:R,'Summary Page'!AC23,'Regular Season'!S:S,'Summary Page'!AD23)</f>
        <v>8</v>
      </c>
      <c r="AS23" s="36">
        <f t="shared" si="3"/>
        <v>110.79428571428571</v>
      </c>
      <c r="AT23" s="47">
        <f t="shared" si="4"/>
        <v>4.9162397372742248</v>
      </c>
      <c r="AU23" s="55">
        <f t="shared" si="5"/>
        <v>-3.9242413888018888</v>
      </c>
      <c r="AW23" s="53">
        <v>40</v>
      </c>
      <c r="AX23" s="7" t="s">
        <v>37</v>
      </c>
      <c r="AY23" s="59" t="s">
        <v>38</v>
      </c>
      <c r="AZ23" s="36">
        <v>100.07</v>
      </c>
      <c r="BA23" s="47">
        <v>-15.474657534246589</v>
      </c>
      <c r="BB23" s="52">
        <v>12</v>
      </c>
      <c r="BC23" s="36">
        <v>97.656000000000006</v>
      </c>
      <c r="BD23" s="47">
        <v>6.1271688311687882</v>
      </c>
      <c r="BE23" s="7">
        <v>5</v>
      </c>
      <c r="BF23" s="36">
        <v>99.36</v>
      </c>
      <c r="BG23" s="57">
        <v>-3.8565333333333598</v>
      </c>
      <c r="BH23" s="36">
        <v>123.67199999999998</v>
      </c>
      <c r="BI23" s="47">
        <v>5.808785714285662</v>
      </c>
      <c r="BJ23" s="52">
        <v>5</v>
      </c>
      <c r="BK23" s="36">
        <v>78.695000000000007</v>
      </c>
      <c r="BL23" s="47">
        <v>-12.200744680851102</v>
      </c>
      <c r="BM23" s="7">
        <v>12</v>
      </c>
      <c r="BN23" s="36">
        <v>91.923529411764704</v>
      </c>
      <c r="BO23" s="57">
        <v>-9.0400705882353378</v>
      </c>
      <c r="BP23" s="49">
        <v>5.183537254901978</v>
      </c>
    </row>
    <row r="24" spans="2:68" x14ac:dyDescent="0.3">
      <c r="B24" s="7" t="s">
        <v>29</v>
      </c>
      <c r="C24" s="7">
        <f>COUNTIF(Playoffs!O:O,'Summary Page'!B24)</f>
        <v>8</v>
      </c>
      <c r="D24" s="7">
        <f>COUNTIF(Playoffs!P:P,'Summary Page'!B24)</f>
        <v>9</v>
      </c>
      <c r="E24" s="8">
        <f t="shared" si="7"/>
        <v>0.47058823529411764</v>
      </c>
      <c r="F24" s="10">
        <f>SUMIF(Playoffs!O:O,'Summary Page'!B24,Playoffs!Q:Q)+SUMIF(Playoffs!P:P,'Summary Page'!B24,Playoffs!R:R)</f>
        <v>2045.8200000000002</v>
      </c>
      <c r="G24" s="10">
        <f>COUNTIFS(Tables!C:C,'Summary Page'!B24,Tables!H:H,"Y")</f>
        <v>9</v>
      </c>
      <c r="H24" s="10">
        <f>COUNTIFS(Tables!E:E,"1",Tables!C:C,'Summary Page'!B24)</f>
        <v>1</v>
      </c>
      <c r="I24" s="10">
        <f>COUNTIFS(Tables!E:E,"1",Tables!C:C,'Summary Page'!B24)+COUNTIFS(Tables!E:E,"2",Tables!C:C,'Summary Page'!B24)+COUNTIFS(Tables!E:E,"3",Tables!C:C,'Summary Page'!B24)+COUNTIFS(Tables!E:E,"4",Tables!C:C,'Summary Page'!B24)</f>
        <v>5</v>
      </c>
      <c r="M24" s="26">
        <v>7</v>
      </c>
      <c r="N24" s="20" t="str">
        <f>VLOOKUP(M11,'Regular Season'!D:U,15,FALSE)</f>
        <v>Eric/Blake</v>
      </c>
      <c r="O24" s="20" t="str">
        <f>VLOOKUP(M11,'Regular Season'!D:U,16,FALSE)</f>
        <v>Graham/Michael</v>
      </c>
      <c r="P24" s="20">
        <f>VLOOKUP(M11,'Regular Season'!D:U,5,FALSE)</f>
        <v>2015</v>
      </c>
      <c r="Q24" s="20">
        <f>VLOOKUP(M11,'Regular Season'!D:U,6,FALSE)</f>
        <v>5</v>
      </c>
      <c r="R24" s="21">
        <f>VLOOKUP(M11,'Regular Season'!D:U,14,FALSE)</f>
        <v>89</v>
      </c>
      <c r="T24" s="26">
        <v>7</v>
      </c>
      <c r="U24" s="20" t="str">
        <f>VLOOKUP(T24,'Regular Season'!E:U,14,FALSE)</f>
        <v>Pat/Tucker</v>
      </c>
      <c r="V24" s="20" t="str">
        <f>VLOOKUP(T24,'Regular Season'!E:U,15,FALSE)</f>
        <v>Drew/Cam</v>
      </c>
      <c r="W24" s="20">
        <f>VLOOKUP(T24,'Regular Season'!E:U,4,FALSE)</f>
        <v>2020</v>
      </c>
      <c r="X24" s="20">
        <f>VLOOKUP(T24,'Regular Season'!E:U,5,FALSE)</f>
        <v>4</v>
      </c>
      <c r="Y24" s="21">
        <f>VLOOKUP(T24,'Regular Season'!E:U,12,FALSE)</f>
        <v>298.58999999999997</v>
      </c>
      <c r="Z24" s="46"/>
      <c r="AB24" s="53">
        <v>20</v>
      </c>
      <c r="AC24" s="7" t="s">
        <v>30</v>
      </c>
      <c r="AD24" s="7" t="s">
        <v>35</v>
      </c>
      <c r="AE24" s="36">
        <f>AVERAGEIFS('Regular Season'!T:T,'Regular Season'!R:R,'Summary Page'!AC24,'Regular Season'!S:S,'Summary Page'!AD24)</f>
        <v>118.03</v>
      </c>
      <c r="AF24" s="47">
        <f>AE24-VLOOKUP(AC24,'Summary Page (2)'!$B$5:$K$14,9,FALSE)</f>
        <v>-3.6697530864197745</v>
      </c>
      <c r="AG24" s="52">
        <f>COUNTIFS('Regular Season'!R:R,'Summary Page'!AC24,'Regular Season'!S:S,'Summary Page'!AD24)</f>
        <v>10</v>
      </c>
      <c r="AH24" s="36">
        <f>AVERAGEIFS('Regular Season'!U:U,'Regular Season'!S:S,'Summary Page'!AC24,'Regular Season'!R:R,'Summary Page'!AD24)</f>
        <v>93.941999999999979</v>
      </c>
      <c r="AI24" s="47">
        <f>AH24-VLOOKUP(AC24,'Summary Page (2)'!$B$5:$K$14,10,FALSE)</f>
        <v>-0.9340869565217389</v>
      </c>
      <c r="AJ24" s="7">
        <f>COUNTIFS('Regular Season'!R:R,'Summary Page'!AD24,'Regular Season'!S:S,'Summary Page'!AC24)</f>
        <v>10</v>
      </c>
      <c r="AK24" s="36">
        <f t="shared" si="1"/>
        <v>105.98599999999999</v>
      </c>
      <c r="AL24" s="47">
        <f t="shared" si="2"/>
        <v>-1.4491445086705284</v>
      </c>
      <c r="AM24" s="36">
        <f>AVERAGEIFS('Regular Season'!T:T,'Regular Season'!R:R,'Summary Page'!AD24,'Regular Season'!S:S,'Summary Page'!AC24)</f>
        <v>122.782</v>
      </c>
      <c r="AN24" s="47">
        <f>AM24-VLOOKUP(AD24,'Summary Page (2)'!$B$5:$K$14,9,FALSE)</f>
        <v>3.3084516129032124</v>
      </c>
      <c r="AO24" s="52">
        <f>COUNTIFS('Regular Season'!R:R,'Summary Page'!AD24,'Regular Season'!S:S,'Summary Page'!AC24)</f>
        <v>10</v>
      </c>
      <c r="AP24" s="36">
        <f>AVERAGEIFS('Regular Season'!U:U,'Regular Season'!S:S,'Summary Page'!AD24,'Regular Season'!R:R,'Summary Page'!AC24)</f>
        <v>94.695999999999998</v>
      </c>
      <c r="AQ24" s="47">
        <f>AP24-VLOOKUP(AD24,'Summary Page (2)'!$B$5:$K$14,10,FALSE)</f>
        <v>1.6226666666666461</v>
      </c>
      <c r="AR24" s="7">
        <f>COUNTIFS('Regular Season'!R:R,'Summary Page'!AC24,'Regular Season'!S:S,'Summary Page'!AD24)</f>
        <v>10</v>
      </c>
      <c r="AS24" s="36">
        <f t="shared" si="3"/>
        <v>108.73899999999999</v>
      </c>
      <c r="AT24" s="47">
        <f t="shared" si="4"/>
        <v>1.5552068965516952</v>
      </c>
      <c r="AU24" s="55">
        <f t="shared" si="5"/>
        <v>-3.0043514052222235</v>
      </c>
      <c r="AW24" s="53">
        <v>36</v>
      </c>
      <c r="AX24" s="7" t="s">
        <v>38</v>
      </c>
      <c r="AY24" s="59" t="s">
        <v>36</v>
      </c>
      <c r="AZ24" s="36">
        <v>119.35749999999999</v>
      </c>
      <c r="BA24" s="47">
        <v>1.4942857142856667</v>
      </c>
      <c r="BB24" s="52">
        <v>8</v>
      </c>
      <c r="BC24" s="36">
        <v>94.473333333333329</v>
      </c>
      <c r="BD24" s="47">
        <v>3.5775886524822198</v>
      </c>
      <c r="BE24" s="7">
        <v>9</v>
      </c>
      <c r="BF24" s="36">
        <v>106.1835294117647</v>
      </c>
      <c r="BG24" s="57">
        <v>5.2199294117646531</v>
      </c>
      <c r="BH24" s="36">
        <v>115.66888888888889</v>
      </c>
      <c r="BI24" s="47">
        <v>-1.9176964769647498</v>
      </c>
      <c r="BJ24" s="52">
        <v>9</v>
      </c>
      <c r="BK24" s="36">
        <v>96.19</v>
      </c>
      <c r="BL24" s="47">
        <v>3.4664705882352962</v>
      </c>
      <c r="BM24" s="7">
        <v>8</v>
      </c>
      <c r="BN24" s="36">
        <v>106.50235294117647</v>
      </c>
      <c r="BO24" s="57">
        <v>0.18701960784314053</v>
      </c>
      <c r="BP24" s="49">
        <v>5.0329098039215125</v>
      </c>
    </row>
    <row r="25" spans="2:68" x14ac:dyDescent="0.3">
      <c r="B25" s="7" t="s">
        <v>31</v>
      </c>
      <c r="C25" s="7">
        <f>COUNTIF(Playoffs!O:O,'Summary Page'!B25)</f>
        <v>7</v>
      </c>
      <c r="D25" s="7">
        <f>COUNTIF(Playoffs!P:P,'Summary Page'!B25)</f>
        <v>6</v>
      </c>
      <c r="E25" s="8">
        <f t="shared" si="7"/>
        <v>0.53846153846153844</v>
      </c>
      <c r="F25" s="10">
        <f>SUMIF(Playoffs!O:O,'Summary Page'!B25,Playoffs!Q:Q)+SUMIF(Playoffs!P:P,'Summary Page'!B25,Playoffs!R:R)</f>
        <v>1464.3400000000001</v>
      </c>
      <c r="G25" s="10">
        <f>COUNTIFS(Tables!C:C,'Summary Page'!B25,Tables!H:H,"Y")</f>
        <v>7</v>
      </c>
      <c r="H25" s="10">
        <f>COUNTIFS(Tables!E:E,"1",Tables!C:C,'Summary Page'!B25)</f>
        <v>1</v>
      </c>
      <c r="I25" s="10">
        <f>COUNTIFS(Tables!E:E,"1",Tables!C:C,'Summary Page'!B25)+COUNTIFS(Tables!E:E,"2",Tables!C:C,'Summary Page'!B25)+COUNTIFS(Tables!E:E,"3",Tables!C:C,'Summary Page'!B25)+COUNTIFS(Tables!E:E,"4",Tables!C:C,'Summary Page'!B25)</f>
        <v>4</v>
      </c>
      <c r="M25" s="26">
        <v>8</v>
      </c>
      <c r="N25" s="20" t="str">
        <f>VLOOKUP(M12,'Regular Season'!D:U,15,FALSE)</f>
        <v>Graham/Michael</v>
      </c>
      <c r="O25" s="20" t="str">
        <f>VLOOKUP(M12,'Regular Season'!D:U,16,FALSE)</f>
        <v>David/Marshall</v>
      </c>
      <c r="P25" s="20">
        <f>VLOOKUP(M12,'Regular Season'!D:U,5,FALSE)</f>
        <v>2025</v>
      </c>
      <c r="Q25" s="20">
        <f>VLOOKUP(M12,'Regular Season'!D:U,6,FALSE)</f>
        <v>6</v>
      </c>
      <c r="R25" s="21">
        <f>VLOOKUP(M12,'Regular Season'!D:U,14,FALSE)</f>
        <v>86.47999999999999</v>
      </c>
      <c r="T25" s="26">
        <v>8</v>
      </c>
      <c r="U25" s="20" t="str">
        <f>VLOOKUP(T25,'Regular Season'!E:U,14,FALSE)</f>
        <v>Walker/Cory</v>
      </c>
      <c r="V25" s="20" t="str">
        <f>VLOOKUP(T25,'Regular Season'!E:U,15,FALSE)</f>
        <v>Graham/Michael</v>
      </c>
      <c r="W25" s="20">
        <f>VLOOKUP(T25,'Regular Season'!E:U,4,FALSE)</f>
        <v>2022</v>
      </c>
      <c r="X25" s="20">
        <f>VLOOKUP(T25,'Regular Season'!E:U,5,FALSE)</f>
        <v>2</v>
      </c>
      <c r="Y25" s="21">
        <f>VLOOKUP(T25,'Regular Season'!E:U,12,FALSE)</f>
        <v>297.70000000000005</v>
      </c>
      <c r="Z25" s="46"/>
      <c r="AB25" s="53">
        <v>21</v>
      </c>
      <c r="AC25" s="7" t="s">
        <v>30</v>
      </c>
      <c r="AD25" s="7" t="s">
        <v>38</v>
      </c>
      <c r="AE25" s="36">
        <f>AVERAGEIFS('Regular Season'!T:T,'Regular Season'!R:R,'Summary Page'!AC25,'Regular Season'!S:S,'Summary Page'!AD25)</f>
        <v>119.27999999999999</v>
      </c>
      <c r="AF25" s="47">
        <f>AE25-VLOOKUP(AC25,'Summary Page (2)'!$B$5:$K$14,9,FALSE)</f>
        <v>-2.4197530864197887</v>
      </c>
      <c r="AG25" s="52">
        <f>COUNTIFS('Regular Season'!R:R,'Summary Page'!AC25,'Regular Season'!S:S,'Summary Page'!AD25)</f>
        <v>11</v>
      </c>
      <c r="AH25" s="36">
        <f>AVERAGEIFS('Regular Season'!U:U,'Regular Season'!S:S,'Summary Page'!AC25,'Regular Season'!R:R,'Summary Page'!AD25)</f>
        <v>95.355384615384622</v>
      </c>
      <c r="AI25" s="47">
        <f>AH25-VLOOKUP(AC25,'Summary Page (2)'!$B$5:$K$14,10,FALSE)</f>
        <v>0.47929765886290454</v>
      </c>
      <c r="AJ25" s="7">
        <f>COUNTIFS('Regular Season'!R:R,'Summary Page'!AD25,'Regular Season'!S:S,'Summary Page'!AC25)</f>
        <v>13</v>
      </c>
      <c r="AK25" s="36">
        <f t="shared" si="1"/>
        <v>106.32083333333333</v>
      </c>
      <c r="AL25" s="47">
        <f t="shared" si="2"/>
        <v>-1.1143111753371926</v>
      </c>
      <c r="AM25" s="36">
        <f>AVERAGEIFS('Regular Season'!T:T,'Regular Season'!R:R,'Summary Page'!AD25,'Regular Season'!S:S,'Summary Page'!AC25)</f>
        <v>116.11692307692307</v>
      </c>
      <c r="AN25" s="47">
        <f>AM25-VLOOKUP(AD25,'Summary Page (2)'!$B$5:$K$14,9,FALSE)</f>
        <v>-3.0711928651059281</v>
      </c>
      <c r="AO25" s="52">
        <f>COUNTIFS('Regular Season'!R:R,'Summary Page'!AD25,'Regular Season'!S:S,'Summary Page'!AC25)</f>
        <v>13</v>
      </c>
      <c r="AP25" s="36">
        <f>AVERAGEIFS('Regular Season'!U:U,'Regular Season'!S:S,'Summary Page'!AD25,'Regular Season'!R:R,'Summary Page'!AC25)</f>
        <v>91.009090909090915</v>
      </c>
      <c r="AQ25" s="47">
        <f>AP25-VLOOKUP(AD25,'Summary Page (2)'!$B$5:$K$14,10,FALSE)</f>
        <v>0.46267581475122199</v>
      </c>
      <c r="AR25" s="7">
        <f>COUNTIFS('Regular Season'!R:R,'Summary Page'!AC25,'Regular Season'!S:S,'Summary Page'!AD25)</f>
        <v>11</v>
      </c>
      <c r="AS25" s="36">
        <f t="shared" si="3"/>
        <v>104.60916666666667</v>
      </c>
      <c r="AT25" s="47">
        <f t="shared" si="4"/>
        <v>2.7697380952380399</v>
      </c>
      <c r="AU25" s="55">
        <f t="shared" si="5"/>
        <v>-3.8840492705752325</v>
      </c>
      <c r="AW25" s="53">
        <v>24</v>
      </c>
      <c r="AX25" s="7" t="s">
        <v>30</v>
      </c>
      <c r="AY25" s="59" t="s">
        <v>29</v>
      </c>
      <c r="AZ25" s="36">
        <v>129.63777777777779</v>
      </c>
      <c r="BA25" s="47">
        <v>7.1551461988303942</v>
      </c>
      <c r="BB25" s="52">
        <v>9</v>
      </c>
      <c r="BC25" s="36">
        <v>90.704999999999998</v>
      </c>
      <c r="BD25" s="47">
        <v>-5.6128378378378443</v>
      </c>
      <c r="BE25" s="7">
        <v>8</v>
      </c>
      <c r="BF25" s="36">
        <v>111.3164705882353</v>
      </c>
      <c r="BG25" s="57">
        <v>1.7418039215686036</v>
      </c>
      <c r="BH25" s="36">
        <v>115.095</v>
      </c>
      <c r="BI25" s="47">
        <v>-7.3319444444444457</v>
      </c>
      <c r="BJ25" s="52">
        <v>8</v>
      </c>
      <c r="BK25" s="36">
        <v>99.268888888888881</v>
      </c>
      <c r="BL25" s="47">
        <v>0.87196581196577938</v>
      </c>
      <c r="BM25" s="7">
        <v>9</v>
      </c>
      <c r="BN25" s="36">
        <v>106.71647058823528</v>
      </c>
      <c r="BO25" s="57">
        <v>-3.2148627450980598</v>
      </c>
      <c r="BP25" s="49">
        <v>4.9566666666666634</v>
      </c>
    </row>
    <row r="26" spans="2:68" x14ac:dyDescent="0.3">
      <c r="B26" s="7" t="s">
        <v>33</v>
      </c>
      <c r="C26" s="7">
        <f>COUNTIF(Playoffs!O:O,'Summary Page'!B26)</f>
        <v>12</v>
      </c>
      <c r="D26" s="7">
        <f>COUNTIF(Playoffs!P:P,'Summary Page'!B26)</f>
        <v>9</v>
      </c>
      <c r="E26" s="8">
        <f t="shared" si="7"/>
        <v>0.5714285714285714</v>
      </c>
      <c r="F26" s="10">
        <f>SUMIF(Playoffs!O:O,'Summary Page'!B26,Playoffs!Q:Q)+SUMIF(Playoffs!P:P,'Summary Page'!B26,Playoffs!R:R)</f>
        <v>2395.66</v>
      </c>
      <c r="G26" s="10">
        <f>COUNTIFS(Tables!C:C,'Summary Page'!B26,Tables!H:H,"Y")</f>
        <v>10</v>
      </c>
      <c r="H26" s="10">
        <f>COUNTIFS(Tables!E:E,"1",Tables!C:C,'Summary Page'!B26)</f>
        <v>3</v>
      </c>
      <c r="I26" s="10">
        <f>COUNTIFS(Tables!E:E,"1",Tables!C:C,'Summary Page'!B26)+COUNTIFS(Tables!E:E,"2",Tables!C:C,'Summary Page'!B26)+COUNTIFS(Tables!E:E,"3",Tables!C:C,'Summary Page'!B26)+COUNTIFS(Tables!E:E,"4",Tables!C:C,'Summary Page'!B26)</f>
        <v>8</v>
      </c>
      <c r="M26" s="26">
        <v>9</v>
      </c>
      <c r="N26" s="20" t="str">
        <f>VLOOKUP(M13,'Regular Season'!D:U,15,FALSE)</f>
        <v>Clay/Ryan</v>
      </c>
      <c r="O26" s="20" t="str">
        <f>VLOOKUP(M13,'Regular Season'!D:U,16,FALSE)</f>
        <v>Pat/Tucker</v>
      </c>
      <c r="P26" s="20">
        <f>VLOOKUP(M13,'Regular Season'!D:U,5,FALSE)</f>
        <v>2019</v>
      </c>
      <c r="Q26" s="20">
        <f>VLOOKUP(M13,'Regular Season'!D:U,6,FALSE)</f>
        <v>1</v>
      </c>
      <c r="R26" s="21">
        <f>VLOOKUP(M13,'Regular Season'!D:U,14,FALSE)</f>
        <v>86</v>
      </c>
      <c r="T26" s="26">
        <v>9</v>
      </c>
      <c r="U26" s="20" t="str">
        <f>VLOOKUP(T26,'Regular Season'!E:U,14,FALSE)</f>
        <v>Eric/Blake</v>
      </c>
      <c r="V26" s="20" t="str">
        <f>VLOOKUP(T26,'Regular Season'!E:U,15,FALSE)</f>
        <v>Trent/Colin</v>
      </c>
      <c r="W26" s="20">
        <f>VLOOKUP(T26,'Regular Season'!E:U,4,FALSE)</f>
        <v>2018</v>
      </c>
      <c r="X26" s="20">
        <f>VLOOKUP(T26,'Regular Season'!E:U,5,FALSE)</f>
        <v>7</v>
      </c>
      <c r="Y26" s="21">
        <f>VLOOKUP(T26,'Regular Season'!E:U,12,FALSE)</f>
        <v>294.68</v>
      </c>
      <c r="Z26" s="46"/>
      <c r="AB26" s="53">
        <v>22</v>
      </c>
      <c r="AC26" s="7" t="s">
        <v>30</v>
      </c>
      <c r="AD26" s="7" t="s">
        <v>37</v>
      </c>
      <c r="AE26" s="36">
        <f>AVERAGEIFS('Regular Season'!T:T,'Regular Season'!R:R,'Summary Page'!AC26,'Regular Season'!S:S,'Summary Page'!AD26)</f>
        <v>121.75750000000001</v>
      </c>
      <c r="AF26" s="47">
        <f>AE26-VLOOKUP(AC26,'Summary Page (2)'!$B$5:$K$14,9,FALSE)</f>
        <v>5.7746913580231762E-2</v>
      </c>
      <c r="AG26" s="52">
        <f>COUNTIFS('Regular Season'!R:R,'Summary Page'!AC26,'Regular Season'!S:S,'Summary Page'!AD26)</f>
        <v>8</v>
      </c>
      <c r="AH26" s="36">
        <f>AVERAGEIFS('Regular Season'!U:U,'Regular Season'!S:S,'Summary Page'!AC26,'Regular Season'!R:R,'Summary Page'!AD26)</f>
        <v>86.15428571428572</v>
      </c>
      <c r="AI26" s="47">
        <f>AH26-VLOOKUP(AC26,'Summary Page (2)'!$B$5:$K$14,10,FALSE)</f>
        <v>-8.7218012422359976</v>
      </c>
      <c r="AJ26" s="7">
        <f>COUNTIFS('Regular Season'!R:R,'Summary Page'!AD26,'Regular Season'!S:S,'Summary Page'!AC26)</f>
        <v>7</v>
      </c>
      <c r="AK26" s="36">
        <f t="shared" si="1"/>
        <v>105.14266666666667</v>
      </c>
      <c r="AL26" s="47">
        <f t="shared" si="2"/>
        <v>-2.2924778420038479</v>
      </c>
      <c r="AM26" s="36">
        <f>AVERAGEIFS('Regular Season'!T:T,'Regular Season'!R:R,'Summary Page'!AD26,'Regular Season'!S:S,'Summary Page'!AC26)</f>
        <v>115.99428571428572</v>
      </c>
      <c r="AN26" s="47">
        <f>AM26-VLOOKUP(AD26,'Summary Page (2)'!$B$5:$K$14,9,FALSE)</f>
        <v>0.15404181184671017</v>
      </c>
      <c r="AO26" s="52">
        <f>COUNTIFS('Regular Season'!R:R,'Summary Page'!AD26,'Regular Season'!S:S,'Summary Page'!AC26)</f>
        <v>7</v>
      </c>
      <c r="AP26" s="36">
        <f>AVERAGEIFS('Regular Season'!U:U,'Regular Season'!S:S,'Summary Page'!AD26,'Regular Season'!R:R,'Summary Page'!AC26)</f>
        <v>88.547499999999999</v>
      </c>
      <c r="AQ26" s="47">
        <f>AP26-VLOOKUP(AD26,'Summary Page (2)'!$B$5:$K$14,10,FALSE)</f>
        <v>-4.3032608695652357</v>
      </c>
      <c r="AR26" s="7">
        <f>COUNTIFS('Regular Season'!R:R,'Summary Page'!AC26,'Regular Season'!S:S,'Summary Page'!AD26)</f>
        <v>8</v>
      </c>
      <c r="AS26" s="36">
        <f t="shared" si="3"/>
        <v>101.35600000000001</v>
      </c>
      <c r="AT26" s="47">
        <f t="shared" si="4"/>
        <v>-2.3288850574712683</v>
      </c>
      <c r="AU26" s="55">
        <f t="shared" si="5"/>
        <v>3.6407215467420428E-2</v>
      </c>
      <c r="AW26" s="53">
        <v>77</v>
      </c>
      <c r="AX26" s="7" t="s">
        <v>33</v>
      </c>
      <c r="AY26" s="59" t="s">
        <v>37</v>
      </c>
      <c r="AZ26" s="36">
        <v>115.92125000000001</v>
      </c>
      <c r="BA26" s="47">
        <v>-5.1650421348314666</v>
      </c>
      <c r="BB26" s="52">
        <v>16</v>
      </c>
      <c r="BC26" s="36">
        <v>90.24</v>
      </c>
      <c r="BD26" s="47">
        <v>-4.5459016393442511</v>
      </c>
      <c r="BE26" s="7">
        <v>5</v>
      </c>
      <c r="BF26" s="36">
        <v>109.80666666666667</v>
      </c>
      <c r="BG26" s="57">
        <v>-0.58413333333334094</v>
      </c>
      <c r="BH26" s="36">
        <v>112.256</v>
      </c>
      <c r="BI26" s="47">
        <v>-3.2886575342465818</v>
      </c>
      <c r="BJ26" s="52">
        <v>5</v>
      </c>
      <c r="BK26" s="36">
        <v>93.762499999999989</v>
      </c>
      <c r="BL26" s="47">
        <v>2.2336688311687709</v>
      </c>
      <c r="BM26" s="7">
        <v>16</v>
      </c>
      <c r="BN26" s="36">
        <v>98.165714285714259</v>
      </c>
      <c r="BO26" s="57">
        <v>-5.0508190476191004</v>
      </c>
      <c r="BP26" s="49">
        <v>4.4666857142857594</v>
      </c>
    </row>
    <row r="27" spans="2:68" ht="15" thickBot="1" x14ac:dyDescent="0.35">
      <c r="B27" s="7" t="s">
        <v>36</v>
      </c>
      <c r="C27" s="7">
        <f>COUNTIF(Playoffs!O:O,'Summary Page'!B27)</f>
        <v>9</v>
      </c>
      <c r="D27" s="7">
        <f>COUNTIF(Playoffs!P:P,'Summary Page'!B27)</f>
        <v>8</v>
      </c>
      <c r="E27" s="8">
        <f t="shared" si="7"/>
        <v>0.52941176470588236</v>
      </c>
      <c r="F27" s="10">
        <f>SUMIF(Playoffs!O:O,'Summary Page'!B27,Playoffs!Q:Q)+SUMIF(Playoffs!P:P,'Summary Page'!B27,Playoffs!R:R)</f>
        <v>1857.02</v>
      </c>
      <c r="G27" s="10">
        <f>COUNTIFS(Tables!C:C,'Summary Page'!B27,Tables!H:H,"Y")</f>
        <v>9</v>
      </c>
      <c r="H27" s="10">
        <f>COUNTIFS(Tables!E:E,"1",Tables!C:C,'Summary Page'!B27)</f>
        <v>2</v>
      </c>
      <c r="I27" s="10">
        <f>COUNTIFS(Tables!E:E,"1",Tables!C:C,'Summary Page'!B27)+COUNTIFS(Tables!E:E,"2",Tables!C:C,'Summary Page'!B27)+COUNTIFS(Tables!E:E,"3",Tables!C:C,'Summary Page'!B27)+COUNTIFS(Tables!E:E,"4",Tables!C:C,'Summary Page'!B27)</f>
        <v>5</v>
      </c>
      <c r="M27" s="27">
        <v>10</v>
      </c>
      <c r="N27" s="14" t="str">
        <f>VLOOKUP(M14,'Regular Season'!D:U,15,FALSE)</f>
        <v>Clay/Ryan</v>
      </c>
      <c r="O27" s="14" t="str">
        <f>VLOOKUP(M14,'Regular Season'!D:U,16,FALSE)</f>
        <v>Graham/Michael</v>
      </c>
      <c r="P27" s="14">
        <f>VLOOKUP(M14,'Regular Season'!D:U,5,FALSE)</f>
        <v>2013</v>
      </c>
      <c r="Q27" s="14">
        <f>VLOOKUP(M14,'Regular Season'!D:U,6,FALSE)</f>
        <v>2</v>
      </c>
      <c r="R27" s="22">
        <f>VLOOKUP(M14,'Regular Season'!D:U,14,FALSE)</f>
        <v>84.5</v>
      </c>
      <c r="T27" s="27">
        <v>10</v>
      </c>
      <c r="U27" s="14" t="str">
        <f>VLOOKUP(T27,'Regular Season'!E:U,14,FALSE)</f>
        <v>Graham/Michael</v>
      </c>
      <c r="V27" s="14" t="str">
        <f>VLOOKUP(T27,'Regular Season'!E:U,15,FALSE)</f>
        <v>Walker/Cory</v>
      </c>
      <c r="W27" s="14">
        <f>VLOOKUP(T27,'Regular Season'!E:U,4,FALSE)</f>
        <v>2019</v>
      </c>
      <c r="X27" s="14">
        <f>VLOOKUP(T27,'Regular Season'!E:U,5,FALSE)</f>
        <v>3</v>
      </c>
      <c r="Y27" s="22">
        <f>VLOOKUP(T27,'Regular Season'!E:U,12,FALSE)</f>
        <v>292.74</v>
      </c>
      <c r="Z27" s="46"/>
      <c r="AB27" s="53">
        <v>23</v>
      </c>
      <c r="AC27" s="7" t="s">
        <v>30</v>
      </c>
      <c r="AD27" s="7" t="s">
        <v>34</v>
      </c>
      <c r="AE27" s="36">
        <f>AVERAGEIFS('Regular Season'!T:T,'Regular Season'!R:R,'Summary Page'!AC27,'Regular Season'!S:S,'Summary Page'!AD27)</f>
        <v>126.67818181818183</v>
      </c>
      <c r="AF27" s="47">
        <f>AE27-VLOOKUP(AC27,'Summary Page (2)'!$B$5:$K$14,9,FALSE)</f>
        <v>4.978428731762051</v>
      </c>
      <c r="AG27" s="52">
        <f>COUNTIFS('Regular Season'!R:R,'Summary Page'!AC27,'Regular Season'!S:S,'Summary Page'!AD27)</f>
        <v>11</v>
      </c>
      <c r="AH27" s="36">
        <f>AVERAGEIFS('Regular Season'!U:U,'Regular Season'!S:S,'Summary Page'!AC27,'Regular Season'!R:R,'Summary Page'!AD27)</f>
        <v>100.96833333333332</v>
      </c>
      <c r="AI27" s="47">
        <f>AH27-VLOOKUP(AC27,'Summary Page (2)'!$B$5:$K$14,10,FALSE)</f>
        <v>6.0922463768116017</v>
      </c>
      <c r="AJ27" s="7">
        <f>COUNTIFS('Regular Season'!R:R,'Summary Page'!AD27,'Regular Season'!S:S,'Summary Page'!AC27)</f>
        <v>12</v>
      </c>
      <c r="AK27" s="36">
        <f t="shared" si="1"/>
        <v>113.26434782608695</v>
      </c>
      <c r="AL27" s="47">
        <f t="shared" si="2"/>
        <v>5.8292033174164288</v>
      </c>
      <c r="AM27" s="36">
        <f>AVERAGEIFS('Regular Season'!T:T,'Regular Season'!R:R,'Summary Page'!AD27,'Regular Season'!S:S,'Summary Page'!AC27)</f>
        <v>129.83666666666667</v>
      </c>
      <c r="AN27" s="47">
        <f>AM27-VLOOKUP(AD27,'Summary Page (2)'!$B$5:$K$14,9,FALSE)</f>
        <v>7.4940293040293113</v>
      </c>
      <c r="AO27" s="52">
        <f>COUNTIFS('Regular Season'!R:R,'Summary Page'!AD27,'Regular Season'!S:S,'Summary Page'!AC27)</f>
        <v>12</v>
      </c>
      <c r="AP27" s="36">
        <f>AVERAGEIFS('Regular Season'!U:U,'Regular Season'!S:S,'Summary Page'!AD27,'Regular Season'!R:R,'Summary Page'!AC27)</f>
        <v>92.761818181818171</v>
      </c>
      <c r="AQ27" s="47">
        <f>AP27-VLOOKUP(AD27,'Summary Page (2)'!$B$5:$K$14,10,FALSE)</f>
        <v>-3.6381818181818204</v>
      </c>
      <c r="AR27" s="7">
        <f>COUNTIFS('Regular Season'!R:R,'Summary Page'!AC27,'Regular Season'!S:S,'Summary Page'!AD27)</f>
        <v>11</v>
      </c>
      <c r="AS27" s="36">
        <f t="shared" si="3"/>
        <v>112.10521739130435</v>
      </c>
      <c r="AT27" s="47">
        <f t="shared" si="4"/>
        <v>2.1375162418790836</v>
      </c>
      <c r="AU27" s="55">
        <f t="shared" si="5"/>
        <v>3.6916870755373452</v>
      </c>
      <c r="AW27" s="53">
        <v>32</v>
      </c>
      <c r="AX27" s="7" t="s">
        <v>38</v>
      </c>
      <c r="AY27" s="59" t="s">
        <v>34</v>
      </c>
      <c r="AZ27" s="36">
        <v>115.28571428571429</v>
      </c>
      <c r="BA27" s="47">
        <v>-2.577500000000029</v>
      </c>
      <c r="BB27" s="52">
        <v>7</v>
      </c>
      <c r="BC27" s="36">
        <v>94.569090909090903</v>
      </c>
      <c r="BD27" s="47">
        <v>3.6733462282397937</v>
      </c>
      <c r="BE27" s="7">
        <v>11</v>
      </c>
      <c r="BF27" s="36">
        <v>102.62555555555555</v>
      </c>
      <c r="BG27" s="57">
        <v>1.6619555555555081</v>
      </c>
      <c r="BH27" s="36">
        <v>121.03454545454544</v>
      </c>
      <c r="BI27" s="47">
        <v>-1.3598849252013991</v>
      </c>
      <c r="BJ27" s="52">
        <v>11</v>
      </c>
      <c r="BK27" s="36">
        <v>87.205714285714279</v>
      </c>
      <c r="BL27" s="47">
        <v>-9.8376659959758541</v>
      </c>
      <c r="BM27" s="7">
        <v>7</v>
      </c>
      <c r="BN27" s="36">
        <v>107.87888888888887</v>
      </c>
      <c r="BO27" s="57">
        <v>-2.5160444444444465</v>
      </c>
      <c r="BP27" s="49">
        <v>4.1779999999999546</v>
      </c>
    </row>
    <row r="28" spans="2:68" ht="15" thickTop="1" x14ac:dyDescent="0.3">
      <c r="E28" s="42"/>
      <c r="F28" s="43"/>
      <c r="G28" s="43"/>
      <c r="H28" s="44"/>
      <c r="I28" s="44"/>
      <c r="N28" s="42"/>
      <c r="O28" s="43"/>
      <c r="P28" s="45"/>
      <c r="U28" s="44"/>
      <c r="W28" s="45"/>
      <c r="Y28" s="45"/>
      <c r="Z28" s="45"/>
      <c r="AA28" s="45"/>
      <c r="AB28" s="53">
        <v>24</v>
      </c>
      <c r="AC28" s="7" t="s">
        <v>30</v>
      </c>
      <c r="AD28" s="7" t="s">
        <v>29</v>
      </c>
      <c r="AE28" s="36">
        <f>AVERAGEIFS('Regular Season'!T:T,'Regular Season'!R:R,'Summary Page'!AC28,'Regular Season'!S:S,'Summary Page'!AD28)</f>
        <v>126.32599999999999</v>
      </c>
      <c r="AF28" s="47">
        <f>AE28-VLOOKUP(AC28,'Summary Page (2)'!$B$5:$K$14,9,FALSE)</f>
        <v>4.6262469135802178</v>
      </c>
      <c r="AG28" s="52">
        <f>COUNTIFS('Regular Season'!R:R,'Summary Page'!AC28,'Regular Season'!S:S,'Summary Page'!AD28)</f>
        <v>10</v>
      </c>
      <c r="AH28" s="36">
        <f>AVERAGEIFS('Regular Season'!U:U,'Regular Season'!S:S,'Summary Page'!AC28,'Regular Season'!R:R,'Summary Page'!AD28)</f>
        <v>89.965999999999994</v>
      </c>
      <c r="AI28" s="47">
        <f>AH28-VLOOKUP(AC28,'Summary Page (2)'!$B$5:$K$14,10,FALSE)</f>
        <v>-4.9100869565217238</v>
      </c>
      <c r="AJ28" s="7">
        <f>COUNTIFS('Regular Season'!R:R,'Summary Page'!AD28,'Regular Season'!S:S,'Summary Page'!AC28)</f>
        <v>10</v>
      </c>
      <c r="AK28" s="36">
        <f t="shared" si="1"/>
        <v>108.146</v>
      </c>
      <c r="AL28" s="47">
        <f t="shared" si="2"/>
        <v>0.71085549132948245</v>
      </c>
      <c r="AM28" s="36">
        <f>AVERAGEIFS('Regular Season'!T:T,'Regular Season'!R:R,'Summary Page'!AD28,'Regular Season'!S:S,'Summary Page'!AC28)</f>
        <v>119.58599999999998</v>
      </c>
      <c r="AN28" s="47">
        <f>AM28-VLOOKUP(AD28,'Summary Page (2)'!$B$5:$K$14,9,FALSE)</f>
        <v>-5.5726666666666631</v>
      </c>
      <c r="AO28" s="52">
        <f>COUNTIFS('Regular Season'!R:R,'Summary Page'!AD28,'Regular Season'!S:S,'Summary Page'!AC28)</f>
        <v>10</v>
      </c>
      <c r="AP28" s="36">
        <f>AVERAGEIFS('Regular Season'!U:U,'Regular Season'!S:S,'Summary Page'!AD28,'Regular Season'!R:R,'Summary Page'!AC28)</f>
        <v>97.685999999999993</v>
      </c>
      <c r="AQ28" s="47">
        <f>AP28-VLOOKUP(AD28,'Summary Page (2)'!$B$5:$K$14,10,FALSE)</f>
        <v>-1.261142857142886</v>
      </c>
      <c r="AR28" s="7">
        <f>COUNTIFS('Regular Season'!R:R,'Summary Page'!AC28,'Regular Season'!S:S,'Summary Page'!AD28)</f>
        <v>10</v>
      </c>
      <c r="AS28" s="36">
        <f t="shared" si="3"/>
        <v>108.636</v>
      </c>
      <c r="AT28" s="47">
        <f t="shared" si="4"/>
        <v>-3.8688275862069048</v>
      </c>
      <c r="AU28" s="55">
        <f t="shared" si="5"/>
        <v>4.5796830775363873</v>
      </c>
      <c r="AW28" s="53">
        <v>30</v>
      </c>
      <c r="AX28" s="7" t="s">
        <v>38</v>
      </c>
      <c r="AY28" s="59" t="s">
        <v>30</v>
      </c>
      <c r="AZ28" s="36">
        <v>114.77272727272727</v>
      </c>
      <c r="BA28" s="47">
        <v>-3.0904870129870545</v>
      </c>
      <c r="BB28" s="52">
        <v>11</v>
      </c>
      <c r="BC28" s="36">
        <v>89.135999999999996</v>
      </c>
      <c r="BD28" s="47">
        <v>-1.7597446808511137</v>
      </c>
      <c r="BE28" s="7">
        <v>10</v>
      </c>
      <c r="BF28" s="36">
        <v>102.56476190476189</v>
      </c>
      <c r="BG28" s="57">
        <v>1.6011619047618524</v>
      </c>
      <c r="BH28" s="36">
        <v>119.828</v>
      </c>
      <c r="BI28" s="47">
        <v>-2.654631578947388</v>
      </c>
      <c r="BJ28" s="52">
        <v>10</v>
      </c>
      <c r="BK28" s="36">
        <v>95.723636363636373</v>
      </c>
      <c r="BL28" s="47">
        <v>-0.59420147420146918</v>
      </c>
      <c r="BM28" s="7">
        <v>11</v>
      </c>
      <c r="BN28" s="36">
        <v>107.20190476190476</v>
      </c>
      <c r="BO28" s="57">
        <v>-2.3727619047619442</v>
      </c>
      <c r="BP28" s="49">
        <v>3.9739238095237965</v>
      </c>
    </row>
    <row r="29" spans="2:68" x14ac:dyDescent="0.3">
      <c r="AB29" s="53">
        <v>25</v>
      </c>
      <c r="AC29" s="7" t="s">
        <v>30</v>
      </c>
      <c r="AD29" s="7" t="s">
        <v>31</v>
      </c>
      <c r="AE29" s="36">
        <f>AVERAGEIFS('Regular Season'!T:T,'Regular Season'!R:R,'Summary Page'!AC29,'Regular Season'!S:S,'Summary Page'!AD29)</f>
        <v>108.73333333333333</v>
      </c>
      <c r="AF29" s="47">
        <f>AE29-VLOOKUP(AC29,'Summary Page (2)'!$B$5:$K$14,9,FALSE)</f>
        <v>-12.966419753086441</v>
      </c>
      <c r="AG29" s="52">
        <f>COUNTIFS('Regular Season'!R:R,'Summary Page'!AC29,'Regular Season'!S:S,'Summary Page'!AD29)</f>
        <v>9</v>
      </c>
      <c r="AH29" s="36">
        <f>AVERAGEIFS('Regular Season'!U:U,'Regular Season'!S:S,'Summary Page'!AC29,'Regular Season'!R:R,'Summary Page'!AD29)</f>
        <v>94.25</v>
      </c>
      <c r="AI29" s="47">
        <f>AH29-VLOOKUP(AC29,'Summary Page (2)'!$B$5:$K$14,10,FALSE)</f>
        <v>-0.62608695652171775</v>
      </c>
      <c r="AJ29" s="7">
        <f>COUNTIFS('Regular Season'!R:R,'Summary Page'!AD29,'Regular Season'!S:S,'Summary Page'!AC29)</f>
        <v>10</v>
      </c>
      <c r="AK29" s="36">
        <f t="shared" si="1"/>
        <v>101.11052631578947</v>
      </c>
      <c r="AL29" s="47">
        <f t="shared" si="2"/>
        <v>-6.3246181928810472</v>
      </c>
      <c r="AM29" s="36">
        <f>AVERAGEIFS('Regular Season'!T:T,'Regular Season'!R:R,'Summary Page'!AD29,'Regular Season'!S:S,'Summary Page'!AC29)</f>
        <v>128.44800000000001</v>
      </c>
      <c r="AN29" s="47">
        <f>AM29-VLOOKUP(AD29,'Summary Page (2)'!$B$5:$K$14,9,FALSE)</f>
        <v>8.0056190476190778</v>
      </c>
      <c r="AO29" s="52">
        <f>COUNTIFS('Regular Season'!R:R,'Summary Page'!AD29,'Regular Season'!S:S,'Summary Page'!AC29)</f>
        <v>10</v>
      </c>
      <c r="AP29" s="36">
        <f>AVERAGEIFS('Regular Season'!U:U,'Regular Season'!S:S,'Summary Page'!AD29,'Regular Season'!R:R,'Summary Page'!AC29)</f>
        <v>86.457777777777778</v>
      </c>
      <c r="AQ29" s="47">
        <f>AP29-VLOOKUP(AD29,'Summary Page (2)'!$B$5:$K$14,10,FALSE)</f>
        <v>-8.0479040404040774</v>
      </c>
      <c r="AR29" s="7">
        <f>COUNTIFS('Regular Season'!R:R,'Summary Page'!AC29,'Regular Season'!S:S,'Summary Page'!AD29)</f>
        <v>9</v>
      </c>
      <c r="AS29" s="36">
        <f t="shared" si="3"/>
        <v>108.5578947368421</v>
      </c>
      <c r="AT29" s="47">
        <f t="shared" si="4"/>
        <v>1.3854528763769594</v>
      </c>
      <c r="AU29" s="55">
        <f t="shared" si="5"/>
        <v>-7.7100710692580066</v>
      </c>
      <c r="AW29" s="53">
        <v>18</v>
      </c>
      <c r="AX29" s="7" t="s">
        <v>35</v>
      </c>
      <c r="AY29" s="59" t="s">
        <v>36</v>
      </c>
      <c r="AZ29" s="36">
        <v>119.69833333333334</v>
      </c>
      <c r="BA29" s="47">
        <v>0.71985232067510196</v>
      </c>
      <c r="BB29" s="52">
        <v>12</v>
      </c>
      <c r="BC29" s="36">
        <v>96.411111111111126</v>
      </c>
      <c r="BD29" s="47">
        <v>3.5891392801251953</v>
      </c>
      <c r="BE29" s="7">
        <v>9</v>
      </c>
      <c r="BF29" s="36">
        <v>109.71809523809526</v>
      </c>
      <c r="BG29" s="57">
        <v>3.1203619047619071</v>
      </c>
      <c r="BH29" s="36">
        <v>123.4088888888889</v>
      </c>
      <c r="BI29" s="47">
        <v>5.8223035230352593</v>
      </c>
      <c r="BJ29" s="52">
        <v>9</v>
      </c>
      <c r="BK29" s="36">
        <v>92.13</v>
      </c>
      <c r="BL29" s="47">
        <v>-0.59352941176470608</v>
      </c>
      <c r="BM29" s="7">
        <v>12</v>
      </c>
      <c r="BN29" s="36">
        <v>105.53523809523809</v>
      </c>
      <c r="BO29" s="57">
        <v>-0.78009523809524239</v>
      </c>
      <c r="BP29" s="49">
        <v>3.9004571428571495</v>
      </c>
    </row>
    <row r="30" spans="2:68" x14ac:dyDescent="0.3">
      <c r="B30" s="82" t="s">
        <v>50</v>
      </c>
      <c r="C30" s="82"/>
      <c r="D30" s="37" t="s">
        <v>29</v>
      </c>
      <c r="E30" s="37"/>
      <c r="F30" s="61"/>
      <c r="AB30" s="53">
        <v>26</v>
      </c>
      <c r="AC30" s="7" t="s">
        <v>30</v>
      </c>
      <c r="AD30" s="7" t="s">
        <v>33</v>
      </c>
      <c r="AE30" s="36">
        <f>AVERAGEIFS('Regular Season'!T:T,'Regular Season'!R:R,'Summary Page'!AC30,'Regular Season'!S:S,'Summary Page'!AD30)</f>
        <v>117.58</v>
      </c>
      <c r="AF30" s="47">
        <f>AE30-VLOOKUP(AC30,'Summary Page (2)'!$B$5:$K$14,9,FALSE)</f>
        <v>-4.1197530864197773</v>
      </c>
      <c r="AG30" s="52">
        <f>COUNTIFS('Regular Season'!R:R,'Summary Page'!AC30,'Regular Season'!S:S,'Summary Page'!AD30)</f>
        <v>4</v>
      </c>
      <c r="AH30" s="36">
        <f>AVERAGEIFS('Regular Season'!U:U,'Regular Season'!S:S,'Summary Page'!AC30,'Regular Season'!R:R,'Summary Page'!AD30)</f>
        <v>94.725000000000009</v>
      </c>
      <c r="AI30" s="47">
        <f>AH30-VLOOKUP(AC30,'Summary Page (2)'!$B$5:$K$14,10,FALSE)</f>
        <v>-0.15108695652170923</v>
      </c>
      <c r="AJ30" s="7">
        <f>COUNTIFS('Regular Season'!R:R,'Summary Page'!AD30,'Regular Season'!S:S,'Summary Page'!AC30)</f>
        <v>8</v>
      </c>
      <c r="AK30" s="36">
        <f t="shared" si="1"/>
        <v>102.34333333333335</v>
      </c>
      <c r="AL30" s="47">
        <f t="shared" si="2"/>
        <v>-5.0918111753371704</v>
      </c>
      <c r="AM30" s="36">
        <f>AVERAGEIFS('Regular Season'!T:T,'Regular Season'!R:R,'Summary Page'!AD30,'Regular Season'!S:S,'Summary Page'!AC30)</f>
        <v>115.95750000000001</v>
      </c>
      <c r="AN30" s="47">
        <f>AM30-VLOOKUP(AD30,'Summary Page (2)'!$B$5:$K$14,9,FALSE)</f>
        <v>-4.7987745098039198</v>
      </c>
      <c r="AO30" s="52">
        <f>COUNTIFS('Regular Season'!R:R,'Summary Page'!AD30,'Regular Season'!S:S,'Summary Page'!AC30)</f>
        <v>8</v>
      </c>
      <c r="AP30" s="36">
        <f>AVERAGEIFS('Regular Season'!U:U,'Regular Season'!S:S,'Summary Page'!AD30,'Regular Season'!R:R,'Summary Page'!AC30)</f>
        <v>86.710000000000008</v>
      </c>
      <c r="AQ30" s="47">
        <f>AP30-VLOOKUP(AD30,'Summary Page (2)'!$B$5:$K$14,10,FALSE)</f>
        <v>-9.9824324324324039</v>
      </c>
      <c r="AR30" s="7">
        <f>COUNTIFS('Regular Season'!R:R,'Summary Page'!AC30,'Regular Season'!S:S,'Summary Page'!AD30)</f>
        <v>4</v>
      </c>
      <c r="AS30" s="36">
        <f t="shared" si="3"/>
        <v>106.20833333333333</v>
      </c>
      <c r="AT30" s="47">
        <f t="shared" si="4"/>
        <v>-4.4301893939394006</v>
      </c>
      <c r="AU30" s="55">
        <f t="shared" si="5"/>
        <v>-0.66162178139776984</v>
      </c>
      <c r="AW30" s="53">
        <v>11</v>
      </c>
      <c r="AX30" s="7" t="s">
        <v>35</v>
      </c>
      <c r="AY30" s="59" t="s">
        <v>30</v>
      </c>
      <c r="AZ30" s="36">
        <v>124.1425</v>
      </c>
      <c r="BA30" s="47">
        <v>5.1640189873417626</v>
      </c>
      <c r="BB30" s="52">
        <v>8</v>
      </c>
      <c r="BC30" s="36">
        <v>94.695999999999998</v>
      </c>
      <c r="BD30" s="47">
        <v>1.8740281690140677</v>
      </c>
      <c r="BE30" s="7">
        <v>10</v>
      </c>
      <c r="BF30" s="36">
        <v>107.78333333333333</v>
      </c>
      <c r="BG30" s="57">
        <v>1.1855999999999796</v>
      </c>
      <c r="BH30" s="36">
        <v>118.03</v>
      </c>
      <c r="BI30" s="47">
        <v>-4.4526315789473898</v>
      </c>
      <c r="BJ30" s="52">
        <v>10</v>
      </c>
      <c r="BK30" s="36">
        <v>93.664999999999992</v>
      </c>
      <c r="BL30" s="47">
        <v>-2.6528378378378505</v>
      </c>
      <c r="BM30" s="7">
        <v>8</v>
      </c>
      <c r="BN30" s="36">
        <v>107.2011111111111</v>
      </c>
      <c r="BO30" s="57">
        <v>-2.3735555555555976</v>
      </c>
      <c r="BP30" s="49">
        <v>3.5591555555555772</v>
      </c>
    </row>
    <row r="31" spans="2:68" x14ac:dyDescent="0.3">
      <c r="B31" s="24"/>
      <c r="C31" s="24"/>
      <c r="D31" s="28"/>
      <c r="E31" s="28"/>
      <c r="AB31" s="53">
        <v>27</v>
      </c>
      <c r="AC31" s="7" t="s">
        <v>30</v>
      </c>
      <c r="AD31" s="7" t="s">
        <v>36</v>
      </c>
      <c r="AE31" s="36">
        <f>AVERAGEIFS('Regular Season'!T:T,'Regular Season'!R:R,'Summary Page'!AC31,'Regular Season'!S:S,'Summary Page'!AD31)</f>
        <v>134.45400000000001</v>
      </c>
      <c r="AF31" s="47">
        <f>AE31-VLOOKUP(AC31,'Summary Page (2)'!$B$5:$K$14,9,FALSE)</f>
        <v>12.754246913580232</v>
      </c>
      <c r="AG31" s="52">
        <f>COUNTIFS('Regular Season'!R:R,'Summary Page'!AC31,'Regular Season'!S:S,'Summary Page'!AD31)</f>
        <v>10</v>
      </c>
      <c r="AH31" s="36">
        <f>AVERAGEIFS('Regular Season'!U:U,'Regular Season'!S:S,'Summary Page'!AC31,'Regular Season'!R:R,'Summary Page'!AD31)</f>
        <v>97.373749999999987</v>
      </c>
      <c r="AI31" s="47">
        <f>AH31-VLOOKUP(AC31,'Summary Page (2)'!$B$5:$K$14,10,FALSE)</f>
        <v>2.4976630434782692</v>
      </c>
      <c r="AJ31" s="7">
        <f>COUNTIFS('Regular Season'!R:R,'Summary Page'!AD31,'Regular Season'!S:S,'Summary Page'!AC31)</f>
        <v>16</v>
      </c>
      <c r="AK31" s="36">
        <f t="shared" si="1"/>
        <v>111.6353846153846</v>
      </c>
      <c r="AL31" s="47">
        <f t="shared" si="2"/>
        <v>4.2002401067140767</v>
      </c>
      <c r="AM31" s="36">
        <f>AVERAGEIFS('Regular Season'!T:T,'Regular Season'!R:R,'Summary Page'!AD31,'Regular Season'!S:S,'Summary Page'!AC31)</f>
        <v>114.71875</v>
      </c>
      <c r="AN31" s="47">
        <f>AM31-VLOOKUP(AD31,'Summary Page (2)'!$B$5:$K$14,9,FALSE)</f>
        <v>-1.3590760869564775</v>
      </c>
      <c r="AO31" s="52">
        <f>COUNTIFS('Regular Season'!R:R,'Summary Page'!AD31,'Regular Season'!S:S,'Summary Page'!AC31)</f>
        <v>16</v>
      </c>
      <c r="AP31" s="36">
        <f>AVERAGEIFS('Regular Season'!U:U,'Regular Season'!S:S,'Summary Page'!AD31,'Regular Season'!R:R,'Summary Page'!AC31)</f>
        <v>91.804000000000002</v>
      </c>
      <c r="AQ31" s="47">
        <f>AP31-VLOOKUP(AD31,'Summary Page (2)'!$B$5:$K$14,10,FALSE)</f>
        <v>-2.9662439024390039</v>
      </c>
      <c r="AR31" s="7">
        <f>COUNTIFS('Regular Season'!R:R,'Summary Page'!AC31,'Regular Season'!S:S,'Summary Page'!AD31)</f>
        <v>10</v>
      </c>
      <c r="AS31" s="36">
        <f t="shared" si="3"/>
        <v>105.90538461538462</v>
      </c>
      <c r="AT31" s="47">
        <f t="shared" si="4"/>
        <v>-0.13093722369582395</v>
      </c>
      <c r="AU31" s="55">
        <f t="shared" si="5"/>
        <v>4.3311773304099006</v>
      </c>
      <c r="AW31" s="53">
        <v>58</v>
      </c>
      <c r="AX31" s="7" t="s">
        <v>29</v>
      </c>
      <c r="AY31" s="59" t="s">
        <v>38</v>
      </c>
      <c r="AZ31" s="36">
        <v>112.14749999999999</v>
      </c>
      <c r="BA31" s="47">
        <v>-10.279444444444451</v>
      </c>
      <c r="BB31" s="52">
        <v>8</v>
      </c>
      <c r="BC31" s="36">
        <v>95.333333333333329</v>
      </c>
      <c r="BD31" s="47">
        <v>-3.0635897435897732</v>
      </c>
      <c r="BE31" s="7">
        <v>3</v>
      </c>
      <c r="BF31" s="36">
        <v>107.56181818181817</v>
      </c>
      <c r="BG31" s="57">
        <v>-2.3695151515151736</v>
      </c>
      <c r="BH31" s="36">
        <v>107.5</v>
      </c>
      <c r="BI31" s="47">
        <v>-10.363214285714321</v>
      </c>
      <c r="BJ31" s="52">
        <v>3</v>
      </c>
      <c r="BK31" s="36">
        <v>90.767499999999998</v>
      </c>
      <c r="BL31" s="47">
        <v>-0.12824468085111107</v>
      </c>
      <c r="BM31" s="7">
        <v>8</v>
      </c>
      <c r="BN31" s="36">
        <v>95.330909090909074</v>
      </c>
      <c r="BO31" s="57">
        <v>-5.632690909090968</v>
      </c>
      <c r="BP31" s="49">
        <v>3.2631757575757945</v>
      </c>
    </row>
    <row r="32" spans="2:68" x14ac:dyDescent="0.3">
      <c r="B32" s="38" t="s">
        <v>83</v>
      </c>
      <c r="C32" s="80" t="s">
        <v>67</v>
      </c>
      <c r="D32" s="80"/>
      <c r="E32" s="80"/>
      <c r="F32" s="81" t="s">
        <v>68</v>
      </c>
      <c r="G32" s="81"/>
      <c r="H32" s="81"/>
      <c r="I32" s="81" t="s">
        <v>51</v>
      </c>
      <c r="J32" s="81"/>
      <c r="K32" s="81"/>
      <c r="AB32" s="53">
        <v>28</v>
      </c>
      <c r="AC32" s="7" t="s">
        <v>38</v>
      </c>
      <c r="AD32" s="7" t="s">
        <v>32</v>
      </c>
      <c r="AE32" s="36">
        <f>AVERAGEIFS('Regular Season'!T:T,'Regular Season'!R:R,'Summary Page'!AC32,'Regular Season'!S:S,'Summary Page'!AD32)</f>
        <v>116.73333333333332</v>
      </c>
      <c r="AF32" s="47">
        <f>AE32-VLOOKUP(AC32,'Summary Page (2)'!$B$5:$K$14,9,FALSE)</f>
        <v>-2.4547826086956803</v>
      </c>
      <c r="AG32" s="52">
        <f>COUNTIFS('Regular Season'!R:R,'Summary Page'!AC32,'Regular Season'!S:S,'Summary Page'!AD32)</f>
        <v>9</v>
      </c>
      <c r="AH32" s="36">
        <f>AVERAGEIFS('Regular Season'!U:U,'Regular Season'!S:S,'Summary Page'!AC32,'Regular Season'!R:R,'Summary Page'!AD32)</f>
        <v>92.36399999999999</v>
      </c>
      <c r="AI32" s="47">
        <f>AH32-VLOOKUP(AC32,'Summary Page (2)'!$B$5:$K$14,10,FALSE)</f>
        <v>1.8175849056602971</v>
      </c>
      <c r="AJ32" s="7">
        <f>COUNTIFS('Regular Season'!R:R,'Summary Page'!AD32,'Regular Season'!S:S,'Summary Page'!AC32)</f>
        <v>10</v>
      </c>
      <c r="AK32" s="36">
        <f t="shared" si="1"/>
        <v>103.90736842105262</v>
      </c>
      <c r="AL32" s="47">
        <f t="shared" si="2"/>
        <v>2.0679398496239969</v>
      </c>
      <c r="AM32" s="36">
        <f>AVERAGEIFS('Regular Season'!T:T,'Regular Season'!R:R,'Summary Page'!AD32,'Regular Season'!S:S,'Summary Page'!AC32)</f>
        <v>112.822</v>
      </c>
      <c r="AN32" s="47">
        <f>AM32-VLOOKUP(AD32,'Summary Page (2)'!$B$5:$K$14,9,FALSE)</f>
        <v>-5.1149767441860234</v>
      </c>
      <c r="AO32" s="52">
        <f>COUNTIFS('Regular Season'!R:R,'Summary Page'!AD32,'Regular Season'!S:S,'Summary Page'!AC32)</f>
        <v>10</v>
      </c>
      <c r="AP32" s="36">
        <f>AVERAGEIFS('Regular Season'!U:U,'Regular Season'!S:S,'Summary Page'!AD32,'Regular Season'!R:R,'Summary Page'!AC32)</f>
        <v>98.668888888888887</v>
      </c>
      <c r="AQ32" s="47">
        <f>AP32-VLOOKUP(AD32,'Summary Page (2)'!$B$5:$K$14,10,FALSE)</f>
        <v>4.575707070707054</v>
      </c>
      <c r="AR32" s="7">
        <f>COUNTIFS('Regular Season'!R:R,'Summary Page'!AC32,'Regular Season'!S:S,'Summary Page'!AD32)</f>
        <v>9</v>
      </c>
      <c r="AS32" s="36">
        <f t="shared" si="3"/>
        <v>106.1178947368421</v>
      </c>
      <c r="AT32" s="47">
        <f t="shared" si="4"/>
        <v>0.23984875983062182</v>
      </c>
      <c r="AU32" s="55">
        <f t="shared" si="5"/>
        <v>1.8280910897933751</v>
      </c>
      <c r="AW32" s="53">
        <v>76</v>
      </c>
      <c r="AX32" s="7" t="s">
        <v>33</v>
      </c>
      <c r="AY32" s="59" t="s">
        <v>38</v>
      </c>
      <c r="AZ32" s="36">
        <v>124.09454545454545</v>
      </c>
      <c r="BA32" s="47">
        <v>3.0082533197139725</v>
      </c>
      <c r="BB32" s="52">
        <v>11</v>
      </c>
      <c r="BC32" s="36">
        <v>93.772000000000006</v>
      </c>
      <c r="BD32" s="47">
        <v>-1.0139016393442404</v>
      </c>
      <c r="BE32" s="7">
        <v>5</v>
      </c>
      <c r="BF32" s="36">
        <v>114.61875000000001</v>
      </c>
      <c r="BG32" s="57">
        <v>4.2279499999999928</v>
      </c>
      <c r="BH32" s="36">
        <v>119.256</v>
      </c>
      <c r="BI32" s="47">
        <v>1.3927857142856794</v>
      </c>
      <c r="BJ32" s="52">
        <v>5</v>
      </c>
      <c r="BK32" s="36">
        <v>94.092727272727274</v>
      </c>
      <c r="BL32" s="47">
        <v>3.1969825918761643</v>
      </c>
      <c r="BM32" s="7">
        <v>11</v>
      </c>
      <c r="BN32" s="36">
        <v>101.95625</v>
      </c>
      <c r="BO32" s="57">
        <v>0.99264999999995496</v>
      </c>
      <c r="BP32" s="49">
        <v>3.2353000000000378</v>
      </c>
    </row>
    <row r="33" spans="2:68" x14ac:dyDescent="0.3">
      <c r="B33" s="17" t="s">
        <v>52</v>
      </c>
      <c r="C33" s="12" t="s">
        <v>3</v>
      </c>
      <c r="D33" s="12" t="s">
        <v>4</v>
      </c>
      <c r="E33" s="13" t="s">
        <v>42</v>
      </c>
      <c r="F33" s="12" t="s">
        <v>3</v>
      </c>
      <c r="G33" s="12" t="s">
        <v>4</v>
      </c>
      <c r="H33" s="13" t="s">
        <v>42</v>
      </c>
      <c r="I33" s="12" t="s">
        <v>3</v>
      </c>
      <c r="J33" s="12" t="s">
        <v>4</v>
      </c>
      <c r="K33" s="13" t="s">
        <v>42</v>
      </c>
      <c r="AB33" s="53">
        <v>29</v>
      </c>
      <c r="AC33" s="7" t="s">
        <v>38</v>
      </c>
      <c r="AD33" s="7" t="s">
        <v>35</v>
      </c>
      <c r="AE33" s="36">
        <f>AVERAGEIFS('Regular Season'!T:T,'Regular Season'!R:R,'Summary Page'!AC33,'Regular Season'!S:S,'Summary Page'!AD33)</f>
        <v>129.02500000000001</v>
      </c>
      <c r="AF33" s="47">
        <f>AE33-VLOOKUP(AC33,'Summary Page (2)'!$B$5:$K$14,9,FALSE)</f>
        <v>9.8368840579710053</v>
      </c>
      <c r="AG33" s="52">
        <f>COUNTIFS('Regular Season'!R:R,'Summary Page'!AC33,'Regular Season'!S:S,'Summary Page'!AD33)</f>
        <v>8</v>
      </c>
      <c r="AH33" s="36">
        <f>AVERAGEIFS('Regular Season'!U:U,'Regular Season'!S:S,'Summary Page'!AC33,'Regular Season'!R:R,'Summary Page'!AD33)</f>
        <v>93.478666666666669</v>
      </c>
      <c r="AI33" s="47">
        <f>AH33-VLOOKUP(AC33,'Summary Page (2)'!$B$5:$K$14,10,FALSE)</f>
        <v>2.932251572326976</v>
      </c>
      <c r="AJ33" s="7">
        <f>COUNTIFS('Regular Season'!R:R,'Summary Page'!AD33,'Regular Season'!S:S,'Summary Page'!AC33)</f>
        <v>15</v>
      </c>
      <c r="AK33" s="36">
        <f t="shared" si="1"/>
        <v>105.84260869565217</v>
      </c>
      <c r="AL33" s="47">
        <f t="shared" si="2"/>
        <v>4.0031801242235474</v>
      </c>
      <c r="AM33" s="36">
        <f>AVERAGEIFS('Regular Season'!T:T,'Regular Season'!R:R,'Summary Page'!AD33,'Regular Season'!S:S,'Summary Page'!AC33)</f>
        <v>116.82400000000001</v>
      </c>
      <c r="AN33" s="47">
        <f>AM33-VLOOKUP(AD33,'Summary Page (2)'!$B$5:$K$14,9,FALSE)</f>
        <v>-2.6495483870967718</v>
      </c>
      <c r="AO33" s="52">
        <f>COUNTIFS('Regular Season'!R:R,'Summary Page'!AD33,'Regular Season'!S:S,'Summary Page'!AC33)</f>
        <v>15</v>
      </c>
      <c r="AP33" s="36">
        <f>AVERAGEIFS('Regular Season'!U:U,'Regular Season'!S:S,'Summary Page'!AD33,'Regular Season'!R:R,'Summary Page'!AC33)</f>
        <v>96.59</v>
      </c>
      <c r="AQ33" s="47">
        <f>AP33-VLOOKUP(AD33,'Summary Page (2)'!$B$5:$K$14,10,FALSE)</f>
        <v>3.5166666666666515</v>
      </c>
      <c r="AR33" s="7">
        <f>COUNTIFS('Regular Season'!R:R,'Summary Page'!AC33,'Regular Season'!S:S,'Summary Page'!AD33)</f>
        <v>8</v>
      </c>
      <c r="AS33" s="36">
        <f t="shared" si="3"/>
        <v>109.78608695652174</v>
      </c>
      <c r="AT33" s="47">
        <f t="shared" si="4"/>
        <v>2.6022938530734478</v>
      </c>
      <c r="AU33" s="55">
        <f t="shared" si="5"/>
        <v>1.4008862711500996</v>
      </c>
      <c r="AW33" s="53">
        <v>13</v>
      </c>
      <c r="AX33" s="7" t="s">
        <v>35</v>
      </c>
      <c r="AY33" s="59" t="s">
        <v>37</v>
      </c>
      <c r="AZ33" s="36">
        <v>117.83400000000002</v>
      </c>
      <c r="BA33" s="47">
        <v>-1.1444810126582183</v>
      </c>
      <c r="BB33" s="52">
        <v>10</v>
      </c>
      <c r="BC33" s="36">
        <v>101.12</v>
      </c>
      <c r="BD33" s="47">
        <v>8.2980281690140743</v>
      </c>
      <c r="BE33" s="7">
        <v>6</v>
      </c>
      <c r="BF33" s="36">
        <v>111.56625000000001</v>
      </c>
      <c r="BG33" s="57">
        <v>4.9685166666666589</v>
      </c>
      <c r="BH33" s="36">
        <v>125.35000000000002</v>
      </c>
      <c r="BI33" s="47">
        <v>9.8053424657534407</v>
      </c>
      <c r="BJ33" s="52">
        <v>6</v>
      </c>
      <c r="BK33" s="36">
        <v>92.842000000000013</v>
      </c>
      <c r="BL33" s="47">
        <v>1.3131688311687952</v>
      </c>
      <c r="BM33" s="7">
        <v>10</v>
      </c>
      <c r="BN33" s="36">
        <v>105.03250000000001</v>
      </c>
      <c r="BO33" s="57">
        <v>1.8159666666666539</v>
      </c>
      <c r="BP33" s="49">
        <v>3.1525500000000051</v>
      </c>
    </row>
    <row r="34" spans="2:68" x14ac:dyDescent="0.3">
      <c r="B34" s="7" t="s">
        <v>32</v>
      </c>
      <c r="C34" s="7">
        <f>COUNTIFS('Regular Season'!R:R,'Summary Page'!$D$30,'Regular Season'!S:S,'Summary Page'!B34)</f>
        <v>11</v>
      </c>
      <c r="D34" s="7">
        <f>COUNTIFS('Regular Season'!S:S,'Summary Page'!$D$30,'Regular Season'!R:R,'Summary Page'!B34)</f>
        <v>9</v>
      </c>
      <c r="E34" s="8">
        <f>IFERROR(C34/SUM(C34:D34),"")</f>
        <v>0.55000000000000004</v>
      </c>
      <c r="F34" s="7">
        <f>COUNTIFS(Playoffs!O:O,'Summary Page'!$D$30,Playoffs!P:P,'Summary Page'!B34)</f>
        <v>1</v>
      </c>
      <c r="G34" s="7">
        <f>COUNTIFS(Playoffs!P:P,'Summary Page'!$D$30,Playoffs!O:O,'Summary Page'!B34)</f>
        <v>1</v>
      </c>
      <c r="H34" s="8">
        <f>IFERROR(F34/SUM(F34:G34),"")</f>
        <v>0.5</v>
      </c>
      <c r="I34" s="7">
        <f>C34+F34</f>
        <v>12</v>
      </c>
      <c r="J34" s="7">
        <f>D34+G34</f>
        <v>10</v>
      </c>
      <c r="K34" s="8">
        <f>IFERROR(I34/SUM(I34:J34),"")</f>
        <v>0.54545454545454541</v>
      </c>
      <c r="AB34" s="53">
        <v>30</v>
      </c>
      <c r="AC34" s="7" t="s">
        <v>38</v>
      </c>
      <c r="AD34" s="7" t="s">
        <v>30</v>
      </c>
      <c r="AE34" s="36">
        <f>AVERAGEIFS('Regular Season'!T:T,'Regular Season'!R:R,'Summary Page'!AC34,'Regular Season'!S:S,'Summary Page'!AD34)</f>
        <v>116.11692307692307</v>
      </c>
      <c r="AF34" s="47">
        <f>AE34-VLOOKUP(AC34,'Summary Page (2)'!$B$5:$K$14,9,FALSE)</f>
        <v>-3.0711928651059281</v>
      </c>
      <c r="AG34" s="52">
        <f>COUNTIFS('Regular Season'!R:R,'Summary Page'!AC34,'Regular Season'!S:S,'Summary Page'!AD34)</f>
        <v>13</v>
      </c>
      <c r="AH34" s="36">
        <f>AVERAGEIFS('Regular Season'!U:U,'Regular Season'!S:S,'Summary Page'!AC34,'Regular Season'!R:R,'Summary Page'!AD34)</f>
        <v>91.009090909090915</v>
      </c>
      <c r="AI34" s="47">
        <f>AH34-VLOOKUP(AC34,'Summary Page (2)'!$B$5:$K$14,10,FALSE)</f>
        <v>0.46267581475122199</v>
      </c>
      <c r="AJ34" s="7">
        <f>COUNTIFS('Regular Season'!R:R,'Summary Page'!AD34,'Regular Season'!S:S,'Summary Page'!AC34)</f>
        <v>11</v>
      </c>
      <c r="AK34" s="36">
        <f t="shared" si="1"/>
        <v>104.60916666666667</v>
      </c>
      <c r="AL34" s="47">
        <f t="shared" si="2"/>
        <v>2.7697380952380399</v>
      </c>
      <c r="AM34" s="36">
        <f>AVERAGEIFS('Regular Season'!T:T,'Regular Season'!R:R,'Summary Page'!AD34,'Regular Season'!S:S,'Summary Page'!AC34)</f>
        <v>119.27999999999999</v>
      </c>
      <c r="AN34" s="47">
        <f>AM34-VLOOKUP(AD34,'Summary Page (2)'!$B$5:$K$14,9,FALSE)</f>
        <v>-2.4197530864197887</v>
      </c>
      <c r="AO34" s="52">
        <f>COUNTIFS('Regular Season'!R:R,'Summary Page'!AD34,'Regular Season'!S:S,'Summary Page'!AC34)</f>
        <v>11</v>
      </c>
      <c r="AP34" s="36">
        <f>AVERAGEIFS('Regular Season'!U:U,'Regular Season'!S:S,'Summary Page'!AD34,'Regular Season'!R:R,'Summary Page'!AC34)</f>
        <v>95.355384615384622</v>
      </c>
      <c r="AQ34" s="47">
        <f>AP34-VLOOKUP(AD34,'Summary Page (2)'!$B$5:$K$14,10,FALSE)</f>
        <v>0.47929765886290454</v>
      </c>
      <c r="AR34" s="7">
        <f>COUNTIFS('Regular Season'!R:R,'Summary Page'!AC34,'Regular Season'!S:S,'Summary Page'!AD34)</f>
        <v>13</v>
      </c>
      <c r="AS34" s="36">
        <f t="shared" si="3"/>
        <v>106.32083333333333</v>
      </c>
      <c r="AT34" s="47">
        <f t="shared" si="4"/>
        <v>-1.1143111753371926</v>
      </c>
      <c r="AU34" s="55">
        <f t="shared" si="5"/>
        <v>3.8840492705752325</v>
      </c>
      <c r="AW34" s="53">
        <v>27</v>
      </c>
      <c r="AX34" s="7" t="s">
        <v>30</v>
      </c>
      <c r="AY34" s="59" t="s">
        <v>36</v>
      </c>
      <c r="AZ34" s="36">
        <v>137.39111111111112</v>
      </c>
      <c r="BA34" s="47">
        <v>14.908479532163724</v>
      </c>
      <c r="BB34" s="52">
        <v>9</v>
      </c>
      <c r="BC34" s="36">
        <v>97.639999999999986</v>
      </c>
      <c r="BD34" s="47">
        <v>1.3221621621621438</v>
      </c>
      <c r="BE34" s="7">
        <v>14</v>
      </c>
      <c r="BF34" s="36">
        <v>113.19478260869563</v>
      </c>
      <c r="BG34" s="57">
        <v>3.6201159420289315</v>
      </c>
      <c r="BH34" s="36">
        <v>116.68857142857142</v>
      </c>
      <c r="BI34" s="47">
        <v>-0.89801393728221512</v>
      </c>
      <c r="BJ34" s="52">
        <v>14</v>
      </c>
      <c r="BK34" s="36">
        <v>91.495555555555541</v>
      </c>
      <c r="BL34" s="47">
        <v>-1.2279738562091609</v>
      </c>
      <c r="BM34" s="7">
        <v>9</v>
      </c>
      <c r="BN34" s="36">
        <v>106.83043478260868</v>
      </c>
      <c r="BO34" s="57">
        <v>0.51510144927534895</v>
      </c>
      <c r="BP34" s="49">
        <v>3.1050144927535825</v>
      </c>
    </row>
    <row r="35" spans="2:68" x14ac:dyDescent="0.3">
      <c r="B35" s="7" t="s">
        <v>35</v>
      </c>
      <c r="C35" s="7">
        <f>COUNTIFS('Regular Season'!R:R,'Summary Page'!$D$30,'Regular Season'!S:S,'Summary Page'!B35)</f>
        <v>10</v>
      </c>
      <c r="D35" s="7">
        <f>COUNTIFS('Regular Season'!S:S,'Summary Page'!$D$30,'Regular Season'!R:R,'Summary Page'!B35)</f>
        <v>6</v>
      </c>
      <c r="E35" s="8">
        <f t="shared" ref="E35:E44" si="8">IFERROR(C35/SUM(C35:D35),"")</f>
        <v>0.625</v>
      </c>
      <c r="F35" s="7">
        <f>COUNTIFS(Playoffs!O:O,'Summary Page'!$D$30,Playoffs!P:P,'Summary Page'!B35)</f>
        <v>1</v>
      </c>
      <c r="G35" s="7">
        <f>COUNTIFS(Playoffs!P:P,'Summary Page'!$D$30,Playoffs!O:O,'Summary Page'!B35)</f>
        <v>2</v>
      </c>
      <c r="H35" s="8">
        <f t="shared" ref="H35:H43" si="9">IFERROR(F35/SUM(F35:G35),"")</f>
        <v>0.33333333333333331</v>
      </c>
      <c r="I35" s="7">
        <f t="shared" ref="I35:I43" si="10">C35+F35</f>
        <v>11</v>
      </c>
      <c r="J35" s="7">
        <f t="shared" ref="J35:J43" si="11">D35+G35</f>
        <v>8</v>
      </c>
      <c r="K35" s="8">
        <f t="shared" ref="K35:K44" si="12">IFERROR(I35/SUM(I35:J35),"")</f>
        <v>0.57894736842105265</v>
      </c>
      <c r="AB35" s="53">
        <v>31</v>
      </c>
      <c r="AC35" s="7" t="s">
        <v>38</v>
      </c>
      <c r="AD35" s="7" t="s">
        <v>37</v>
      </c>
      <c r="AE35" s="36">
        <f>AVERAGEIFS('Regular Season'!T:T,'Regular Season'!R:R,'Summary Page'!AC35,'Regular Season'!S:S,'Summary Page'!AD35)</f>
        <v>119.51999999999998</v>
      </c>
      <c r="AF35" s="47">
        <f>AE35-VLOOKUP(AC35,'Summary Page (2)'!$B$5:$K$14,9,FALSE)</f>
        <v>0.33188405797098142</v>
      </c>
      <c r="AG35" s="52">
        <f>COUNTIFS('Regular Season'!R:R,'Summary Page'!AC35,'Regular Season'!S:S,'Summary Page'!AD35)</f>
        <v>7</v>
      </c>
      <c r="AH35" s="36">
        <f>AVERAGEIFS('Regular Season'!U:U,'Regular Season'!S:S,'Summary Page'!AC35,'Regular Season'!R:R,'Summary Page'!AD35)</f>
        <v>79.804615384615389</v>
      </c>
      <c r="AI35" s="47">
        <f>AH35-VLOOKUP(AC35,'Summary Page (2)'!$B$5:$K$14,10,FALSE)</f>
        <v>-10.741799709724305</v>
      </c>
      <c r="AJ35" s="7">
        <f>COUNTIFS('Regular Season'!R:R,'Summary Page'!AD35,'Regular Season'!S:S,'Summary Page'!AC35)</f>
        <v>13</v>
      </c>
      <c r="AK35" s="36">
        <f t="shared" si="1"/>
        <v>93.704999999999998</v>
      </c>
      <c r="AL35" s="47">
        <f t="shared" si="2"/>
        <v>-8.1344285714286286</v>
      </c>
      <c r="AM35" s="36">
        <f>AVERAGEIFS('Regular Season'!T:T,'Regular Season'!R:R,'Summary Page'!AD35,'Regular Season'!S:S,'Summary Page'!AC35)</f>
        <v>99.867692307692309</v>
      </c>
      <c r="AN35" s="47">
        <f>AM35-VLOOKUP(AD35,'Summary Page (2)'!$B$5:$K$14,9,FALSE)</f>
        <v>-15.972551594746704</v>
      </c>
      <c r="AO35" s="52">
        <f>COUNTIFS('Regular Season'!R:R,'Summary Page'!AD35,'Regular Season'!S:S,'Summary Page'!AC35)</f>
        <v>13</v>
      </c>
      <c r="AP35" s="36">
        <f>AVERAGEIFS('Regular Season'!U:U,'Regular Season'!S:S,'Summary Page'!AD35,'Regular Season'!R:R,'Summary Page'!AC35)</f>
        <v>96.105714285714285</v>
      </c>
      <c r="AQ35" s="47">
        <f>AP35-VLOOKUP(AD35,'Summary Page (2)'!$B$5:$K$14,10,FALSE)</f>
        <v>3.2549534161490499</v>
      </c>
      <c r="AR35" s="7">
        <f>COUNTIFS('Regular Season'!R:R,'Summary Page'!AC35,'Regular Season'!S:S,'Summary Page'!AD35)</f>
        <v>7</v>
      </c>
      <c r="AS35" s="36">
        <f t="shared" si="3"/>
        <v>98.551000000000002</v>
      </c>
      <c r="AT35" s="47">
        <f t="shared" si="4"/>
        <v>-5.1338850574712751</v>
      </c>
      <c r="AU35" s="55">
        <f t="shared" si="5"/>
        <v>-3.0005435139573535</v>
      </c>
      <c r="AW35" s="53">
        <v>75</v>
      </c>
      <c r="AX35" s="7" t="s">
        <v>33</v>
      </c>
      <c r="AY35" s="59" t="s">
        <v>30</v>
      </c>
      <c r="AZ35" s="36">
        <v>119.37142857142858</v>
      </c>
      <c r="BA35" s="47">
        <v>-1.7148635634029006</v>
      </c>
      <c r="BB35" s="52">
        <v>7</v>
      </c>
      <c r="BC35" s="36">
        <v>86.710000000000008</v>
      </c>
      <c r="BD35" s="47">
        <v>-8.075901639344238</v>
      </c>
      <c r="BE35" s="7">
        <v>4</v>
      </c>
      <c r="BF35" s="36">
        <v>107.49454545454546</v>
      </c>
      <c r="BG35" s="57">
        <v>-2.8962545454545534</v>
      </c>
      <c r="BH35" s="36">
        <v>117.58</v>
      </c>
      <c r="BI35" s="47">
        <v>-4.9026315789473927</v>
      </c>
      <c r="BJ35" s="52">
        <v>4</v>
      </c>
      <c r="BK35" s="36">
        <v>96.791428571428582</v>
      </c>
      <c r="BL35" s="47">
        <v>0.47359073359073989</v>
      </c>
      <c r="BM35" s="7">
        <v>7</v>
      </c>
      <c r="BN35" s="36">
        <v>104.3509090909091</v>
      </c>
      <c r="BO35" s="57">
        <v>-5.2237575757576025</v>
      </c>
      <c r="BP35" s="49">
        <v>2.3275030303030491</v>
      </c>
    </row>
    <row r="36" spans="2:68" x14ac:dyDescent="0.3">
      <c r="B36" s="7" t="s">
        <v>30</v>
      </c>
      <c r="C36" s="7">
        <f>COUNTIFS('Regular Season'!R:R,'Summary Page'!$D$30,'Regular Season'!S:S,'Summary Page'!B36)</f>
        <v>10</v>
      </c>
      <c r="D36" s="7">
        <f>COUNTIFS('Regular Season'!S:S,'Summary Page'!$D$30,'Regular Season'!R:R,'Summary Page'!B36)</f>
        <v>10</v>
      </c>
      <c r="E36" s="8">
        <f t="shared" si="8"/>
        <v>0.5</v>
      </c>
      <c r="F36" s="7">
        <f>COUNTIFS(Playoffs!O:O,'Summary Page'!$D$30,Playoffs!P:P,'Summary Page'!B36)</f>
        <v>1</v>
      </c>
      <c r="G36" s="7">
        <f>COUNTIFS(Playoffs!P:P,'Summary Page'!$D$30,Playoffs!O:O,'Summary Page'!B36)</f>
        <v>1</v>
      </c>
      <c r="H36" s="8">
        <f t="shared" si="9"/>
        <v>0.5</v>
      </c>
      <c r="I36" s="7">
        <f t="shared" si="10"/>
        <v>11</v>
      </c>
      <c r="J36" s="7">
        <f t="shared" si="11"/>
        <v>11</v>
      </c>
      <c r="K36" s="8">
        <f t="shared" si="12"/>
        <v>0.5</v>
      </c>
      <c r="AB36" s="53">
        <v>32</v>
      </c>
      <c r="AC36" s="7" t="s">
        <v>38</v>
      </c>
      <c r="AD36" s="7" t="s">
        <v>34</v>
      </c>
      <c r="AE36" s="36">
        <f>AVERAGEIFS('Regular Season'!T:T,'Regular Season'!R:R,'Summary Page'!AC36,'Regular Season'!S:S,'Summary Page'!AD36)</f>
        <v>115.44750000000001</v>
      </c>
      <c r="AF36" s="47">
        <f>AE36-VLOOKUP(AC36,'Summary Page (2)'!$B$5:$K$14,9,FALSE)</f>
        <v>-3.7406159420289953</v>
      </c>
      <c r="AG36" s="52">
        <f>COUNTIFS('Regular Season'!R:R,'Summary Page'!AC36,'Regular Season'!S:S,'Summary Page'!AD36)</f>
        <v>8</v>
      </c>
      <c r="AH36" s="36">
        <f>AVERAGEIFS('Regular Season'!U:U,'Regular Season'!S:S,'Summary Page'!AC36,'Regular Season'!R:R,'Summary Page'!AD36)</f>
        <v>94.174999999999997</v>
      </c>
      <c r="AI36" s="47">
        <f>AH36-VLOOKUP(AC36,'Summary Page (2)'!$B$5:$K$14,10,FALSE)</f>
        <v>3.6285849056603041</v>
      </c>
      <c r="AJ36" s="7">
        <f>COUNTIFS('Regular Season'!R:R,'Summary Page'!AD36,'Regular Season'!S:S,'Summary Page'!AC36)</f>
        <v>12</v>
      </c>
      <c r="AK36" s="36">
        <f t="shared" si="1"/>
        <v>102.684</v>
      </c>
      <c r="AL36" s="47">
        <f t="shared" si="2"/>
        <v>0.84457142857137057</v>
      </c>
      <c r="AM36" s="36">
        <f>AVERAGEIFS('Regular Season'!T:T,'Regular Season'!R:R,'Summary Page'!AD36,'Regular Season'!S:S,'Summary Page'!AC36)</f>
        <v>119.53499999999998</v>
      </c>
      <c r="AN36" s="47">
        <f>AM36-VLOOKUP(AD36,'Summary Page (2)'!$B$5:$K$14,9,FALSE)</f>
        <v>-2.8076373626373794</v>
      </c>
      <c r="AO36" s="52">
        <f>COUNTIFS('Regular Season'!R:R,'Summary Page'!AD36,'Regular Season'!S:S,'Summary Page'!AC36)</f>
        <v>12</v>
      </c>
      <c r="AP36" s="36">
        <f>AVERAGEIFS('Regular Season'!U:U,'Regular Season'!S:S,'Summary Page'!AD36,'Regular Season'!R:R,'Summary Page'!AC36)</f>
        <v>85.497499999999988</v>
      </c>
      <c r="AQ36" s="47">
        <f>AP36-VLOOKUP(AD36,'Summary Page (2)'!$B$5:$K$14,10,FALSE)</f>
        <v>-10.902500000000003</v>
      </c>
      <c r="AR36" s="7">
        <f>COUNTIFS('Regular Season'!R:R,'Summary Page'!AC36,'Regular Season'!S:S,'Summary Page'!AD36)</f>
        <v>8</v>
      </c>
      <c r="AS36" s="36">
        <f t="shared" si="3"/>
        <v>105.91999999999999</v>
      </c>
      <c r="AT36" s="47">
        <f t="shared" si="4"/>
        <v>-4.0477011494252793</v>
      </c>
      <c r="AU36" s="55">
        <f t="shared" si="5"/>
        <v>4.8922725779966498</v>
      </c>
      <c r="AW36" s="53">
        <v>55</v>
      </c>
      <c r="AX36" s="7" t="s">
        <v>29</v>
      </c>
      <c r="AY36" s="59" t="s">
        <v>32</v>
      </c>
      <c r="AZ36" s="36">
        <v>126.86200000000001</v>
      </c>
      <c r="BA36" s="47">
        <v>4.4350555555555644</v>
      </c>
      <c r="BB36" s="52">
        <v>10</v>
      </c>
      <c r="BC36" s="36">
        <v>92.587499999999991</v>
      </c>
      <c r="BD36" s="47">
        <v>-5.8094230769231103</v>
      </c>
      <c r="BE36" s="7">
        <v>8</v>
      </c>
      <c r="BF36" s="36">
        <v>111.62888888888889</v>
      </c>
      <c r="BG36" s="57">
        <v>1.697555555555553</v>
      </c>
      <c r="BH36" s="36">
        <v>114.46249999999999</v>
      </c>
      <c r="BI36" s="47">
        <v>-2.6389285714285649</v>
      </c>
      <c r="BJ36" s="52">
        <v>8</v>
      </c>
      <c r="BK36" s="36">
        <v>95.578000000000003</v>
      </c>
      <c r="BL36" s="47">
        <v>2.012999999999991</v>
      </c>
      <c r="BM36" s="7">
        <v>10</v>
      </c>
      <c r="BN36" s="36">
        <v>103.97111111111111</v>
      </c>
      <c r="BO36" s="57">
        <v>-0.57755555555554849</v>
      </c>
      <c r="BP36" s="49">
        <v>2.2751111111111015</v>
      </c>
    </row>
    <row r="37" spans="2:68" x14ac:dyDescent="0.3">
      <c r="B37" s="7" t="s">
        <v>38</v>
      </c>
      <c r="C37" s="7">
        <f>COUNTIFS('Regular Season'!R:R,'Summary Page'!$D$30,'Regular Season'!S:S,'Summary Page'!B37)</f>
        <v>9</v>
      </c>
      <c r="D37" s="7">
        <f>COUNTIFS('Regular Season'!S:S,'Summary Page'!$D$30,'Regular Season'!R:R,'Summary Page'!B37)</f>
        <v>4</v>
      </c>
      <c r="E37" s="8">
        <f t="shared" si="8"/>
        <v>0.69230769230769229</v>
      </c>
      <c r="F37" s="7">
        <f>COUNTIFS(Playoffs!O:O,'Summary Page'!$D$30,Playoffs!P:P,'Summary Page'!B37)</f>
        <v>0</v>
      </c>
      <c r="G37" s="7">
        <f>COUNTIFS(Playoffs!P:P,'Summary Page'!$D$30,Playoffs!O:O,'Summary Page'!B37)</f>
        <v>0</v>
      </c>
      <c r="H37" s="8" t="str">
        <f t="shared" si="9"/>
        <v/>
      </c>
      <c r="I37" s="7">
        <f t="shared" si="10"/>
        <v>9</v>
      </c>
      <c r="J37" s="7">
        <f t="shared" si="11"/>
        <v>4</v>
      </c>
      <c r="K37" s="8">
        <f t="shared" si="12"/>
        <v>0.69230769230769229</v>
      </c>
      <c r="AB37" s="53">
        <v>33</v>
      </c>
      <c r="AC37" s="7" t="s">
        <v>38</v>
      </c>
      <c r="AD37" s="7" t="s">
        <v>29</v>
      </c>
      <c r="AE37" s="36">
        <f>AVERAGEIFS('Regular Season'!T:T,'Regular Season'!R:R,'Summary Page'!AC37,'Regular Season'!S:S,'Summary Page'!AD37)</f>
        <v>110.25</v>
      </c>
      <c r="AF37" s="47">
        <f>AE37-VLOOKUP(AC37,'Summary Page (2)'!$B$5:$K$14,9,FALSE)</f>
        <v>-8.9381159420290004</v>
      </c>
      <c r="AG37" s="52">
        <f>COUNTIFS('Regular Season'!R:R,'Summary Page'!AC37,'Regular Season'!S:S,'Summary Page'!AD37)</f>
        <v>4</v>
      </c>
      <c r="AH37" s="36">
        <f>AVERAGEIFS('Regular Season'!U:U,'Regular Season'!S:S,'Summary Page'!AC37,'Regular Season'!R:R,'Summary Page'!AD37)</f>
        <v>87.584444444444443</v>
      </c>
      <c r="AI37" s="47">
        <f>AH37-VLOOKUP(AC37,'Summary Page (2)'!$B$5:$K$14,10,FALSE)</f>
        <v>-2.9619706498952496</v>
      </c>
      <c r="AJ37" s="7">
        <f>COUNTIFS('Regular Season'!R:R,'Summary Page'!AD37,'Regular Season'!S:S,'Summary Page'!AC37)</f>
        <v>9</v>
      </c>
      <c r="AK37" s="36">
        <f t="shared" ref="AK37:AK68" si="13">IFERROR(((AG37*AE37)+(AH37*AJ37))/SUM(AG37,AJ37),"")</f>
        <v>94.558461538461543</v>
      </c>
      <c r="AL37" s="47">
        <f t="shared" ref="AL37:AL68" si="14">IFERROR(AK37-VLOOKUP(AC37,$B$5:$H$14,7,FALSE),"")</f>
        <v>-7.2809670329670837</v>
      </c>
      <c r="AM37" s="36">
        <f>AVERAGEIFS('Regular Season'!T:T,'Regular Season'!R:R,'Summary Page'!AD37,'Regular Season'!S:S,'Summary Page'!AC37)</f>
        <v>116.19777777777777</v>
      </c>
      <c r="AN37" s="47">
        <f>AM37-VLOOKUP(AD37,'Summary Page (2)'!$B$5:$K$14,9,FALSE)</f>
        <v>-8.9608888888888742</v>
      </c>
      <c r="AO37" s="52">
        <f>COUNTIFS('Regular Season'!R:R,'Summary Page'!AD37,'Regular Season'!S:S,'Summary Page'!AC37)</f>
        <v>9</v>
      </c>
      <c r="AP37" s="36">
        <f>AVERAGEIFS('Regular Season'!U:U,'Regular Season'!S:S,'Summary Page'!AD37,'Regular Season'!R:R,'Summary Page'!AC37)</f>
        <v>92.28</v>
      </c>
      <c r="AQ37" s="47">
        <f>AP37-VLOOKUP(AD37,'Summary Page (2)'!$B$5:$K$14,10,FALSE)</f>
        <v>-6.6671428571428777</v>
      </c>
      <c r="AR37" s="7">
        <f>COUNTIFS('Regular Season'!R:R,'Summary Page'!AC37,'Regular Season'!S:S,'Summary Page'!AD37)</f>
        <v>4</v>
      </c>
      <c r="AS37" s="36">
        <f t="shared" ref="AS37:AS68" si="15">IFERROR(((AO37*AM37)+(AP37*AR37))/SUM(AO37,AR37),"")</f>
        <v>108.83846153846154</v>
      </c>
      <c r="AT37" s="47">
        <f t="shared" ref="AT37:AT68" si="16">IFERROR(AS37-VLOOKUP(AD37,$B$5:$H$14,7,FALSE),"")</f>
        <v>-3.6663660477453561</v>
      </c>
      <c r="AU37" s="55">
        <f t="shared" ref="AU37:AU68" si="17">AL37-AT37</f>
        <v>-3.6146009852217276</v>
      </c>
      <c r="AW37" s="53">
        <v>56</v>
      </c>
      <c r="AX37" s="7" t="s">
        <v>29</v>
      </c>
      <c r="AY37" s="59" t="s">
        <v>35</v>
      </c>
      <c r="AZ37" s="36">
        <v>122.755</v>
      </c>
      <c r="BA37" s="47">
        <v>0.32805555555555088</v>
      </c>
      <c r="BB37" s="52">
        <v>8</v>
      </c>
      <c r="BC37" s="36">
        <v>98.089999999999989</v>
      </c>
      <c r="BD37" s="47">
        <v>-0.3069230769231126</v>
      </c>
      <c r="BE37" s="7">
        <v>6</v>
      </c>
      <c r="BF37" s="36">
        <v>112.18428571428571</v>
      </c>
      <c r="BG37" s="57">
        <v>2.2529523809523653</v>
      </c>
      <c r="BH37" s="36">
        <v>128.18</v>
      </c>
      <c r="BI37" s="47">
        <v>9.2015189873417711</v>
      </c>
      <c r="BJ37" s="52">
        <v>6</v>
      </c>
      <c r="BK37" s="36">
        <v>91.144999999999996</v>
      </c>
      <c r="BL37" s="47">
        <v>-1.6769718309859343</v>
      </c>
      <c r="BM37" s="7">
        <v>8</v>
      </c>
      <c r="BN37" s="36">
        <v>107.01714285714286</v>
      </c>
      <c r="BO37" s="57">
        <v>0.41940952380950591</v>
      </c>
      <c r="BP37" s="49">
        <v>1.8335428571428594</v>
      </c>
    </row>
    <row r="38" spans="2:68" x14ac:dyDescent="0.3">
      <c r="B38" s="7" t="s">
        <v>37</v>
      </c>
      <c r="C38" s="7">
        <f>COUNTIFS('Regular Season'!R:R,'Summary Page'!$D$30,'Regular Season'!S:S,'Summary Page'!B38)</f>
        <v>13</v>
      </c>
      <c r="D38" s="7">
        <f>COUNTIFS('Regular Season'!S:S,'Summary Page'!$D$30,'Regular Season'!R:R,'Summary Page'!B38)</f>
        <v>11</v>
      </c>
      <c r="E38" s="8">
        <f t="shared" si="8"/>
        <v>0.54166666666666663</v>
      </c>
      <c r="F38" s="7">
        <f>COUNTIFS(Playoffs!O:O,'Summary Page'!$D$30,Playoffs!P:P,'Summary Page'!B38)</f>
        <v>2</v>
      </c>
      <c r="G38" s="7">
        <f>COUNTIFS(Playoffs!P:P,'Summary Page'!$D$30,Playoffs!O:O,'Summary Page'!B38)</f>
        <v>0</v>
      </c>
      <c r="H38" s="8">
        <f t="shared" si="9"/>
        <v>1</v>
      </c>
      <c r="I38" s="7">
        <f t="shared" si="10"/>
        <v>15</v>
      </c>
      <c r="J38" s="7">
        <f t="shared" si="11"/>
        <v>11</v>
      </c>
      <c r="K38" s="8">
        <f t="shared" si="12"/>
        <v>0.57692307692307687</v>
      </c>
      <c r="AB38" s="53">
        <v>34</v>
      </c>
      <c r="AC38" s="7" t="s">
        <v>38</v>
      </c>
      <c r="AD38" s="7" t="s">
        <v>31</v>
      </c>
      <c r="AE38" s="36">
        <f>AVERAGEIFS('Regular Season'!T:T,'Regular Season'!R:R,'Summary Page'!AC38,'Regular Season'!S:S,'Summary Page'!AD38)</f>
        <v>122.95500000000001</v>
      </c>
      <c r="AF38" s="47">
        <f>AE38-VLOOKUP(AC38,'Summary Page (2)'!$B$5:$K$14,9,FALSE)</f>
        <v>3.7668840579710121</v>
      </c>
      <c r="AG38" s="52">
        <f>COUNTIFS('Regular Season'!R:R,'Summary Page'!AC38,'Regular Season'!S:S,'Summary Page'!AD38)</f>
        <v>4</v>
      </c>
      <c r="AH38" s="36">
        <f>AVERAGEIFS('Regular Season'!U:U,'Regular Season'!S:S,'Summary Page'!AC38,'Regular Season'!R:R,'Summary Page'!AD38)</f>
        <v>90.009999999999991</v>
      </c>
      <c r="AI38" s="47">
        <f>AH38-VLOOKUP(AC38,'Summary Page (2)'!$B$5:$K$14,10,FALSE)</f>
        <v>-0.53641509433970214</v>
      </c>
      <c r="AJ38" s="7">
        <f>COUNTIFS('Regular Season'!R:R,'Summary Page'!AD38,'Regular Season'!S:S,'Summary Page'!AC38)</f>
        <v>12</v>
      </c>
      <c r="AK38" s="36">
        <f t="shared" si="13"/>
        <v>98.246250000000003</v>
      </c>
      <c r="AL38" s="47">
        <f t="shared" si="14"/>
        <v>-3.5931785714286235</v>
      </c>
      <c r="AM38" s="36">
        <f>AVERAGEIFS('Regular Season'!T:T,'Regular Season'!R:R,'Summary Page'!AD38,'Regular Season'!S:S,'Summary Page'!AC38)</f>
        <v>124.87833333333333</v>
      </c>
      <c r="AN38" s="47">
        <f>AM38-VLOOKUP(AD38,'Summary Page (2)'!$B$5:$K$14,9,FALSE)</f>
        <v>4.4359523809524006</v>
      </c>
      <c r="AO38" s="52">
        <f>COUNTIFS('Regular Season'!R:R,'Summary Page'!AD38,'Regular Season'!S:S,'Summary Page'!AC38)</f>
        <v>12</v>
      </c>
      <c r="AP38" s="36">
        <f>AVERAGEIFS('Regular Season'!U:U,'Regular Season'!S:S,'Summary Page'!AD38,'Regular Season'!R:R,'Summary Page'!AC38)</f>
        <v>76.539999999999992</v>
      </c>
      <c r="AQ38" s="47">
        <f>AP38-VLOOKUP(AD38,'Summary Page (2)'!$B$5:$K$14,10,FALSE)</f>
        <v>-17.965681818181864</v>
      </c>
      <c r="AR38" s="7">
        <f>COUNTIFS('Regular Season'!R:R,'Summary Page'!AC38,'Regular Season'!S:S,'Summary Page'!AD38)</f>
        <v>4</v>
      </c>
      <c r="AS38" s="36">
        <f t="shared" si="15"/>
        <v>112.79374999999999</v>
      </c>
      <c r="AT38" s="47">
        <f t="shared" si="16"/>
        <v>5.6213081395348468</v>
      </c>
      <c r="AU38" s="55">
        <f t="shared" si="17"/>
        <v>-9.2144867109634703</v>
      </c>
      <c r="AW38" s="53">
        <v>28</v>
      </c>
      <c r="AX38" s="7" t="s">
        <v>38</v>
      </c>
      <c r="AY38" s="59" t="s">
        <v>32</v>
      </c>
      <c r="AZ38" s="36">
        <v>110.5125</v>
      </c>
      <c r="BA38" s="47">
        <v>-7.350714285714318</v>
      </c>
      <c r="BB38" s="52">
        <v>8</v>
      </c>
      <c r="BC38" s="36">
        <v>94.874999999999986</v>
      </c>
      <c r="BD38" s="47">
        <v>3.9792553191488764</v>
      </c>
      <c r="BE38" s="7">
        <v>8</v>
      </c>
      <c r="BF38" s="36">
        <v>102.69374999999999</v>
      </c>
      <c r="BG38" s="57">
        <v>1.7301499999999521</v>
      </c>
      <c r="BH38" s="36">
        <v>113.995</v>
      </c>
      <c r="BI38" s="47">
        <v>-3.1064285714285518</v>
      </c>
      <c r="BJ38" s="52">
        <v>8</v>
      </c>
      <c r="BK38" s="36">
        <v>96.027500000000003</v>
      </c>
      <c r="BL38" s="47">
        <v>2.4624999999999915</v>
      </c>
      <c r="BM38" s="7">
        <v>8</v>
      </c>
      <c r="BN38" s="36">
        <v>105.01125</v>
      </c>
      <c r="BO38" s="57">
        <v>0.46258333333334178</v>
      </c>
      <c r="BP38" s="49">
        <v>1.2675666666666103</v>
      </c>
    </row>
    <row r="39" spans="2:68" x14ac:dyDescent="0.3">
      <c r="B39" s="7" t="s">
        <v>34</v>
      </c>
      <c r="C39" s="7">
        <f>COUNTIFS('Regular Season'!R:R,'Summary Page'!$D$30,'Regular Season'!S:S,'Summary Page'!B39)</f>
        <v>7</v>
      </c>
      <c r="D39" s="7">
        <f>COUNTIFS('Regular Season'!S:S,'Summary Page'!$D$30,'Regular Season'!R:R,'Summary Page'!B39)</f>
        <v>12</v>
      </c>
      <c r="E39" s="8">
        <f t="shared" si="8"/>
        <v>0.36842105263157893</v>
      </c>
      <c r="F39" s="7">
        <f>COUNTIFS(Playoffs!O:O,'Summary Page'!$D$30,Playoffs!P:P,'Summary Page'!B39)</f>
        <v>1</v>
      </c>
      <c r="G39" s="7">
        <f>COUNTIFS(Playoffs!P:P,'Summary Page'!$D$30,Playoffs!O:O,'Summary Page'!B39)</f>
        <v>0</v>
      </c>
      <c r="H39" s="8">
        <f t="shared" si="9"/>
        <v>1</v>
      </c>
      <c r="I39" s="7">
        <f t="shared" si="10"/>
        <v>8</v>
      </c>
      <c r="J39" s="7">
        <f t="shared" si="11"/>
        <v>12</v>
      </c>
      <c r="K39" s="8">
        <f t="shared" si="12"/>
        <v>0.4</v>
      </c>
      <c r="AB39" s="53">
        <v>35</v>
      </c>
      <c r="AC39" s="7" t="s">
        <v>38</v>
      </c>
      <c r="AD39" s="7" t="s">
        <v>33</v>
      </c>
      <c r="AE39" s="36">
        <f>AVERAGEIFS('Regular Season'!T:T,'Regular Season'!R:R,'Summary Page'!AC39,'Regular Season'!S:S,'Summary Page'!AD39)</f>
        <v>122.97</v>
      </c>
      <c r="AF39" s="47">
        <f>AE39-VLOOKUP(AC39,'Summary Page (2)'!$B$5:$K$14,9,FALSE)</f>
        <v>3.7818840579709985</v>
      </c>
      <c r="AG39" s="52">
        <f>COUNTIFS('Regular Season'!R:R,'Summary Page'!AC39,'Regular Season'!S:S,'Summary Page'!AD39)</f>
        <v>8</v>
      </c>
      <c r="AH39" s="36">
        <f>AVERAGEIFS('Regular Season'!U:U,'Regular Season'!S:S,'Summary Page'!AC39,'Regular Season'!R:R,'Summary Page'!AD39)</f>
        <v>93.163076923076915</v>
      </c>
      <c r="AI39" s="47">
        <f>AH39-VLOOKUP(AC39,'Summary Page (2)'!$B$5:$K$14,10,FALSE)</f>
        <v>2.6166618287372216</v>
      </c>
      <c r="AJ39" s="7">
        <f>COUNTIFS('Regular Season'!R:R,'Summary Page'!AD39,'Regular Season'!S:S,'Summary Page'!AC39)</f>
        <v>13</v>
      </c>
      <c r="AK39" s="36">
        <f t="shared" si="13"/>
        <v>104.51809523809524</v>
      </c>
      <c r="AL39" s="47">
        <f t="shared" si="14"/>
        <v>2.678666666666615</v>
      </c>
      <c r="AM39" s="36">
        <f>AVERAGEIFS('Regular Season'!T:T,'Regular Season'!R:R,'Summary Page'!AD39,'Regular Season'!S:S,'Summary Page'!AC39)</f>
        <v>122.3876923076923</v>
      </c>
      <c r="AN39" s="47">
        <f>AM39-VLOOKUP(AD39,'Summary Page (2)'!$B$5:$K$14,9,FALSE)</f>
        <v>1.6314177978883748</v>
      </c>
      <c r="AO39" s="52">
        <f>COUNTIFS('Regular Season'!R:R,'Summary Page'!AD39,'Regular Season'!S:S,'Summary Page'!AC39)</f>
        <v>13</v>
      </c>
      <c r="AP39" s="36">
        <f>AVERAGEIFS('Regular Season'!U:U,'Regular Season'!S:S,'Summary Page'!AD39,'Regular Season'!R:R,'Summary Page'!AC39)</f>
        <v>91.377500000000012</v>
      </c>
      <c r="AQ39" s="47">
        <f>AP39-VLOOKUP(AD39,'Summary Page (2)'!$B$5:$K$14,10,FALSE)</f>
        <v>-5.3149324324323999</v>
      </c>
      <c r="AR39" s="7">
        <f>COUNTIFS('Regular Season'!R:R,'Summary Page'!AC39,'Regular Season'!S:S,'Summary Page'!AD39)</f>
        <v>8</v>
      </c>
      <c r="AS39" s="36">
        <f t="shared" si="15"/>
        <v>110.57428571428571</v>
      </c>
      <c r="AT39" s="47">
        <f t="shared" si="16"/>
        <v>-6.4237012987021558E-2</v>
      </c>
      <c r="AU39" s="55">
        <f t="shared" si="17"/>
        <v>2.7429036796536366</v>
      </c>
      <c r="AW39" s="53">
        <v>53</v>
      </c>
      <c r="AX39" s="7" t="s">
        <v>34</v>
      </c>
      <c r="AY39" s="59" t="s">
        <v>33</v>
      </c>
      <c r="AZ39" s="36">
        <v>122.56545454545454</v>
      </c>
      <c r="BA39" s="47">
        <v>0.17102416570770629</v>
      </c>
      <c r="BB39" s="52">
        <v>11</v>
      </c>
      <c r="BC39" s="36">
        <v>88.954285714285717</v>
      </c>
      <c r="BD39" s="47">
        <v>-8.0890945674044161</v>
      </c>
      <c r="BE39" s="7">
        <v>7</v>
      </c>
      <c r="BF39" s="36">
        <v>109.49444444444445</v>
      </c>
      <c r="BG39" s="57">
        <v>-0.9004888888888587</v>
      </c>
      <c r="BH39" s="36">
        <v>116.11428571428571</v>
      </c>
      <c r="BI39" s="47">
        <v>-4.9720064205457675</v>
      </c>
      <c r="BJ39" s="52">
        <v>7</v>
      </c>
      <c r="BK39" s="36">
        <v>103.33272727272725</v>
      </c>
      <c r="BL39" s="47">
        <v>8.5468256333830084</v>
      </c>
      <c r="BM39" s="7">
        <v>11</v>
      </c>
      <c r="BN39" s="36">
        <v>108.30333333333333</v>
      </c>
      <c r="BO39" s="57">
        <v>-2.0874666666666855</v>
      </c>
      <c r="BP39" s="49">
        <v>1.1869777777778268</v>
      </c>
    </row>
    <row r="40" spans="2:68" x14ac:dyDescent="0.3">
      <c r="B40" s="7" t="s">
        <v>29</v>
      </c>
      <c r="C40" s="7">
        <f>COUNTIFS('Regular Season'!R:R,'Summary Page'!$D$30,'Regular Season'!S:S,'Summary Page'!B40)</f>
        <v>0</v>
      </c>
      <c r="D40" s="7">
        <f>COUNTIFS('Regular Season'!S:S,'Summary Page'!$D$30,'Regular Season'!R:R,'Summary Page'!B40)</f>
        <v>0</v>
      </c>
      <c r="E40" s="8" t="str">
        <f t="shared" si="8"/>
        <v/>
      </c>
      <c r="F40" s="7">
        <f>COUNTIFS(Playoffs!O:O,'Summary Page'!$D$30,Playoffs!P:P,'Summary Page'!B40)</f>
        <v>0</v>
      </c>
      <c r="G40" s="7">
        <f>COUNTIFS(Playoffs!P:P,'Summary Page'!$D$30,Playoffs!O:O,'Summary Page'!B40)</f>
        <v>0</v>
      </c>
      <c r="H40" s="8" t="str">
        <f t="shared" si="9"/>
        <v/>
      </c>
      <c r="I40" s="7">
        <f t="shared" si="10"/>
        <v>0</v>
      </c>
      <c r="J40" s="7">
        <f t="shared" si="11"/>
        <v>0</v>
      </c>
      <c r="K40" s="8" t="str">
        <f t="shared" si="12"/>
        <v/>
      </c>
      <c r="AB40" s="53">
        <v>36</v>
      </c>
      <c r="AC40" s="7" t="s">
        <v>38</v>
      </c>
      <c r="AD40" s="7" t="s">
        <v>36</v>
      </c>
      <c r="AE40" s="36">
        <f>AVERAGEIFS('Regular Season'!T:T,'Regular Season'!R:R,'Summary Page'!AC40,'Regular Season'!S:S,'Summary Page'!AD40)</f>
        <v>119.35749999999999</v>
      </c>
      <c r="AF40" s="47">
        <f>AE40-VLOOKUP(AC40,'Summary Page (2)'!$B$5:$K$14,9,FALSE)</f>
        <v>0.1693840579709871</v>
      </c>
      <c r="AG40" s="52">
        <f>COUNTIFS('Regular Season'!R:R,'Summary Page'!AC40,'Regular Season'!S:S,'Summary Page'!AD40)</f>
        <v>8</v>
      </c>
      <c r="AH40" s="36">
        <f>AVERAGEIFS('Regular Season'!U:U,'Regular Season'!S:S,'Summary Page'!AC40,'Regular Season'!R:R,'Summary Page'!AD40)</f>
        <v>93.085454545454539</v>
      </c>
      <c r="AI40" s="47">
        <f>AH40-VLOOKUP(AC40,'Summary Page (2)'!$B$5:$K$14,10,FALSE)</f>
        <v>2.5390394511148457</v>
      </c>
      <c r="AJ40" s="7">
        <f>COUNTIFS('Regular Season'!R:R,'Summary Page'!AD40,'Regular Season'!S:S,'Summary Page'!AC40)</f>
        <v>11</v>
      </c>
      <c r="AK40" s="36">
        <f t="shared" si="13"/>
        <v>104.14736842105262</v>
      </c>
      <c r="AL40" s="47">
        <f t="shared" si="14"/>
        <v>2.3079398496239918</v>
      </c>
      <c r="AM40" s="36">
        <f>AVERAGEIFS('Regular Season'!T:T,'Regular Season'!R:R,'Summary Page'!AD40,'Regular Season'!S:S,'Summary Page'!AC40)</f>
        <v>114.46545454545456</v>
      </c>
      <c r="AN40" s="47">
        <f>AM40-VLOOKUP(AD40,'Summary Page (2)'!$B$5:$K$14,9,FALSE)</f>
        <v>-1.6123715415019149</v>
      </c>
      <c r="AO40" s="52">
        <f>COUNTIFS('Regular Season'!R:R,'Summary Page'!AD40,'Regular Season'!S:S,'Summary Page'!AC40)</f>
        <v>11</v>
      </c>
      <c r="AP40" s="36">
        <f>AVERAGEIFS('Regular Season'!U:U,'Regular Season'!S:S,'Summary Page'!AD40,'Regular Season'!R:R,'Summary Page'!AC40)</f>
        <v>96.19</v>
      </c>
      <c r="AQ40" s="47">
        <f>AP40-VLOOKUP(AD40,'Summary Page (2)'!$B$5:$K$14,10,FALSE)</f>
        <v>1.4197560975609917</v>
      </c>
      <c r="AR40" s="7">
        <f>COUNTIFS('Regular Season'!R:R,'Summary Page'!AC40,'Regular Season'!S:S,'Summary Page'!AD40)</f>
        <v>8</v>
      </c>
      <c r="AS40" s="36">
        <f t="shared" si="15"/>
        <v>106.77052631578948</v>
      </c>
      <c r="AT40" s="47">
        <f t="shared" si="16"/>
        <v>0.73420447670903854</v>
      </c>
      <c r="AU40" s="55">
        <f t="shared" si="17"/>
        <v>1.5737353729149532</v>
      </c>
      <c r="AW40" s="53">
        <v>68</v>
      </c>
      <c r="AX40" s="7" t="s">
        <v>31</v>
      </c>
      <c r="AY40" s="59" t="s">
        <v>37</v>
      </c>
      <c r="AZ40" s="36">
        <v>115.965</v>
      </c>
      <c r="BA40" s="47">
        <v>-4.608243243243237</v>
      </c>
      <c r="BB40" s="52">
        <v>8</v>
      </c>
      <c r="BC40" s="36">
        <v>103.87</v>
      </c>
      <c r="BD40" s="47">
        <v>10.472105263157871</v>
      </c>
      <c r="BE40" s="7">
        <v>10</v>
      </c>
      <c r="BF40" s="36">
        <v>109.24555555555555</v>
      </c>
      <c r="BG40" s="57">
        <v>2.4411555555555253</v>
      </c>
      <c r="BH40" s="36">
        <v>118.82799999999997</v>
      </c>
      <c r="BI40" s="47">
        <v>3.2833424657533925</v>
      </c>
      <c r="BJ40" s="52">
        <v>10</v>
      </c>
      <c r="BK40" s="36">
        <v>86.742499999999993</v>
      </c>
      <c r="BL40" s="47">
        <v>-4.7863311688312251</v>
      </c>
      <c r="BM40" s="7">
        <v>8</v>
      </c>
      <c r="BN40" s="36">
        <v>104.56777777777776</v>
      </c>
      <c r="BO40" s="57">
        <v>1.3512444444444043</v>
      </c>
      <c r="BP40" s="49">
        <v>1.089911111111121</v>
      </c>
    </row>
    <row r="41" spans="2:68" x14ac:dyDescent="0.3">
      <c r="B41" s="7" t="s">
        <v>31</v>
      </c>
      <c r="C41" s="7">
        <f>COUNTIFS('Regular Season'!R:R,'Summary Page'!$D$30,'Regular Season'!S:S,'Summary Page'!B41)</f>
        <v>13</v>
      </c>
      <c r="D41" s="7">
        <f>COUNTIFS('Regular Season'!S:S,'Summary Page'!$D$30,'Regular Season'!R:R,'Summary Page'!B41)</f>
        <v>10</v>
      </c>
      <c r="E41" s="8">
        <f t="shared" si="8"/>
        <v>0.56521739130434778</v>
      </c>
      <c r="F41" s="7">
        <f>COUNTIFS(Playoffs!O:O,'Summary Page'!$D$30,Playoffs!P:P,'Summary Page'!B41)</f>
        <v>1</v>
      </c>
      <c r="G41" s="7">
        <f>COUNTIFS(Playoffs!P:P,'Summary Page'!$D$30,Playoffs!O:O,'Summary Page'!B41)</f>
        <v>1</v>
      </c>
      <c r="H41" s="8">
        <f t="shared" si="9"/>
        <v>0.5</v>
      </c>
      <c r="I41" s="7">
        <f t="shared" si="10"/>
        <v>14</v>
      </c>
      <c r="J41" s="7">
        <f t="shared" si="11"/>
        <v>11</v>
      </c>
      <c r="K41" s="8">
        <f t="shared" si="12"/>
        <v>0.56000000000000005</v>
      </c>
      <c r="AB41" s="53">
        <v>37</v>
      </c>
      <c r="AC41" s="7" t="s">
        <v>37</v>
      </c>
      <c r="AD41" s="7" t="s">
        <v>32</v>
      </c>
      <c r="AE41" s="36">
        <f>AVERAGEIFS('Regular Season'!T:T,'Regular Season'!R:R,'Summary Page'!AC41,'Regular Season'!S:S,'Summary Page'!AD41)</f>
        <v>114.68999999999998</v>
      </c>
      <c r="AF41" s="47">
        <f>AE41-VLOOKUP(AC41,'Summary Page (2)'!$B$5:$K$14,9,FALSE)</f>
        <v>-1.1502439024390299</v>
      </c>
      <c r="AG41" s="52">
        <f>COUNTIFS('Regular Season'!R:R,'Summary Page'!AC41,'Regular Season'!S:S,'Summary Page'!AD41)</f>
        <v>14</v>
      </c>
      <c r="AH41" s="36">
        <f>AVERAGEIFS('Regular Season'!U:U,'Regular Season'!S:S,'Summary Page'!AC41,'Regular Season'!R:R,'Summary Page'!AD41)</f>
        <v>99.566666666666677</v>
      </c>
      <c r="AI41" s="47">
        <f>AH41-VLOOKUP(AC41,'Summary Page (2)'!$B$5:$K$14,10,FALSE)</f>
        <v>6.715905797101442</v>
      </c>
      <c r="AJ41" s="7">
        <f>COUNTIFS('Regular Season'!R:R,'Summary Page'!AD41,'Regular Season'!S:S,'Summary Page'!AC41)</f>
        <v>9</v>
      </c>
      <c r="AK41" s="36">
        <f t="shared" si="13"/>
        <v>108.77217391304349</v>
      </c>
      <c r="AL41" s="47">
        <f t="shared" si="14"/>
        <v>5.0872888555722113</v>
      </c>
      <c r="AM41" s="36">
        <f>AVERAGEIFS('Regular Season'!T:T,'Regular Season'!R:R,'Summary Page'!AD41,'Regular Season'!S:S,'Summary Page'!AC41)</f>
        <v>127.28222222222222</v>
      </c>
      <c r="AN41" s="47">
        <f>AM41-VLOOKUP(AD41,'Summary Page (2)'!$B$5:$K$14,9,FALSE)</f>
        <v>9.3452454780361904</v>
      </c>
      <c r="AO41" s="52">
        <f>COUNTIFS('Regular Season'!R:R,'Summary Page'!AD41,'Regular Season'!S:S,'Summary Page'!AC41)</f>
        <v>9</v>
      </c>
      <c r="AP41" s="36">
        <f>AVERAGEIFS('Regular Season'!U:U,'Regular Season'!S:S,'Summary Page'!AD41,'Regular Season'!R:R,'Summary Page'!AC41)</f>
        <v>88.694285714285698</v>
      </c>
      <c r="AQ41" s="47">
        <f>AP41-VLOOKUP(AD41,'Summary Page (2)'!$B$5:$K$14,10,FALSE)</f>
        <v>-5.3988961038961349</v>
      </c>
      <c r="AR41" s="7">
        <f>COUNTIFS('Regular Season'!R:R,'Summary Page'!AC41,'Regular Season'!S:S,'Summary Page'!AD41)</f>
        <v>14</v>
      </c>
      <c r="AS41" s="36">
        <f t="shared" si="15"/>
        <v>103.79391304347826</v>
      </c>
      <c r="AT41" s="47">
        <f t="shared" si="16"/>
        <v>-2.0841329335332262</v>
      </c>
      <c r="AU41" s="55">
        <f t="shared" si="17"/>
        <v>7.1714217891054375</v>
      </c>
      <c r="AW41" s="53">
        <v>90</v>
      </c>
      <c r="AX41" s="7" t="s">
        <v>36</v>
      </c>
      <c r="AY41" s="59" t="s">
        <v>33</v>
      </c>
      <c r="AZ41" s="36">
        <v>114.97333333333334</v>
      </c>
      <c r="BA41" s="47">
        <v>-2.6132520325202933</v>
      </c>
      <c r="BB41" s="52">
        <v>6</v>
      </c>
      <c r="BC41" s="36">
        <v>90.135999999999996</v>
      </c>
      <c r="BD41" s="47">
        <v>-2.5875294117647059</v>
      </c>
      <c r="BE41" s="7">
        <v>5</v>
      </c>
      <c r="BF41" s="36">
        <v>103.68363636363637</v>
      </c>
      <c r="BG41" s="57">
        <v>-2.6316969696969608</v>
      </c>
      <c r="BH41" s="36">
        <v>123.41199999999999</v>
      </c>
      <c r="BI41" s="47">
        <v>2.3257078651685106</v>
      </c>
      <c r="BJ41" s="52">
        <v>5</v>
      </c>
      <c r="BK41" s="36">
        <v>93.02</v>
      </c>
      <c r="BL41" s="47">
        <v>-1.7659016393442499</v>
      </c>
      <c r="BM41" s="7">
        <v>6</v>
      </c>
      <c r="BN41" s="36">
        <v>106.83454545454543</v>
      </c>
      <c r="BO41" s="57">
        <v>-3.5562545454545784</v>
      </c>
      <c r="BP41" s="49">
        <v>0.92455757575761766</v>
      </c>
    </row>
    <row r="42" spans="2:68" x14ac:dyDescent="0.3">
      <c r="B42" s="7" t="s">
        <v>33</v>
      </c>
      <c r="C42" s="7">
        <f>COUNTIFS('Regular Season'!R:R,'Summary Page'!$D$30,'Regular Season'!S:S,'Summary Page'!B42)</f>
        <v>9</v>
      </c>
      <c r="D42" s="7">
        <f>COUNTIFS('Regular Season'!S:S,'Summary Page'!$D$30,'Regular Season'!R:R,'Summary Page'!B42)</f>
        <v>10</v>
      </c>
      <c r="E42" s="8">
        <f t="shared" si="8"/>
        <v>0.47368421052631576</v>
      </c>
      <c r="F42" s="7">
        <f>COUNTIFS(Playoffs!O:O,'Summary Page'!$D$30,Playoffs!P:P,'Summary Page'!B42)</f>
        <v>0</v>
      </c>
      <c r="G42" s="7">
        <f>COUNTIFS(Playoffs!P:P,'Summary Page'!$D$30,Playoffs!O:O,'Summary Page'!B42)</f>
        <v>3</v>
      </c>
      <c r="H42" s="8">
        <f t="shared" si="9"/>
        <v>0</v>
      </c>
      <c r="I42" s="7">
        <f t="shared" si="10"/>
        <v>9</v>
      </c>
      <c r="J42" s="7">
        <f t="shared" si="11"/>
        <v>13</v>
      </c>
      <c r="K42" s="8">
        <f t="shared" si="12"/>
        <v>0.40909090909090912</v>
      </c>
      <c r="AB42" s="53">
        <v>38</v>
      </c>
      <c r="AC42" s="7" t="s">
        <v>37</v>
      </c>
      <c r="AD42" s="7" t="s">
        <v>35</v>
      </c>
      <c r="AE42" s="36">
        <f>AVERAGEIFS('Regular Season'!T:T,'Regular Season'!R:R,'Summary Page'!AC42,'Regular Season'!S:S,'Summary Page'!AD42)</f>
        <v>120.77714285714288</v>
      </c>
      <c r="AF42" s="47">
        <f>AE42-VLOOKUP(AC42,'Summary Page (2)'!$B$5:$K$14,9,FALSE)</f>
        <v>4.9368989547038638</v>
      </c>
      <c r="AG42" s="52">
        <f>COUNTIFS('Regular Season'!R:R,'Summary Page'!AC42,'Regular Season'!S:S,'Summary Page'!AD42)</f>
        <v>7</v>
      </c>
      <c r="AH42" s="36">
        <f>AVERAGEIFS('Regular Season'!U:U,'Regular Season'!S:S,'Summary Page'!AC42,'Regular Season'!R:R,'Summary Page'!AD42)</f>
        <v>95.321666666666673</v>
      </c>
      <c r="AI42" s="47">
        <f>AH42-VLOOKUP(AC42,'Summary Page (2)'!$B$5:$K$14,10,FALSE)</f>
        <v>2.4709057971014374</v>
      </c>
      <c r="AJ42" s="7">
        <f>COUNTIFS('Regular Season'!R:R,'Summary Page'!AD42,'Regular Season'!S:S,'Summary Page'!AC42)</f>
        <v>12</v>
      </c>
      <c r="AK42" s="36">
        <f t="shared" si="13"/>
        <v>104.7</v>
      </c>
      <c r="AL42" s="47">
        <f t="shared" si="14"/>
        <v>1.0151149425287258</v>
      </c>
      <c r="AM42" s="36">
        <f>AVERAGEIFS('Regular Season'!T:T,'Regular Season'!R:R,'Summary Page'!AD42,'Regular Season'!S:S,'Summary Page'!AC42)</f>
        <v>120.00666666666667</v>
      </c>
      <c r="AN42" s="47">
        <f>AM42-VLOOKUP(AD42,'Summary Page (2)'!$B$5:$K$14,9,FALSE)</f>
        <v>0.53311827956989077</v>
      </c>
      <c r="AO42" s="52">
        <f>COUNTIFS('Regular Season'!R:R,'Summary Page'!AD42,'Regular Season'!S:S,'Summary Page'!AC42)</f>
        <v>12</v>
      </c>
      <c r="AP42" s="36">
        <f>AVERAGEIFS('Regular Season'!U:U,'Regular Season'!S:S,'Summary Page'!AD42,'Regular Season'!R:R,'Summary Page'!AC42)</f>
        <v>98.265714285714282</v>
      </c>
      <c r="AQ42" s="47">
        <f>AP42-VLOOKUP(AD42,'Summary Page (2)'!$B$5:$K$14,10,FALSE)</f>
        <v>5.1923809523809297</v>
      </c>
      <c r="AR42" s="7">
        <f>COUNTIFS('Regular Season'!R:R,'Summary Page'!AC42,'Regular Season'!S:S,'Summary Page'!AD42)</f>
        <v>7</v>
      </c>
      <c r="AS42" s="36">
        <f t="shared" si="15"/>
        <v>111.99684210526316</v>
      </c>
      <c r="AT42" s="47">
        <f t="shared" si="16"/>
        <v>4.8130490018148606</v>
      </c>
      <c r="AU42" s="55">
        <f t="shared" si="17"/>
        <v>-3.7979340592861348</v>
      </c>
      <c r="AW42" s="53">
        <v>73</v>
      </c>
      <c r="AX42" s="7" t="s">
        <v>33</v>
      </c>
      <c r="AY42" s="59" t="s">
        <v>32</v>
      </c>
      <c r="AZ42" s="36">
        <v>119.33125</v>
      </c>
      <c r="BA42" s="47">
        <v>-1.7550421348314842</v>
      </c>
      <c r="BB42" s="52">
        <v>16</v>
      </c>
      <c r="BC42" s="36">
        <v>83.940000000000012</v>
      </c>
      <c r="BD42" s="47">
        <v>-10.845901639344234</v>
      </c>
      <c r="BE42" s="7">
        <v>6</v>
      </c>
      <c r="BF42" s="36">
        <v>109.67909090909092</v>
      </c>
      <c r="BG42" s="57">
        <v>-0.71170909090909618</v>
      </c>
      <c r="BH42" s="36">
        <v>114.46999999999998</v>
      </c>
      <c r="BI42" s="47">
        <v>-2.6314285714285717</v>
      </c>
      <c r="BJ42" s="52">
        <v>6</v>
      </c>
      <c r="BK42" s="36">
        <v>98.642499999999984</v>
      </c>
      <c r="BL42" s="47">
        <v>5.0774999999999721</v>
      </c>
      <c r="BM42" s="7">
        <v>16</v>
      </c>
      <c r="BN42" s="36">
        <v>102.95909090909089</v>
      </c>
      <c r="BO42" s="57">
        <v>-1.5895757575757727</v>
      </c>
      <c r="BP42" s="49">
        <v>0.87786666666667657</v>
      </c>
    </row>
    <row r="43" spans="2:68" x14ac:dyDescent="0.3">
      <c r="B43" s="7" t="s">
        <v>36</v>
      </c>
      <c r="C43" s="7">
        <f>COUNTIFS('Regular Season'!R:R,'Summary Page'!$D$30,'Regular Season'!S:S,'Summary Page'!B43)</f>
        <v>8</v>
      </c>
      <c r="D43" s="7">
        <f>COUNTIFS('Regular Season'!S:S,'Summary Page'!$D$30,'Regular Season'!R:R,'Summary Page'!B43)</f>
        <v>12</v>
      </c>
      <c r="E43" s="8">
        <f t="shared" si="8"/>
        <v>0.4</v>
      </c>
      <c r="F43" s="7">
        <f>COUNTIFS(Playoffs!O:O,'Summary Page'!$D$30,Playoffs!P:P,'Summary Page'!B43)</f>
        <v>1</v>
      </c>
      <c r="G43" s="7">
        <f>COUNTIFS(Playoffs!P:P,'Summary Page'!$D$30,Playoffs!O:O,'Summary Page'!B43)</f>
        <v>1</v>
      </c>
      <c r="H43" s="8">
        <f t="shared" si="9"/>
        <v>0.5</v>
      </c>
      <c r="I43" s="7">
        <f t="shared" si="10"/>
        <v>9</v>
      </c>
      <c r="J43" s="7">
        <f t="shared" si="11"/>
        <v>13</v>
      </c>
      <c r="K43" s="8">
        <f t="shared" si="12"/>
        <v>0.40909090909090912</v>
      </c>
      <c r="AB43" s="53">
        <v>39</v>
      </c>
      <c r="AC43" s="7" t="s">
        <v>37</v>
      </c>
      <c r="AD43" s="7" t="s">
        <v>30</v>
      </c>
      <c r="AE43" s="36">
        <f>AVERAGEIFS('Regular Season'!T:T,'Regular Season'!R:R,'Summary Page'!AC43,'Regular Season'!S:S,'Summary Page'!AD43)</f>
        <v>115.99428571428572</v>
      </c>
      <c r="AF43" s="47">
        <f>AE43-VLOOKUP(AC43,'Summary Page (2)'!$B$5:$K$14,9,FALSE)</f>
        <v>0.15404181184671017</v>
      </c>
      <c r="AG43" s="52">
        <f>COUNTIFS('Regular Season'!R:R,'Summary Page'!AC43,'Regular Season'!S:S,'Summary Page'!AD43)</f>
        <v>7</v>
      </c>
      <c r="AH43" s="36">
        <f>AVERAGEIFS('Regular Season'!U:U,'Regular Season'!S:S,'Summary Page'!AC43,'Regular Season'!R:R,'Summary Page'!AD43)</f>
        <v>88.547499999999999</v>
      </c>
      <c r="AI43" s="47">
        <f>AH43-VLOOKUP(AC43,'Summary Page (2)'!$B$5:$K$14,10,FALSE)</f>
        <v>-4.3032608695652357</v>
      </c>
      <c r="AJ43" s="7">
        <f>COUNTIFS('Regular Season'!R:R,'Summary Page'!AD43,'Regular Season'!S:S,'Summary Page'!AC43)</f>
        <v>8</v>
      </c>
      <c r="AK43" s="36">
        <f t="shared" si="13"/>
        <v>101.35600000000001</v>
      </c>
      <c r="AL43" s="47">
        <f t="shared" si="14"/>
        <v>-2.3288850574712683</v>
      </c>
      <c r="AM43" s="36">
        <f>AVERAGEIFS('Regular Season'!T:T,'Regular Season'!R:R,'Summary Page'!AD43,'Regular Season'!S:S,'Summary Page'!AC43)</f>
        <v>121.75750000000001</v>
      </c>
      <c r="AN43" s="47">
        <f>AM43-VLOOKUP(AD43,'Summary Page (2)'!$B$5:$K$14,9,FALSE)</f>
        <v>5.7746913580231762E-2</v>
      </c>
      <c r="AO43" s="52">
        <f>COUNTIFS('Regular Season'!R:R,'Summary Page'!AD43,'Regular Season'!S:S,'Summary Page'!AC43)</f>
        <v>8</v>
      </c>
      <c r="AP43" s="36">
        <f>AVERAGEIFS('Regular Season'!U:U,'Regular Season'!S:S,'Summary Page'!AD43,'Regular Season'!R:R,'Summary Page'!AC43)</f>
        <v>86.15428571428572</v>
      </c>
      <c r="AQ43" s="47">
        <f>AP43-VLOOKUP(AD43,'Summary Page (2)'!$B$5:$K$14,10,FALSE)</f>
        <v>-8.7218012422359976</v>
      </c>
      <c r="AR43" s="7">
        <f>COUNTIFS('Regular Season'!R:R,'Summary Page'!AC43,'Regular Season'!S:S,'Summary Page'!AD43)</f>
        <v>7</v>
      </c>
      <c r="AS43" s="36">
        <f t="shared" si="15"/>
        <v>105.14266666666667</v>
      </c>
      <c r="AT43" s="47">
        <f t="shared" si="16"/>
        <v>-2.2924778420038479</v>
      </c>
      <c r="AU43" s="55">
        <f t="shared" si="17"/>
        <v>-3.6407215467420428E-2</v>
      </c>
      <c r="AW43" s="53">
        <v>74</v>
      </c>
      <c r="AX43" s="7" t="s">
        <v>33</v>
      </c>
      <c r="AY43" s="59" t="s">
        <v>35</v>
      </c>
      <c r="AZ43" s="36">
        <v>123.93555555555557</v>
      </c>
      <c r="BA43" s="47">
        <v>2.8492634207240854</v>
      </c>
      <c r="BB43" s="52">
        <v>9</v>
      </c>
      <c r="BC43" s="36">
        <v>91.588571428571413</v>
      </c>
      <c r="BD43" s="47">
        <v>-3.197330210772833</v>
      </c>
      <c r="BE43" s="7">
        <v>7</v>
      </c>
      <c r="BF43" s="36">
        <v>109.78375</v>
      </c>
      <c r="BG43" s="57">
        <v>-0.60705000000001519</v>
      </c>
      <c r="BH43" s="36">
        <v>115.74857142857142</v>
      </c>
      <c r="BI43" s="47">
        <v>-3.2299095840868119</v>
      </c>
      <c r="BJ43" s="52">
        <v>7</v>
      </c>
      <c r="BK43" s="36">
        <v>96.933333333333337</v>
      </c>
      <c r="BL43" s="47">
        <v>4.1113615023474068</v>
      </c>
      <c r="BM43" s="7">
        <v>9</v>
      </c>
      <c r="BN43" s="36">
        <v>105.16500000000001</v>
      </c>
      <c r="BO43" s="57">
        <v>-1.4327333333333456</v>
      </c>
      <c r="BP43" s="49">
        <v>0.82568333333333044</v>
      </c>
    </row>
    <row r="44" spans="2:68" x14ac:dyDescent="0.3">
      <c r="B44" s="15" t="s">
        <v>51</v>
      </c>
      <c r="C44" s="15">
        <f>SUM(C34:C43)</f>
        <v>90</v>
      </c>
      <c r="D44" s="15">
        <f>SUM(D34:D43)</f>
        <v>84</v>
      </c>
      <c r="E44" s="16">
        <f t="shared" si="8"/>
        <v>0.51724137931034486</v>
      </c>
      <c r="F44" s="15">
        <f>SUM(F34:F43)</f>
        <v>8</v>
      </c>
      <c r="G44" s="15">
        <f>SUM(G34:G43)</f>
        <v>9</v>
      </c>
      <c r="H44" s="16">
        <f>IFERROR(F44/SUM(F44:G44),"")</f>
        <v>0.47058823529411764</v>
      </c>
      <c r="I44" s="15">
        <f>SUM(I34:I43)</f>
        <v>98</v>
      </c>
      <c r="J44" s="15">
        <f>SUM(J34:J43)</f>
        <v>93</v>
      </c>
      <c r="K44" s="16">
        <f t="shared" si="12"/>
        <v>0.51308900523560208</v>
      </c>
      <c r="AB44" s="53">
        <v>40</v>
      </c>
      <c r="AC44" s="7" t="s">
        <v>37</v>
      </c>
      <c r="AD44" s="7" t="s">
        <v>38</v>
      </c>
      <c r="AE44" s="36">
        <f>AVERAGEIFS('Regular Season'!T:T,'Regular Season'!R:R,'Summary Page'!AC44,'Regular Season'!S:S,'Summary Page'!AD44)</f>
        <v>99.867692307692309</v>
      </c>
      <c r="AF44" s="47">
        <f>AE44-VLOOKUP(AC44,'Summary Page (2)'!$B$5:$K$14,9,FALSE)</f>
        <v>-15.972551594746704</v>
      </c>
      <c r="AG44" s="52">
        <f>COUNTIFS('Regular Season'!R:R,'Summary Page'!AC44,'Regular Season'!S:S,'Summary Page'!AD44)</f>
        <v>13</v>
      </c>
      <c r="AH44" s="36">
        <f>AVERAGEIFS('Regular Season'!U:U,'Regular Season'!S:S,'Summary Page'!AC44,'Regular Season'!R:R,'Summary Page'!AD44)</f>
        <v>96.105714285714285</v>
      </c>
      <c r="AI44" s="47">
        <f>AH44-VLOOKUP(AC44,'Summary Page (2)'!$B$5:$K$14,10,FALSE)</f>
        <v>3.2549534161490499</v>
      </c>
      <c r="AJ44" s="7">
        <f>COUNTIFS('Regular Season'!R:R,'Summary Page'!AD44,'Regular Season'!S:S,'Summary Page'!AC44)</f>
        <v>7</v>
      </c>
      <c r="AK44" s="36">
        <f t="shared" si="13"/>
        <v>98.551000000000002</v>
      </c>
      <c r="AL44" s="47">
        <f t="shared" si="14"/>
        <v>-5.1338850574712751</v>
      </c>
      <c r="AM44" s="36">
        <f>AVERAGEIFS('Regular Season'!T:T,'Regular Season'!R:R,'Summary Page'!AD44,'Regular Season'!S:S,'Summary Page'!AC44)</f>
        <v>119.51999999999998</v>
      </c>
      <c r="AN44" s="47">
        <f>AM44-VLOOKUP(AD44,'Summary Page (2)'!$B$5:$K$14,9,FALSE)</f>
        <v>0.33188405797098142</v>
      </c>
      <c r="AO44" s="52">
        <f>COUNTIFS('Regular Season'!R:R,'Summary Page'!AD44,'Regular Season'!S:S,'Summary Page'!AC44)</f>
        <v>7</v>
      </c>
      <c r="AP44" s="36">
        <f>AVERAGEIFS('Regular Season'!U:U,'Regular Season'!S:S,'Summary Page'!AD44,'Regular Season'!R:R,'Summary Page'!AC44)</f>
        <v>79.804615384615389</v>
      </c>
      <c r="AQ44" s="47">
        <f>AP44-VLOOKUP(AD44,'Summary Page (2)'!$B$5:$K$14,10,FALSE)</f>
        <v>-10.741799709724305</v>
      </c>
      <c r="AR44" s="7">
        <f>COUNTIFS('Regular Season'!R:R,'Summary Page'!AC44,'Regular Season'!S:S,'Summary Page'!AD44)</f>
        <v>13</v>
      </c>
      <c r="AS44" s="36">
        <f t="shared" si="15"/>
        <v>93.704999999999998</v>
      </c>
      <c r="AT44" s="47">
        <f t="shared" si="16"/>
        <v>-8.1344285714286286</v>
      </c>
      <c r="AU44" s="55">
        <f t="shared" si="17"/>
        <v>3.0005435139573535</v>
      </c>
      <c r="AW44" s="53">
        <v>14</v>
      </c>
      <c r="AX44" s="7" t="s">
        <v>35</v>
      </c>
      <c r="AY44" s="59" t="s">
        <v>34</v>
      </c>
      <c r="AZ44" s="36">
        <v>108.65500000000002</v>
      </c>
      <c r="BA44" s="47">
        <v>-10.32348101265822</v>
      </c>
      <c r="BB44" s="52">
        <v>8</v>
      </c>
      <c r="BC44" s="36">
        <v>88.766666666666666</v>
      </c>
      <c r="BD44" s="47">
        <v>-4.0553051643192646</v>
      </c>
      <c r="BE44" s="7">
        <v>9</v>
      </c>
      <c r="BF44" s="36">
        <v>98.125882352941176</v>
      </c>
      <c r="BG44" s="57">
        <v>-8.4718509803921762</v>
      </c>
      <c r="BH44" s="36">
        <v>114.54222222222224</v>
      </c>
      <c r="BI44" s="47">
        <v>-7.8522081575246006</v>
      </c>
      <c r="BJ44" s="52">
        <v>9</v>
      </c>
      <c r="BK44" s="36">
        <v>86.047499999999999</v>
      </c>
      <c r="BL44" s="47">
        <v>-10.995880281690134</v>
      </c>
      <c r="BM44" s="7">
        <v>8</v>
      </c>
      <c r="BN44" s="36">
        <v>101.1329411764706</v>
      </c>
      <c r="BO44" s="57">
        <v>-9.2619921568627177</v>
      </c>
      <c r="BP44" s="49">
        <v>0.7901411764705415</v>
      </c>
    </row>
    <row r="45" spans="2:68" ht="15" thickBot="1" x14ac:dyDescent="0.35">
      <c r="AB45" s="53">
        <v>41</v>
      </c>
      <c r="AC45" s="7" t="s">
        <v>37</v>
      </c>
      <c r="AD45" s="7" t="s">
        <v>34</v>
      </c>
      <c r="AE45" s="36">
        <f>AVERAGEIFS('Regular Season'!T:T,'Regular Season'!R:R,'Summary Page'!AC45,'Regular Season'!S:S,'Summary Page'!AD45)</f>
        <v>123.8725</v>
      </c>
      <c r="AF45" s="47">
        <f>AE45-VLOOKUP(AC45,'Summary Page (2)'!$B$5:$K$14,9,FALSE)</f>
        <v>8.0322560975609889</v>
      </c>
      <c r="AG45" s="52">
        <f>COUNTIFS('Regular Season'!R:R,'Summary Page'!AC45,'Regular Season'!S:S,'Summary Page'!AD45)</f>
        <v>8</v>
      </c>
      <c r="AH45" s="36">
        <f>AVERAGEIFS('Regular Season'!U:U,'Regular Season'!S:S,'Summary Page'!AC45,'Regular Season'!R:R,'Summary Page'!AD45)</f>
        <v>102.90666666666665</v>
      </c>
      <c r="AI45" s="47">
        <f>AH45-VLOOKUP(AC45,'Summary Page (2)'!$B$5:$K$14,10,FALSE)</f>
        <v>10.055905797101417</v>
      </c>
      <c r="AJ45" s="7">
        <f>COUNTIFS('Regular Season'!R:R,'Summary Page'!AD45,'Regular Season'!S:S,'Summary Page'!AC45)</f>
        <v>6</v>
      </c>
      <c r="AK45" s="36">
        <f t="shared" si="13"/>
        <v>114.88714285714286</v>
      </c>
      <c r="AL45" s="47">
        <f t="shared" si="14"/>
        <v>11.202257799671585</v>
      </c>
      <c r="AM45" s="36">
        <f>AVERAGEIFS('Regular Season'!T:T,'Regular Season'!R:R,'Summary Page'!AD45,'Regular Season'!S:S,'Summary Page'!AC45)</f>
        <v>130.86999999999998</v>
      </c>
      <c r="AN45" s="47">
        <f>AM45-VLOOKUP(AD45,'Summary Page (2)'!$B$5:$K$14,9,FALSE)</f>
        <v>8.5273626373626144</v>
      </c>
      <c r="AO45" s="52">
        <f>COUNTIFS('Regular Season'!R:R,'Summary Page'!AD45,'Regular Season'!S:S,'Summary Page'!AC45)</f>
        <v>6</v>
      </c>
      <c r="AP45" s="36">
        <f>AVERAGEIFS('Regular Season'!U:U,'Regular Season'!S:S,'Summary Page'!AD45,'Regular Season'!R:R,'Summary Page'!AC45)</f>
        <v>100.705</v>
      </c>
      <c r="AQ45" s="47">
        <f>AP45-VLOOKUP(AD45,'Summary Page (2)'!$B$5:$K$14,10,FALSE)</f>
        <v>4.3050000000000068</v>
      </c>
      <c r="AR45" s="7">
        <f>COUNTIFS('Regular Season'!R:R,'Summary Page'!AC45,'Regular Season'!S:S,'Summary Page'!AD45)</f>
        <v>8</v>
      </c>
      <c r="AS45" s="36">
        <f t="shared" si="15"/>
        <v>113.63285714285712</v>
      </c>
      <c r="AT45" s="47">
        <f t="shared" si="16"/>
        <v>3.6651559934318527</v>
      </c>
      <c r="AU45" s="55">
        <f t="shared" si="17"/>
        <v>7.5371018062397326</v>
      </c>
      <c r="AW45" s="53">
        <v>22</v>
      </c>
      <c r="AX45" s="7" t="s">
        <v>30</v>
      </c>
      <c r="AY45" s="59" t="s">
        <v>37</v>
      </c>
      <c r="AZ45" s="36">
        <v>122.48</v>
      </c>
      <c r="BA45" s="47">
        <v>-2.63157894738697E-3</v>
      </c>
      <c r="BB45" s="52">
        <v>7</v>
      </c>
      <c r="BC45" s="36">
        <v>89.853333333333339</v>
      </c>
      <c r="BD45" s="47">
        <v>-6.4645045045045038</v>
      </c>
      <c r="BE45" s="7">
        <v>6</v>
      </c>
      <c r="BF45" s="36">
        <v>107.42153846153846</v>
      </c>
      <c r="BG45" s="57">
        <v>-2.1531282051282403</v>
      </c>
      <c r="BH45" s="36">
        <v>115.19</v>
      </c>
      <c r="BI45" s="47">
        <v>-0.35465753424658431</v>
      </c>
      <c r="BJ45" s="52">
        <v>6</v>
      </c>
      <c r="BK45" s="36">
        <v>87.611428571428561</v>
      </c>
      <c r="BL45" s="47">
        <v>-3.9174025974026563</v>
      </c>
      <c r="BM45" s="7">
        <v>7</v>
      </c>
      <c r="BN45" s="36">
        <v>100.34</v>
      </c>
      <c r="BO45" s="57">
        <v>-2.8765333333333558</v>
      </c>
      <c r="BP45" s="49">
        <v>0.72340512820511549</v>
      </c>
    </row>
    <row r="46" spans="2:68" ht="15" thickBot="1" x14ac:dyDescent="0.35">
      <c r="B46" s="38" t="s">
        <v>64</v>
      </c>
      <c r="C46" s="77" t="s">
        <v>85</v>
      </c>
      <c r="D46" s="78"/>
      <c r="E46" s="78"/>
      <c r="F46" s="78"/>
      <c r="G46" s="78"/>
      <c r="H46" s="79"/>
      <c r="I46" s="74" t="s">
        <v>86</v>
      </c>
      <c r="J46" s="75"/>
      <c r="K46" s="75"/>
      <c r="L46" s="75"/>
      <c r="M46" s="75"/>
      <c r="N46" s="76"/>
      <c r="AB46" s="53">
        <v>42</v>
      </c>
      <c r="AC46" s="7" t="s">
        <v>37</v>
      </c>
      <c r="AD46" s="7" t="s">
        <v>29</v>
      </c>
      <c r="AE46" s="36">
        <f>AVERAGEIFS('Regular Season'!T:T,'Regular Season'!R:R,'Summary Page'!AC46,'Regular Season'!S:S,'Summary Page'!AD46)</f>
        <v>121.6</v>
      </c>
      <c r="AF46" s="47">
        <f>AE46-VLOOKUP(AC46,'Summary Page (2)'!$B$5:$K$14,9,FALSE)</f>
        <v>5.7597560975609809</v>
      </c>
      <c r="AG46" s="52">
        <f>COUNTIFS('Regular Season'!R:R,'Summary Page'!AC46,'Regular Season'!S:S,'Summary Page'!AD46)</f>
        <v>11</v>
      </c>
      <c r="AH46" s="36">
        <f>AVERAGEIFS('Regular Season'!U:U,'Regular Season'!S:S,'Summary Page'!AC46,'Regular Season'!R:R,'Summary Page'!AD46)</f>
        <v>92.315384615384602</v>
      </c>
      <c r="AI46" s="47">
        <f>AH46-VLOOKUP(AC46,'Summary Page (2)'!$B$5:$K$14,10,FALSE)</f>
        <v>-0.53537625418063328</v>
      </c>
      <c r="AJ46" s="7">
        <f>COUNTIFS('Regular Season'!R:R,'Summary Page'!AD46,'Regular Season'!S:S,'Summary Page'!AC46)</f>
        <v>13</v>
      </c>
      <c r="AK46" s="36">
        <f t="shared" si="13"/>
        <v>105.7375</v>
      </c>
      <c r="AL46" s="47">
        <f t="shared" si="14"/>
        <v>2.0526149425287201</v>
      </c>
      <c r="AM46" s="36">
        <f>AVERAGEIFS('Regular Season'!T:T,'Regular Season'!R:R,'Summary Page'!AD46,'Regular Season'!S:S,'Summary Page'!AC46)</f>
        <v>122.48769230769228</v>
      </c>
      <c r="AN46" s="47">
        <f>AM46-VLOOKUP(AD46,'Summary Page (2)'!$B$5:$K$14,9,FALSE)</f>
        <v>-2.6709743589743624</v>
      </c>
      <c r="AO46" s="52">
        <f>COUNTIFS('Regular Season'!R:R,'Summary Page'!AD46,'Regular Season'!S:S,'Summary Page'!AC46)</f>
        <v>13</v>
      </c>
      <c r="AP46" s="36">
        <f>AVERAGEIFS('Regular Season'!U:U,'Regular Season'!S:S,'Summary Page'!AD46,'Regular Season'!R:R,'Summary Page'!AC46)</f>
        <v>103.74181818181819</v>
      </c>
      <c r="AQ46" s="47">
        <f>AP46-VLOOKUP(AD46,'Summary Page (2)'!$B$5:$K$14,10,FALSE)</f>
        <v>4.7946753246753104</v>
      </c>
      <c r="AR46" s="7">
        <f>COUNTIFS('Regular Season'!R:R,'Summary Page'!AC46,'Regular Season'!S:S,'Summary Page'!AD46)</f>
        <v>11</v>
      </c>
      <c r="AS46" s="36">
        <f t="shared" si="15"/>
        <v>113.89583333333333</v>
      </c>
      <c r="AT46" s="47">
        <f t="shared" si="16"/>
        <v>1.3910057471264281</v>
      </c>
      <c r="AU46" s="55">
        <f t="shared" si="17"/>
        <v>0.66160919540229202</v>
      </c>
      <c r="AW46" s="53">
        <v>10</v>
      </c>
      <c r="AX46" s="7" t="s">
        <v>35</v>
      </c>
      <c r="AY46" s="59" t="s">
        <v>32</v>
      </c>
      <c r="AZ46" s="36">
        <v>119.99749999999999</v>
      </c>
      <c r="BA46" s="47">
        <v>1.0190189873417523</v>
      </c>
      <c r="BB46" s="52">
        <v>8</v>
      </c>
      <c r="BC46" s="36">
        <v>81.577777777777783</v>
      </c>
      <c r="BD46" s="47">
        <v>-11.244194053208147</v>
      </c>
      <c r="BE46" s="7">
        <v>9</v>
      </c>
      <c r="BF46" s="36">
        <v>99.657647058823514</v>
      </c>
      <c r="BG46" s="57">
        <v>-6.9400862745098379</v>
      </c>
      <c r="BH46" s="36">
        <v>103.31555555555556</v>
      </c>
      <c r="BI46" s="47">
        <v>-13.785873015872994</v>
      </c>
      <c r="BJ46" s="52">
        <v>9</v>
      </c>
      <c r="BK46" s="36">
        <v>89.842500000000015</v>
      </c>
      <c r="BL46" s="47">
        <v>-3.7224999999999966</v>
      </c>
      <c r="BM46" s="7">
        <v>8</v>
      </c>
      <c r="BN46" s="36">
        <v>96.975294117647067</v>
      </c>
      <c r="BO46" s="57">
        <v>-7.5733725490195951</v>
      </c>
      <c r="BP46" s="49">
        <v>0.63328627450975716</v>
      </c>
    </row>
    <row r="47" spans="2:68" x14ac:dyDescent="0.3">
      <c r="B47" s="17" t="s">
        <v>52</v>
      </c>
      <c r="C47" s="12" t="s">
        <v>3</v>
      </c>
      <c r="D47" s="12"/>
      <c r="E47" s="12" t="s">
        <v>4</v>
      </c>
      <c r="F47" s="13"/>
      <c r="G47" s="13" t="s">
        <v>51</v>
      </c>
      <c r="H47" s="12"/>
      <c r="I47" s="12" t="s">
        <v>3</v>
      </c>
      <c r="J47" s="12"/>
      <c r="K47" s="12" t="s">
        <v>4</v>
      </c>
      <c r="L47" s="13"/>
      <c r="M47" s="13" t="s">
        <v>51</v>
      </c>
      <c r="N47" s="12"/>
      <c r="O47" s="12" t="s">
        <v>84</v>
      </c>
      <c r="AB47" s="53">
        <v>43</v>
      </c>
      <c r="AC47" s="7" t="s">
        <v>37</v>
      </c>
      <c r="AD47" s="7" t="s">
        <v>31</v>
      </c>
      <c r="AE47" s="36">
        <f>AVERAGEIFS('Regular Season'!T:T,'Regular Season'!R:R,'Summary Page'!AC47,'Regular Season'!S:S,'Summary Page'!AD47)</f>
        <v>119.25272727272726</v>
      </c>
      <c r="AF47" s="47">
        <f>AE47-VLOOKUP(AC47,'Summary Page (2)'!$B$5:$K$14,9,FALSE)</f>
        <v>3.4124833702882427</v>
      </c>
      <c r="AG47" s="52">
        <f>COUNTIFS('Regular Season'!R:R,'Summary Page'!AC47,'Regular Season'!S:S,'Summary Page'!AD47)</f>
        <v>11</v>
      </c>
      <c r="AH47" s="36">
        <f>AVERAGEIFS('Regular Season'!U:U,'Regular Season'!S:S,'Summary Page'!AC47,'Regular Season'!R:R,'Summary Page'!AD47)</f>
        <v>86.741249999999994</v>
      </c>
      <c r="AI47" s="47">
        <f>AH47-VLOOKUP(AC47,'Summary Page (2)'!$B$5:$K$14,10,FALSE)</f>
        <v>-6.1095108695652414</v>
      </c>
      <c r="AJ47" s="7">
        <f>COUNTIFS('Regular Season'!R:R,'Summary Page'!AD47,'Regular Season'!S:S,'Summary Page'!AC47)</f>
        <v>8</v>
      </c>
      <c r="AK47" s="36">
        <f t="shared" si="13"/>
        <v>105.56368421052629</v>
      </c>
      <c r="AL47" s="47">
        <f t="shared" si="14"/>
        <v>1.878799153055013</v>
      </c>
      <c r="AM47" s="36">
        <f>AVERAGEIFS('Regular Season'!T:T,'Regular Season'!R:R,'Summary Page'!AD47,'Regular Season'!S:S,'Summary Page'!AC47)</f>
        <v>115.965</v>
      </c>
      <c r="AN47" s="47">
        <f>AM47-VLOOKUP(AD47,'Summary Page (2)'!$B$5:$K$14,9,FALSE)</f>
        <v>-4.4773809523809263</v>
      </c>
      <c r="AO47" s="52">
        <f>COUNTIFS('Regular Season'!R:R,'Summary Page'!AD47,'Regular Season'!S:S,'Summary Page'!AC47)</f>
        <v>8</v>
      </c>
      <c r="AP47" s="36">
        <f>AVERAGEIFS('Regular Season'!U:U,'Regular Season'!S:S,'Summary Page'!AD47,'Regular Season'!R:R,'Summary Page'!AC47)</f>
        <v>104.80363636363637</v>
      </c>
      <c r="AQ47" s="47">
        <f>AP47-VLOOKUP(AD47,'Summary Page (2)'!$B$5:$K$14,10,FALSE)</f>
        <v>10.297954545454516</v>
      </c>
      <c r="AR47" s="7">
        <f>COUNTIFS('Regular Season'!R:R,'Summary Page'!AC47,'Regular Season'!S:S,'Summary Page'!AD47)</f>
        <v>11</v>
      </c>
      <c r="AS47" s="36">
        <f t="shared" si="15"/>
        <v>109.50315789473686</v>
      </c>
      <c r="AT47" s="47">
        <f t="shared" si="16"/>
        <v>2.3307160342717168</v>
      </c>
      <c r="AU47" s="55">
        <f t="shared" si="17"/>
        <v>-0.45191688121670381</v>
      </c>
      <c r="AW47" s="53">
        <v>29</v>
      </c>
      <c r="AX47" s="7" t="s">
        <v>38</v>
      </c>
      <c r="AY47" s="59" t="s">
        <v>35</v>
      </c>
      <c r="AZ47" s="36">
        <v>133.11000000000001</v>
      </c>
      <c r="BA47" s="47">
        <v>15.246785714285693</v>
      </c>
      <c r="BB47" s="52">
        <v>6</v>
      </c>
      <c r="BC47" s="36">
        <v>92.73</v>
      </c>
      <c r="BD47" s="47">
        <v>1.8342553191488946</v>
      </c>
      <c r="BE47" s="7">
        <v>14</v>
      </c>
      <c r="BF47" s="36">
        <v>104.84400000000001</v>
      </c>
      <c r="BG47" s="57">
        <v>3.8803999999999661</v>
      </c>
      <c r="BH47" s="36">
        <v>117.42285714285715</v>
      </c>
      <c r="BI47" s="47">
        <v>-1.5556238698010816</v>
      </c>
      <c r="BJ47" s="52">
        <v>14</v>
      </c>
      <c r="BK47" s="36">
        <v>93.02</v>
      </c>
      <c r="BL47" s="47">
        <v>0.19802816901406572</v>
      </c>
      <c r="BM47" s="7">
        <v>6</v>
      </c>
      <c r="BN47" s="36">
        <v>110.102</v>
      </c>
      <c r="BO47" s="57">
        <v>3.504266666666652</v>
      </c>
      <c r="BP47" s="49">
        <v>0.37613333333331411</v>
      </c>
    </row>
    <row r="48" spans="2:68" x14ac:dyDescent="0.3">
      <c r="B48" s="7" t="s">
        <v>32</v>
      </c>
      <c r="C48" s="36">
        <f>IFERROR(AVERAGEIFS('Regular Season'!T:T,'Regular Season'!R:R,'Summary Page'!$D$30,'Regular Season'!S:S,'Summary Page'!B48),"")</f>
        <v>128.71272727272728</v>
      </c>
      <c r="D48" s="47">
        <f>IFERROR(C48-$C$58,"")</f>
        <v>3.5540606060606308</v>
      </c>
      <c r="E48" s="36">
        <f>IFERROR(AVERAGEIFS('Regular Season'!U:U,'Regular Season'!S:S,'Summary Page'!$D$30,'Regular Season'!R:R,'Summary Page'!B48),"")</f>
        <v>92.804444444444428</v>
      </c>
      <c r="F48" s="47">
        <f>IFERROR(E48-$E$58,"")</f>
        <v>-6.1426984126984507</v>
      </c>
      <c r="G48" s="36">
        <f t="shared" ref="G48:G57" si="18">IFERROR(((C48*C34)+(E48*D34))/SUM(C34:D34),"")</f>
        <v>112.554</v>
      </c>
      <c r="H48" s="48">
        <f>IFERROR(G48-$G$58,"")</f>
        <v>4.9172413793101555E-2</v>
      </c>
      <c r="I48" s="36">
        <f>IFERROR(AVERAGEIFS('Regular Season'!T:T,'Regular Season'!R:R,'Summary Page'!B48,'Regular Season'!S:S,'Summary Page'!$D$30),"")</f>
        <v>114.09555555555555</v>
      </c>
      <c r="J48" s="47">
        <f>IFERROR(I48-J5,"")</f>
        <v>-3.841421188630477</v>
      </c>
      <c r="K48" s="36">
        <f>IFERROR(AVERAGEIFS('Regular Season'!U:U,'Regular Season'!R:R,'Summary Page'!$D$30,'Regular Season'!S:S,'Summary Page'!B48),"")</f>
        <v>98.785454545454527</v>
      </c>
      <c r="L48" s="47">
        <f>IFERROR(K48-K5,"")</f>
        <v>4.6922727272726945</v>
      </c>
      <c r="M48" s="36">
        <f t="shared" ref="M48:M57" si="19">IFERROR(((I48*D34)+(K48*C34))/SUM(C34:D34),"")</f>
        <v>105.675</v>
      </c>
      <c r="N48" s="48">
        <f>IFERROR(M48-H5,"")</f>
        <v>-0.20304597701148452</v>
      </c>
      <c r="O48" s="49">
        <f>IFERROR(H48-N48,"")</f>
        <v>0.25221839080458608</v>
      </c>
      <c r="AB48" s="53">
        <v>44</v>
      </c>
      <c r="AC48" s="7" t="s">
        <v>37</v>
      </c>
      <c r="AD48" s="7" t="s">
        <v>33</v>
      </c>
      <c r="AE48" s="36">
        <f>AVERAGEIFS('Regular Season'!T:T,'Regular Season'!R:R,'Summary Page'!AC48,'Regular Season'!S:S,'Summary Page'!AD48)</f>
        <v>115.39333333333333</v>
      </c>
      <c r="AF48" s="47">
        <f>AE48-VLOOKUP(AC48,'Summary Page (2)'!$B$5:$K$14,9,FALSE)</f>
        <v>-0.4469105691056825</v>
      </c>
      <c r="AG48" s="52">
        <f>COUNTIFS('Regular Season'!R:R,'Summary Page'!AC48,'Regular Season'!S:S,'Summary Page'!AD48)</f>
        <v>6</v>
      </c>
      <c r="AH48" s="36">
        <f>AVERAGEIFS('Regular Season'!U:U,'Regular Season'!S:S,'Summary Page'!AC48,'Regular Season'!R:R,'Summary Page'!AD48)</f>
        <v>95.525263157894742</v>
      </c>
      <c r="AI48" s="47">
        <f>AH48-VLOOKUP(AC48,'Summary Page (2)'!$B$5:$K$14,10,FALSE)</f>
        <v>2.6745022883295064</v>
      </c>
      <c r="AJ48" s="7">
        <f>COUNTIFS('Regular Season'!R:R,'Summary Page'!AD48,'Regular Season'!S:S,'Summary Page'!AC48)</f>
        <v>19</v>
      </c>
      <c r="AK48" s="36">
        <f t="shared" si="13"/>
        <v>100.29360000000001</v>
      </c>
      <c r="AL48" s="47">
        <f t="shared" si="14"/>
        <v>-3.391285057471265</v>
      </c>
      <c r="AM48" s="36">
        <f>AVERAGEIFS('Regular Season'!T:T,'Regular Season'!R:R,'Summary Page'!AD48,'Regular Season'!S:S,'Summary Page'!AC48)</f>
        <v>119.61684210526315</v>
      </c>
      <c r="AN48" s="47">
        <f>AM48-VLOOKUP(AD48,'Summary Page (2)'!$B$5:$K$14,9,FALSE)</f>
        <v>-1.1394324045407842</v>
      </c>
      <c r="AO48" s="52">
        <f>COUNTIFS('Regular Season'!R:R,'Summary Page'!AD48,'Regular Season'!S:S,'Summary Page'!AC48)</f>
        <v>19</v>
      </c>
      <c r="AP48" s="36">
        <f>AVERAGEIFS('Regular Season'!U:U,'Regular Season'!S:S,'Summary Page'!AD48,'Regular Season'!R:R,'Summary Page'!AC48)</f>
        <v>94.056666666666672</v>
      </c>
      <c r="AQ48" s="47">
        <f>AP48-VLOOKUP(AD48,'Summary Page (2)'!$B$5:$K$14,10,FALSE)</f>
        <v>-2.6357657657657398</v>
      </c>
      <c r="AR48" s="7">
        <f>COUNTIFS('Regular Season'!R:R,'Summary Page'!AC48,'Regular Season'!S:S,'Summary Page'!AD48)</f>
        <v>6</v>
      </c>
      <c r="AS48" s="36">
        <f t="shared" si="15"/>
        <v>113.4824</v>
      </c>
      <c r="AT48" s="47">
        <f t="shared" si="16"/>
        <v>2.8438772727272692</v>
      </c>
      <c r="AU48" s="55">
        <f t="shared" si="17"/>
        <v>-6.2351623301985342</v>
      </c>
      <c r="AW48" s="53">
        <v>42</v>
      </c>
      <c r="AX48" s="7" t="s">
        <v>37</v>
      </c>
      <c r="AY48" s="59" t="s">
        <v>29</v>
      </c>
      <c r="AZ48" s="36">
        <v>117.71599999999998</v>
      </c>
      <c r="BA48" s="47">
        <v>2.1713424657533977</v>
      </c>
      <c r="BB48" s="52">
        <v>10</v>
      </c>
      <c r="BC48" s="36">
        <v>91.023636363636356</v>
      </c>
      <c r="BD48" s="47">
        <v>-0.50519480519486137</v>
      </c>
      <c r="BE48" s="7">
        <v>11</v>
      </c>
      <c r="BF48" s="36">
        <v>103.73428571428569</v>
      </c>
      <c r="BG48" s="57">
        <v>0.51775238095233078</v>
      </c>
      <c r="BH48" s="36">
        <v>119.12545454545453</v>
      </c>
      <c r="BI48" s="47">
        <v>-3.3014898989899137</v>
      </c>
      <c r="BJ48" s="52">
        <v>11</v>
      </c>
      <c r="BK48" s="36">
        <v>100.3</v>
      </c>
      <c r="BL48" s="47">
        <v>1.9030769230768954</v>
      </c>
      <c r="BM48" s="7">
        <v>10</v>
      </c>
      <c r="BN48" s="36">
        <v>110.16095238095238</v>
      </c>
      <c r="BO48" s="57">
        <v>0.22961904761903895</v>
      </c>
      <c r="BP48" s="49">
        <v>0.28813333333329183</v>
      </c>
    </row>
    <row r="49" spans="2:68" x14ac:dyDescent="0.3">
      <c r="B49" s="7" t="s">
        <v>35</v>
      </c>
      <c r="C49" s="36">
        <f>IFERROR(AVERAGEIFS('Regular Season'!T:T,'Regular Season'!R:R,'Summary Page'!$D$30,'Regular Season'!S:S,'Summary Page'!B49),"")</f>
        <v>124.2</v>
      </c>
      <c r="D49" s="47">
        <f t="shared" ref="D49:D57" si="20">IFERROR(C49-$C$58,"")</f>
        <v>-0.95866666666664457</v>
      </c>
      <c r="E49" s="36">
        <f>IFERROR(AVERAGEIFS('Regular Season'!U:U,'Regular Season'!S:S,'Summary Page'!$D$30,'Regular Season'!R:R,'Summary Page'!B49),"")</f>
        <v>98.089999999999989</v>
      </c>
      <c r="F49" s="47">
        <f t="shared" ref="F49:F57" si="21">IFERROR(E49-$E$58,"")</f>
        <v>-0.85714285714288962</v>
      </c>
      <c r="G49" s="36">
        <f t="shared" si="18"/>
        <v>114.40875</v>
      </c>
      <c r="H49" s="48">
        <f t="shared" ref="H49:H57" si="22">IFERROR(G49-$G$58,"")</f>
        <v>1.9039224137930972</v>
      </c>
      <c r="I49" s="36">
        <f>IFERROR(AVERAGEIFS('Regular Season'!T:T,'Regular Season'!R:R,'Summary Page'!B49,'Regular Season'!S:S,'Summary Page'!$D$30),"")</f>
        <v>128.18</v>
      </c>
      <c r="J49" s="47">
        <f>IFERROR(I49-J6,"")</f>
        <v>8.7064516129032228</v>
      </c>
      <c r="K49" s="36">
        <f>IFERROR(AVERAGEIFS('Regular Season'!U:U,'Regular Season'!R:R,'Summary Page'!$D$30,'Regular Season'!S:S,'Summary Page'!B49),"")</f>
        <v>93.75</v>
      </c>
      <c r="L49" s="47">
        <f t="shared" ref="L49:L57" si="23">IFERROR(K49-K6,"")</f>
        <v>0.6766666666666481</v>
      </c>
      <c r="M49" s="36">
        <f t="shared" si="19"/>
        <v>106.66125</v>
      </c>
      <c r="N49" s="48">
        <f t="shared" ref="N49:N57" si="24">IFERROR(M49-H6,"")</f>
        <v>-0.52254310344829946</v>
      </c>
      <c r="O49" s="49">
        <f t="shared" ref="O49:O57" si="25">IFERROR(H49-N49,"")</f>
        <v>2.4264655172413967</v>
      </c>
      <c r="AB49" s="53">
        <v>45</v>
      </c>
      <c r="AC49" s="7" t="s">
        <v>37</v>
      </c>
      <c r="AD49" s="7" t="s">
        <v>36</v>
      </c>
      <c r="AE49" s="36">
        <f>AVERAGEIFS('Regular Season'!T:T,'Regular Season'!R:R,'Summary Page'!AC49,'Regular Season'!S:S,'Summary Page'!AD49)</f>
        <v>120.968</v>
      </c>
      <c r="AF49" s="47">
        <f>AE49-VLOOKUP(AC49,'Summary Page (2)'!$B$5:$K$14,9,FALSE)</f>
        <v>5.1277560975609902</v>
      </c>
      <c r="AG49" s="52">
        <f>COUNTIFS('Regular Season'!R:R,'Summary Page'!AC49,'Regular Season'!S:S,'Summary Page'!AD49)</f>
        <v>5</v>
      </c>
      <c r="AH49" s="36">
        <f>AVERAGEIFS('Regular Season'!U:U,'Regular Season'!S:S,'Summary Page'!AC49,'Regular Season'!R:R,'Summary Page'!AD49)</f>
        <v>79.474000000000004</v>
      </c>
      <c r="AI49" s="47">
        <f>AH49-VLOOKUP(AC49,'Summary Page (2)'!$B$5:$K$14,10,FALSE)</f>
        <v>-13.376760869565231</v>
      </c>
      <c r="AJ49" s="7">
        <f>COUNTIFS('Regular Season'!R:R,'Summary Page'!AD49,'Regular Season'!S:S,'Summary Page'!AC49)</f>
        <v>10</v>
      </c>
      <c r="AK49" s="36">
        <f t="shared" si="13"/>
        <v>93.305333333333323</v>
      </c>
      <c r="AL49" s="47">
        <f t="shared" si="14"/>
        <v>-10.379551724137954</v>
      </c>
      <c r="AM49" s="36">
        <f>AVERAGEIFS('Regular Season'!T:T,'Regular Season'!R:R,'Summary Page'!AD49,'Regular Season'!S:S,'Summary Page'!AC49)</f>
        <v>109.03800000000001</v>
      </c>
      <c r="AN49" s="47">
        <f>AM49-VLOOKUP(AD49,'Summary Page (2)'!$B$5:$K$14,9,FALSE)</f>
        <v>-7.0398260869564666</v>
      </c>
      <c r="AO49" s="52">
        <f>COUNTIFS('Regular Season'!R:R,'Summary Page'!AD49,'Regular Season'!S:S,'Summary Page'!AC49)</f>
        <v>10</v>
      </c>
      <c r="AP49" s="36">
        <f>AVERAGEIFS('Regular Season'!U:U,'Regular Season'!S:S,'Summary Page'!AD49,'Regular Season'!R:R,'Summary Page'!AC49)</f>
        <v>91.316000000000003</v>
      </c>
      <c r="AQ49" s="47">
        <f>AP49-VLOOKUP(AD49,'Summary Page (2)'!$B$5:$K$14,10,FALSE)</f>
        <v>-3.4542439024390035</v>
      </c>
      <c r="AR49" s="7">
        <f>COUNTIFS('Regular Season'!R:R,'Summary Page'!AC49,'Regular Season'!S:S,'Summary Page'!AD49)</f>
        <v>5</v>
      </c>
      <c r="AS49" s="36">
        <f t="shared" si="15"/>
        <v>103.13066666666667</v>
      </c>
      <c r="AT49" s="47">
        <f t="shared" si="16"/>
        <v>-2.9056551724137734</v>
      </c>
      <c r="AU49" s="55">
        <f t="shared" si="17"/>
        <v>-7.4738965517241809</v>
      </c>
      <c r="AW49" s="53">
        <v>2</v>
      </c>
      <c r="AX49" s="7" t="s">
        <v>32</v>
      </c>
      <c r="AY49" s="59" t="s">
        <v>30</v>
      </c>
      <c r="AZ49" s="36">
        <v>121</v>
      </c>
      <c r="BA49" s="47">
        <v>3.8985714285714437</v>
      </c>
      <c r="BB49" s="52">
        <v>4</v>
      </c>
      <c r="BC49" s="36">
        <v>100.6925</v>
      </c>
      <c r="BD49" s="47">
        <v>7.1274999999999835</v>
      </c>
      <c r="BE49" s="7">
        <v>8</v>
      </c>
      <c r="BF49" s="36">
        <v>107.46166666666666</v>
      </c>
      <c r="BG49" s="57">
        <v>2.9129999999999967</v>
      </c>
      <c r="BH49" s="36">
        <v>117.63250000000001</v>
      </c>
      <c r="BI49" s="47">
        <v>-4.8501315789473836</v>
      </c>
      <c r="BJ49" s="52">
        <v>8</v>
      </c>
      <c r="BK49" s="36">
        <v>101.81</v>
      </c>
      <c r="BL49" s="47">
        <v>5.4921621621621597</v>
      </c>
      <c r="BM49" s="7">
        <v>4</v>
      </c>
      <c r="BN49" s="36">
        <v>112.35833333333335</v>
      </c>
      <c r="BO49" s="57">
        <v>2.7836666666666474</v>
      </c>
      <c r="BP49" s="49">
        <v>0.12933333333334929</v>
      </c>
    </row>
    <row r="50" spans="2:68" x14ac:dyDescent="0.3">
      <c r="B50" s="7" t="s">
        <v>30</v>
      </c>
      <c r="C50" s="36">
        <f>IFERROR(AVERAGEIFS('Regular Season'!T:T,'Regular Season'!R:R,'Summary Page'!$D$30,'Regular Season'!S:S,'Summary Page'!B50),"")</f>
        <v>119.58599999999998</v>
      </c>
      <c r="D50" s="47">
        <f t="shared" si="20"/>
        <v>-5.5726666666666631</v>
      </c>
      <c r="E50" s="36">
        <f>IFERROR(AVERAGEIFS('Regular Season'!U:U,'Regular Season'!S:S,'Summary Page'!$D$30,'Regular Season'!R:R,'Summary Page'!B50),"")</f>
        <v>97.685999999999993</v>
      </c>
      <c r="F50" s="47">
        <f t="shared" si="21"/>
        <v>-1.261142857142886</v>
      </c>
      <c r="G50" s="36">
        <f t="shared" si="18"/>
        <v>108.636</v>
      </c>
      <c r="H50" s="48">
        <f t="shared" si="22"/>
        <v>-3.8688275862069048</v>
      </c>
      <c r="I50" s="36">
        <f>IFERROR(AVERAGEIFS('Regular Season'!T:T,'Regular Season'!R:R,'Summary Page'!B50,'Regular Season'!S:S,'Summary Page'!$D$30),"")</f>
        <v>126.32599999999999</v>
      </c>
      <c r="J50" s="47">
        <f t="shared" ref="J50:J57" si="26">IFERROR(I50-J7,"")</f>
        <v>4.6262469135802178</v>
      </c>
      <c r="K50" s="36">
        <f>IFERROR(AVERAGEIFS('Regular Season'!U:U,'Regular Season'!R:R,'Summary Page'!$D$30,'Regular Season'!S:S,'Summary Page'!B50),"")</f>
        <v>89.965999999999994</v>
      </c>
      <c r="L50" s="47">
        <f t="shared" si="23"/>
        <v>-4.9100869565217238</v>
      </c>
      <c r="M50" s="36">
        <f t="shared" si="19"/>
        <v>108.146</v>
      </c>
      <c r="N50" s="48">
        <f t="shared" si="24"/>
        <v>0.71085549132948245</v>
      </c>
      <c r="O50" s="49">
        <f t="shared" si="25"/>
        <v>-4.5796830775363873</v>
      </c>
      <c r="AB50" s="53">
        <v>46</v>
      </c>
      <c r="AC50" s="7" t="s">
        <v>34</v>
      </c>
      <c r="AD50" s="7" t="s">
        <v>32</v>
      </c>
      <c r="AE50" s="36">
        <f>AVERAGEIFS('Regular Season'!T:T,'Regular Season'!R:R,'Summary Page'!AC50,'Regular Season'!S:S,'Summary Page'!AD50)</f>
        <v>116.0342857142857</v>
      </c>
      <c r="AF50" s="47">
        <f>AE50-VLOOKUP(AC50,'Summary Page (2)'!$B$5:$K$14,9,FALSE)</f>
        <v>-6.3083516483516604</v>
      </c>
      <c r="AG50" s="52">
        <f>COUNTIFS('Regular Season'!R:R,'Summary Page'!AC50,'Regular Season'!S:S,'Summary Page'!AD50)</f>
        <v>7</v>
      </c>
      <c r="AH50" s="36">
        <f>AVERAGEIFS('Regular Season'!U:U,'Regular Season'!S:S,'Summary Page'!AC50,'Regular Season'!R:R,'Summary Page'!AD50)</f>
        <v>106.4175</v>
      </c>
      <c r="AI50" s="47">
        <f>AH50-VLOOKUP(AC50,'Summary Page (2)'!$B$5:$K$14,10,FALSE)</f>
        <v>10.017500000000013</v>
      </c>
      <c r="AJ50" s="7">
        <f>COUNTIFS('Regular Season'!R:R,'Summary Page'!AD50,'Regular Season'!S:S,'Summary Page'!AC50)</f>
        <v>8</v>
      </c>
      <c r="AK50" s="36">
        <f t="shared" si="13"/>
        <v>110.90533333333333</v>
      </c>
      <c r="AL50" s="47">
        <f t="shared" si="14"/>
        <v>0.93763218390806458</v>
      </c>
      <c r="AM50" s="36">
        <f>AVERAGEIFS('Regular Season'!T:T,'Regular Season'!R:R,'Summary Page'!AD50,'Regular Season'!S:S,'Summary Page'!AC50)</f>
        <v>125.45249999999999</v>
      </c>
      <c r="AN50" s="47">
        <f>AM50-VLOOKUP(AD50,'Summary Page (2)'!$B$5:$K$14,9,FALSE)</f>
        <v>7.5155232558139602</v>
      </c>
      <c r="AO50" s="52">
        <f>COUNTIFS('Regular Season'!R:R,'Summary Page'!AD50,'Regular Season'!S:S,'Summary Page'!AC50)</f>
        <v>8</v>
      </c>
      <c r="AP50" s="36">
        <f>AVERAGEIFS('Regular Season'!U:U,'Regular Season'!S:S,'Summary Page'!AD50,'Regular Season'!R:R,'Summary Page'!AC50)</f>
        <v>95.342857142857127</v>
      </c>
      <c r="AQ50" s="47">
        <f>AP50-VLOOKUP(AD50,'Summary Page (2)'!$B$5:$K$14,10,FALSE)</f>
        <v>1.2496753246752945</v>
      </c>
      <c r="AR50" s="7">
        <f>COUNTIFS('Regular Season'!R:R,'Summary Page'!AC50,'Regular Season'!S:S,'Summary Page'!AD50)</f>
        <v>7</v>
      </c>
      <c r="AS50" s="36">
        <f t="shared" si="15"/>
        <v>111.40133333333331</v>
      </c>
      <c r="AT50" s="47">
        <f t="shared" si="16"/>
        <v>5.5232873563218305</v>
      </c>
      <c r="AU50" s="55">
        <f t="shared" si="17"/>
        <v>-4.585655172413766</v>
      </c>
      <c r="AW50" s="53">
        <v>19</v>
      </c>
      <c r="AX50" s="7" t="s">
        <v>30</v>
      </c>
      <c r="AY50" s="59" t="s">
        <v>32</v>
      </c>
      <c r="AZ50" s="36">
        <v>117.63250000000001</v>
      </c>
      <c r="BA50" s="47">
        <v>-4.8501315789473836</v>
      </c>
      <c r="BB50" s="52">
        <v>8</v>
      </c>
      <c r="BC50" s="36">
        <v>101.81</v>
      </c>
      <c r="BD50" s="47">
        <v>5.4921621621621597</v>
      </c>
      <c r="BE50" s="7">
        <v>4</v>
      </c>
      <c r="BF50" s="36">
        <v>112.35833333333335</v>
      </c>
      <c r="BG50" s="57">
        <v>2.7836666666666474</v>
      </c>
      <c r="BH50" s="36">
        <v>121</v>
      </c>
      <c r="BI50" s="47">
        <v>3.8985714285714437</v>
      </c>
      <c r="BJ50" s="52">
        <v>4</v>
      </c>
      <c r="BK50" s="36">
        <v>100.6925</v>
      </c>
      <c r="BL50" s="47">
        <v>7.1274999999999835</v>
      </c>
      <c r="BM50" s="7">
        <v>8</v>
      </c>
      <c r="BN50" s="36">
        <v>107.46166666666666</v>
      </c>
      <c r="BO50" s="57">
        <v>2.9129999999999967</v>
      </c>
      <c r="BP50" s="49">
        <v>-0.12933333333334929</v>
      </c>
    </row>
    <row r="51" spans="2:68" x14ac:dyDescent="0.3">
      <c r="B51" s="7" t="s">
        <v>38</v>
      </c>
      <c r="C51" s="36">
        <f>IFERROR(AVERAGEIFS('Regular Season'!T:T,'Regular Season'!R:R,'Summary Page'!$D$30,'Regular Season'!S:S,'Summary Page'!B51),"")</f>
        <v>116.19777777777777</v>
      </c>
      <c r="D51" s="47">
        <f t="shared" si="20"/>
        <v>-8.9608888888888742</v>
      </c>
      <c r="E51" s="36">
        <f>IFERROR(AVERAGEIFS('Regular Season'!U:U,'Regular Season'!S:S,'Summary Page'!$D$30,'Regular Season'!R:R,'Summary Page'!B51),"")</f>
        <v>92.28</v>
      </c>
      <c r="F51" s="47">
        <f t="shared" si="21"/>
        <v>-6.6671428571428777</v>
      </c>
      <c r="G51" s="36">
        <f t="shared" si="18"/>
        <v>108.83846153846154</v>
      </c>
      <c r="H51" s="48">
        <f t="shared" si="22"/>
        <v>-3.6663660477453561</v>
      </c>
      <c r="I51" s="36">
        <f>IFERROR(AVERAGEIFS('Regular Season'!T:T,'Regular Season'!R:R,'Summary Page'!B51,'Regular Season'!S:S,'Summary Page'!$D$30),"")</f>
        <v>110.25</v>
      </c>
      <c r="J51" s="47">
        <f t="shared" si="26"/>
        <v>-8.9381159420290004</v>
      </c>
      <c r="K51" s="36">
        <f>IFERROR(AVERAGEIFS('Regular Season'!U:U,'Regular Season'!R:R,'Summary Page'!$D$30,'Regular Season'!S:S,'Summary Page'!B51),"")</f>
        <v>87.584444444444443</v>
      </c>
      <c r="L51" s="47">
        <f t="shared" si="23"/>
        <v>-2.9619706498952496</v>
      </c>
      <c r="M51" s="36">
        <f t="shared" si="19"/>
        <v>94.558461538461543</v>
      </c>
      <c r="N51" s="48">
        <f t="shared" si="24"/>
        <v>-7.2809670329670837</v>
      </c>
      <c r="O51" s="49">
        <f t="shared" si="25"/>
        <v>3.6146009852217276</v>
      </c>
      <c r="AB51" s="53">
        <v>47</v>
      </c>
      <c r="AC51" s="7" t="s">
        <v>34</v>
      </c>
      <c r="AD51" s="7" t="s">
        <v>35</v>
      </c>
      <c r="AE51" s="36">
        <f>AVERAGEIFS('Regular Season'!T:T,'Regular Season'!R:R,'Summary Page'!AC51,'Regular Season'!S:S,'Summary Page'!AD51)</f>
        <v>114.54222222222224</v>
      </c>
      <c r="AF51" s="47">
        <f>AE51-VLOOKUP(AC51,'Summary Page (2)'!$B$5:$K$14,9,FALSE)</f>
        <v>-7.8004151404151258</v>
      </c>
      <c r="AG51" s="52">
        <f>COUNTIFS('Regular Season'!R:R,'Summary Page'!AC51,'Regular Season'!S:S,'Summary Page'!AD51)</f>
        <v>9</v>
      </c>
      <c r="AH51" s="36">
        <f>AVERAGEIFS('Regular Season'!U:U,'Regular Season'!S:S,'Summary Page'!AC51,'Regular Season'!R:R,'Summary Page'!AD51)</f>
        <v>86.933999999999997</v>
      </c>
      <c r="AI51" s="47">
        <f>AH51-VLOOKUP(AC51,'Summary Page (2)'!$B$5:$K$14,10,FALSE)</f>
        <v>-9.465999999999994</v>
      </c>
      <c r="AJ51" s="7">
        <f>COUNTIFS('Regular Season'!R:R,'Summary Page'!AD51,'Regular Season'!S:S,'Summary Page'!AC51)</f>
        <v>10</v>
      </c>
      <c r="AK51" s="36">
        <f t="shared" si="13"/>
        <v>100.01157894736842</v>
      </c>
      <c r="AL51" s="47">
        <f t="shared" si="14"/>
        <v>-9.9561222020568465</v>
      </c>
      <c r="AM51" s="36">
        <f>AVERAGEIFS('Regular Season'!T:T,'Regular Season'!R:R,'Summary Page'!AD51,'Regular Season'!S:S,'Summary Page'!AC51)</f>
        <v>109.71200000000002</v>
      </c>
      <c r="AN51" s="47">
        <f>AM51-VLOOKUP(AD51,'Summary Page (2)'!$B$5:$K$14,9,FALSE)</f>
        <v>-9.7615483870967665</v>
      </c>
      <c r="AO51" s="52">
        <f>COUNTIFS('Regular Season'!R:R,'Summary Page'!AD51,'Regular Season'!S:S,'Summary Page'!AC51)</f>
        <v>10</v>
      </c>
      <c r="AP51" s="36">
        <f>AVERAGEIFS('Regular Season'!U:U,'Regular Season'!S:S,'Summary Page'!AD51,'Regular Season'!R:R,'Summary Page'!AC51)</f>
        <v>88.766666666666666</v>
      </c>
      <c r="AQ51" s="47">
        <f>AP51-VLOOKUP(AD51,'Summary Page (2)'!$B$5:$K$14,10,FALSE)</f>
        <v>-4.3066666666666862</v>
      </c>
      <c r="AR51" s="7">
        <f>COUNTIFS('Regular Season'!R:R,'Summary Page'!AC51,'Regular Season'!S:S,'Summary Page'!AD51)</f>
        <v>9</v>
      </c>
      <c r="AS51" s="36">
        <f t="shared" si="15"/>
        <v>99.790526315789478</v>
      </c>
      <c r="AT51" s="47">
        <f t="shared" si="16"/>
        <v>-7.393266787658817</v>
      </c>
      <c r="AU51" s="55">
        <f t="shared" si="17"/>
        <v>-2.5628554143980296</v>
      </c>
      <c r="AW51" s="53">
        <v>59</v>
      </c>
      <c r="AX51" s="7" t="s">
        <v>29</v>
      </c>
      <c r="AY51" s="59" t="s">
        <v>37</v>
      </c>
      <c r="AZ51" s="36">
        <v>119.12545454545453</v>
      </c>
      <c r="BA51" s="47">
        <v>-3.3014898989899137</v>
      </c>
      <c r="BB51" s="52">
        <v>11</v>
      </c>
      <c r="BC51" s="36">
        <v>100.3</v>
      </c>
      <c r="BD51" s="47">
        <v>1.9030769230768954</v>
      </c>
      <c r="BE51" s="7">
        <v>10</v>
      </c>
      <c r="BF51" s="36">
        <v>110.16095238095238</v>
      </c>
      <c r="BG51" s="57">
        <v>0.22961904761903895</v>
      </c>
      <c r="BH51" s="36">
        <v>117.71599999999998</v>
      </c>
      <c r="BI51" s="47">
        <v>2.1713424657533977</v>
      </c>
      <c r="BJ51" s="52">
        <v>10</v>
      </c>
      <c r="BK51" s="36">
        <v>91.023636363636356</v>
      </c>
      <c r="BL51" s="47">
        <v>-0.50519480519486137</v>
      </c>
      <c r="BM51" s="7">
        <v>11</v>
      </c>
      <c r="BN51" s="36">
        <v>103.73428571428569</v>
      </c>
      <c r="BO51" s="57">
        <v>0.51775238095233078</v>
      </c>
      <c r="BP51" s="49">
        <v>-0.28813333333329183</v>
      </c>
    </row>
    <row r="52" spans="2:68" x14ac:dyDescent="0.3">
      <c r="B52" s="7" t="s">
        <v>37</v>
      </c>
      <c r="C52" s="36">
        <f>IFERROR(AVERAGEIFS('Regular Season'!T:T,'Regular Season'!R:R,'Summary Page'!$D$30,'Regular Season'!S:S,'Summary Page'!B52),"")</f>
        <v>122.48769230769228</v>
      </c>
      <c r="D52" s="47">
        <f t="shared" si="20"/>
        <v>-2.6709743589743624</v>
      </c>
      <c r="E52" s="36">
        <f>IFERROR(AVERAGEIFS('Regular Season'!U:U,'Regular Season'!S:S,'Summary Page'!$D$30,'Regular Season'!R:R,'Summary Page'!B52),"")</f>
        <v>103.74181818181819</v>
      </c>
      <c r="F52" s="47">
        <f t="shared" si="21"/>
        <v>4.7946753246753104</v>
      </c>
      <c r="G52" s="36">
        <f t="shared" si="18"/>
        <v>113.89583333333333</v>
      </c>
      <c r="H52" s="48">
        <f t="shared" si="22"/>
        <v>1.3910057471264281</v>
      </c>
      <c r="I52" s="36">
        <f>IFERROR(AVERAGEIFS('Regular Season'!T:T,'Regular Season'!R:R,'Summary Page'!B52,'Regular Season'!S:S,'Summary Page'!$D$30),"")</f>
        <v>121.6</v>
      </c>
      <c r="J52" s="47">
        <f t="shared" si="26"/>
        <v>5.7597560975609809</v>
      </c>
      <c r="K52" s="36">
        <f>IFERROR(AVERAGEIFS('Regular Season'!U:U,'Regular Season'!R:R,'Summary Page'!$D$30,'Regular Season'!S:S,'Summary Page'!B52),"")</f>
        <v>92.315384615384602</v>
      </c>
      <c r="L52" s="47">
        <f t="shared" si="23"/>
        <v>-0.53537625418063328</v>
      </c>
      <c r="M52" s="36">
        <f t="shared" si="19"/>
        <v>105.7375</v>
      </c>
      <c r="N52" s="48">
        <f t="shared" si="24"/>
        <v>2.0526149425287201</v>
      </c>
      <c r="O52" s="49">
        <f t="shared" si="25"/>
        <v>-0.66160919540229202</v>
      </c>
      <c r="AB52" s="53">
        <v>48</v>
      </c>
      <c r="AC52" s="7" t="s">
        <v>34</v>
      </c>
      <c r="AD52" s="7" t="s">
        <v>30</v>
      </c>
      <c r="AE52" s="36">
        <f>AVERAGEIFS('Regular Season'!T:T,'Regular Season'!R:R,'Summary Page'!AC52,'Regular Season'!S:S,'Summary Page'!AD52)</f>
        <v>129.83666666666667</v>
      </c>
      <c r="AF52" s="47">
        <f>AE52-VLOOKUP(AC52,'Summary Page (2)'!$B$5:$K$14,9,FALSE)</f>
        <v>7.4940293040293113</v>
      </c>
      <c r="AG52" s="52">
        <f>COUNTIFS('Regular Season'!R:R,'Summary Page'!AC52,'Regular Season'!S:S,'Summary Page'!AD52)</f>
        <v>12</v>
      </c>
      <c r="AH52" s="36">
        <f>AVERAGEIFS('Regular Season'!U:U,'Regular Season'!S:S,'Summary Page'!AC52,'Regular Season'!R:R,'Summary Page'!AD52)</f>
        <v>92.761818181818171</v>
      </c>
      <c r="AI52" s="47">
        <f>AH52-VLOOKUP(AC52,'Summary Page (2)'!$B$5:$K$14,10,FALSE)</f>
        <v>-3.6381818181818204</v>
      </c>
      <c r="AJ52" s="7">
        <f>COUNTIFS('Regular Season'!R:R,'Summary Page'!AD52,'Regular Season'!S:S,'Summary Page'!AC52)</f>
        <v>11</v>
      </c>
      <c r="AK52" s="36">
        <f t="shared" si="13"/>
        <v>112.10521739130435</v>
      </c>
      <c r="AL52" s="47">
        <f t="shared" si="14"/>
        <v>2.1375162418790836</v>
      </c>
      <c r="AM52" s="36">
        <f>AVERAGEIFS('Regular Season'!T:T,'Regular Season'!R:R,'Summary Page'!AD52,'Regular Season'!S:S,'Summary Page'!AC52)</f>
        <v>126.67818181818183</v>
      </c>
      <c r="AN52" s="47">
        <f>AM52-VLOOKUP(AD52,'Summary Page (2)'!$B$5:$K$14,9,FALSE)</f>
        <v>4.978428731762051</v>
      </c>
      <c r="AO52" s="52">
        <f>COUNTIFS('Regular Season'!R:R,'Summary Page'!AD52,'Regular Season'!S:S,'Summary Page'!AC52)</f>
        <v>11</v>
      </c>
      <c r="AP52" s="36">
        <f>AVERAGEIFS('Regular Season'!U:U,'Regular Season'!S:S,'Summary Page'!AD52,'Regular Season'!R:R,'Summary Page'!AC52)</f>
        <v>100.96833333333332</v>
      </c>
      <c r="AQ52" s="47">
        <f>AP52-VLOOKUP(AD52,'Summary Page (2)'!$B$5:$K$14,10,FALSE)</f>
        <v>6.0922463768116017</v>
      </c>
      <c r="AR52" s="7">
        <f>COUNTIFS('Regular Season'!R:R,'Summary Page'!AC52,'Regular Season'!S:S,'Summary Page'!AD52)</f>
        <v>12</v>
      </c>
      <c r="AS52" s="36">
        <f t="shared" si="15"/>
        <v>113.26434782608695</v>
      </c>
      <c r="AT52" s="47">
        <f t="shared" si="16"/>
        <v>5.8292033174164288</v>
      </c>
      <c r="AU52" s="55">
        <f t="shared" si="17"/>
        <v>-3.6916870755373452</v>
      </c>
      <c r="AW52" s="53">
        <v>12</v>
      </c>
      <c r="AX52" s="7" t="s">
        <v>35</v>
      </c>
      <c r="AY52" s="59" t="s">
        <v>38</v>
      </c>
      <c r="AZ52" s="36">
        <v>117.42285714285715</v>
      </c>
      <c r="BA52" s="47">
        <v>-1.5556238698010816</v>
      </c>
      <c r="BB52" s="52">
        <v>14</v>
      </c>
      <c r="BC52" s="36">
        <v>93.02</v>
      </c>
      <c r="BD52" s="47">
        <v>0.19802816901406572</v>
      </c>
      <c r="BE52" s="7">
        <v>6</v>
      </c>
      <c r="BF52" s="36">
        <v>110.102</v>
      </c>
      <c r="BG52" s="57">
        <v>3.504266666666652</v>
      </c>
      <c r="BH52" s="36">
        <v>133.11000000000001</v>
      </c>
      <c r="BI52" s="47">
        <v>15.246785714285693</v>
      </c>
      <c r="BJ52" s="52">
        <v>6</v>
      </c>
      <c r="BK52" s="36">
        <v>92.73</v>
      </c>
      <c r="BL52" s="47">
        <v>1.8342553191488946</v>
      </c>
      <c r="BM52" s="7">
        <v>14</v>
      </c>
      <c r="BN52" s="36">
        <v>104.84400000000001</v>
      </c>
      <c r="BO52" s="57">
        <v>3.8803999999999661</v>
      </c>
      <c r="BP52" s="49">
        <v>-0.37613333333331411</v>
      </c>
    </row>
    <row r="53" spans="2:68" x14ac:dyDescent="0.3">
      <c r="B53" s="7" t="s">
        <v>34</v>
      </c>
      <c r="C53" s="36">
        <f>IFERROR(AVERAGEIFS('Regular Season'!T:T,'Regular Season'!R:R,'Summary Page'!$D$30,'Regular Season'!S:S,'Summary Page'!B53),"")</f>
        <v>130.83714285714285</v>
      </c>
      <c r="D53" s="47">
        <f t="shared" si="20"/>
        <v>5.6784761904762036</v>
      </c>
      <c r="E53" s="36">
        <f>IFERROR(AVERAGEIFS('Regular Season'!U:U,'Regular Season'!S:S,'Summary Page'!$D$30,'Regular Season'!R:R,'Summary Page'!B53),"")</f>
        <v>101.16500000000001</v>
      </c>
      <c r="F53" s="47">
        <f t="shared" si="21"/>
        <v>2.2178571428571274</v>
      </c>
      <c r="G53" s="36">
        <f t="shared" si="18"/>
        <v>112.09684210526316</v>
      </c>
      <c r="H53" s="48">
        <f t="shared" si="22"/>
        <v>-0.40798548094373643</v>
      </c>
      <c r="I53" s="36">
        <f>IFERROR(AVERAGEIFS('Regular Season'!T:T,'Regular Season'!R:R,'Summary Page'!B53,'Regular Season'!S:S,'Summary Page'!$D$30),"")</f>
        <v>134.94500000000002</v>
      </c>
      <c r="J53" s="47">
        <f t="shared" si="26"/>
        <v>12.60236263736266</v>
      </c>
      <c r="K53" s="36">
        <f>IFERROR(AVERAGEIFS('Regular Season'!U:U,'Regular Season'!R:R,'Summary Page'!$D$30,'Regular Season'!S:S,'Summary Page'!B53),"")</f>
        <v>106.33714285714288</v>
      </c>
      <c r="L53" s="47">
        <f t="shared" si="23"/>
        <v>9.9371428571428879</v>
      </c>
      <c r="M53" s="36">
        <f t="shared" si="19"/>
        <v>124.40526315789475</v>
      </c>
      <c r="N53" s="48">
        <f t="shared" si="24"/>
        <v>14.437562008469484</v>
      </c>
      <c r="O53" s="49">
        <f t="shared" si="25"/>
        <v>-14.845547489413221</v>
      </c>
      <c r="AB53" s="53">
        <v>49</v>
      </c>
      <c r="AC53" s="7" t="s">
        <v>34</v>
      </c>
      <c r="AD53" s="7" t="s">
        <v>38</v>
      </c>
      <c r="AE53" s="36">
        <f>AVERAGEIFS('Regular Season'!T:T,'Regular Season'!R:R,'Summary Page'!AC53,'Regular Season'!S:S,'Summary Page'!AD53)</f>
        <v>119.53499999999998</v>
      </c>
      <c r="AF53" s="47">
        <f>AE53-VLOOKUP(AC53,'Summary Page (2)'!$B$5:$K$14,9,FALSE)</f>
        <v>-2.8076373626373794</v>
      </c>
      <c r="AG53" s="52">
        <f>COUNTIFS('Regular Season'!R:R,'Summary Page'!AC53,'Regular Season'!S:S,'Summary Page'!AD53)</f>
        <v>12</v>
      </c>
      <c r="AH53" s="36">
        <f>AVERAGEIFS('Regular Season'!U:U,'Regular Season'!S:S,'Summary Page'!AC53,'Regular Season'!R:R,'Summary Page'!AD53)</f>
        <v>85.497499999999988</v>
      </c>
      <c r="AI53" s="47">
        <f>AH53-VLOOKUP(AC53,'Summary Page (2)'!$B$5:$K$14,10,FALSE)</f>
        <v>-10.902500000000003</v>
      </c>
      <c r="AJ53" s="7">
        <f>COUNTIFS('Regular Season'!R:R,'Summary Page'!AD53,'Regular Season'!S:S,'Summary Page'!AC53)</f>
        <v>8</v>
      </c>
      <c r="AK53" s="36">
        <f t="shared" si="13"/>
        <v>105.91999999999999</v>
      </c>
      <c r="AL53" s="47">
        <f t="shared" si="14"/>
        <v>-4.0477011494252793</v>
      </c>
      <c r="AM53" s="36">
        <f>AVERAGEIFS('Regular Season'!T:T,'Regular Season'!R:R,'Summary Page'!AD53,'Regular Season'!S:S,'Summary Page'!AC53)</f>
        <v>115.44750000000001</v>
      </c>
      <c r="AN53" s="47">
        <f>AM53-VLOOKUP(AD53,'Summary Page (2)'!$B$5:$K$14,9,FALSE)</f>
        <v>-3.7406159420289953</v>
      </c>
      <c r="AO53" s="52">
        <f>COUNTIFS('Regular Season'!R:R,'Summary Page'!AD53,'Regular Season'!S:S,'Summary Page'!AC53)</f>
        <v>8</v>
      </c>
      <c r="AP53" s="36">
        <f>AVERAGEIFS('Regular Season'!U:U,'Regular Season'!S:S,'Summary Page'!AD53,'Regular Season'!R:R,'Summary Page'!AC53)</f>
        <v>94.174999999999997</v>
      </c>
      <c r="AQ53" s="47">
        <f>AP53-VLOOKUP(AD53,'Summary Page (2)'!$B$5:$K$14,10,FALSE)</f>
        <v>3.6285849056603041</v>
      </c>
      <c r="AR53" s="7">
        <f>COUNTIFS('Regular Season'!R:R,'Summary Page'!AC53,'Regular Season'!S:S,'Summary Page'!AD53)</f>
        <v>12</v>
      </c>
      <c r="AS53" s="36">
        <f t="shared" si="15"/>
        <v>102.684</v>
      </c>
      <c r="AT53" s="47">
        <f t="shared" si="16"/>
        <v>0.84457142857137057</v>
      </c>
      <c r="AU53" s="55">
        <f t="shared" si="17"/>
        <v>-4.8922725779966498</v>
      </c>
      <c r="AW53" s="53">
        <v>1</v>
      </c>
      <c r="AX53" s="7" t="s">
        <v>32</v>
      </c>
      <c r="AY53" s="59" t="s">
        <v>35</v>
      </c>
      <c r="AZ53" s="36">
        <v>103.31555555555556</v>
      </c>
      <c r="BA53" s="47">
        <v>-13.785873015872994</v>
      </c>
      <c r="BB53" s="52">
        <v>9</v>
      </c>
      <c r="BC53" s="36">
        <v>89.842500000000015</v>
      </c>
      <c r="BD53" s="47">
        <v>-3.7224999999999966</v>
      </c>
      <c r="BE53" s="7">
        <v>8</v>
      </c>
      <c r="BF53" s="36">
        <v>96.975294117647067</v>
      </c>
      <c r="BG53" s="57">
        <v>-7.5733725490195951</v>
      </c>
      <c r="BH53" s="36">
        <v>119.99749999999999</v>
      </c>
      <c r="BI53" s="47">
        <v>1.0190189873417523</v>
      </c>
      <c r="BJ53" s="52">
        <v>8</v>
      </c>
      <c r="BK53" s="36">
        <v>81.577777777777783</v>
      </c>
      <c r="BL53" s="47">
        <v>-11.244194053208147</v>
      </c>
      <c r="BM53" s="7">
        <v>9</v>
      </c>
      <c r="BN53" s="36">
        <v>99.657647058823514</v>
      </c>
      <c r="BO53" s="57">
        <v>-6.9400862745098379</v>
      </c>
      <c r="BP53" s="49">
        <v>-0.63328627450975716</v>
      </c>
    </row>
    <row r="54" spans="2:68" x14ac:dyDescent="0.3">
      <c r="B54" s="7" t="s">
        <v>29</v>
      </c>
      <c r="C54" s="36" t="str">
        <f>IFERROR(AVERAGEIFS('Regular Season'!T:T,'Regular Season'!R:R,'Summary Page'!$D$30,'Regular Season'!S:S,'Summary Page'!B54),"")</f>
        <v/>
      </c>
      <c r="D54" s="47" t="str">
        <f t="shared" si="20"/>
        <v/>
      </c>
      <c r="E54" s="36" t="str">
        <f>IFERROR(AVERAGEIFS('Regular Season'!U:U,'Regular Season'!S:S,'Summary Page'!$D$30,'Regular Season'!R:R,'Summary Page'!B54),"")</f>
        <v/>
      </c>
      <c r="F54" s="47" t="str">
        <f t="shared" si="21"/>
        <v/>
      </c>
      <c r="G54" s="36" t="str">
        <f t="shared" si="18"/>
        <v/>
      </c>
      <c r="H54" s="48" t="str">
        <f t="shared" si="22"/>
        <v/>
      </c>
      <c r="I54" s="36" t="str">
        <f>IFERROR(AVERAGEIFS('Regular Season'!T:T,'Regular Season'!R:R,'Summary Page'!B54,'Regular Season'!S:S,'Summary Page'!$D$30),"")</f>
        <v/>
      </c>
      <c r="J54" s="47" t="str">
        <f t="shared" si="26"/>
        <v/>
      </c>
      <c r="K54" s="36" t="str">
        <f>IFERROR(AVERAGEIFS('Regular Season'!U:U,'Regular Season'!R:R,'Summary Page'!$D$30,'Regular Season'!S:S,'Summary Page'!B54),"")</f>
        <v/>
      </c>
      <c r="L54" s="47" t="str">
        <f t="shared" si="23"/>
        <v/>
      </c>
      <c r="M54" s="36" t="str">
        <f t="shared" si="19"/>
        <v/>
      </c>
      <c r="N54" s="48" t="str">
        <f t="shared" si="24"/>
        <v/>
      </c>
      <c r="O54" s="49" t="str">
        <f t="shared" si="25"/>
        <v/>
      </c>
      <c r="AB54" s="53">
        <v>50</v>
      </c>
      <c r="AC54" s="7" t="s">
        <v>34</v>
      </c>
      <c r="AD54" s="7" t="s">
        <v>37</v>
      </c>
      <c r="AE54" s="36">
        <f>AVERAGEIFS('Regular Season'!T:T,'Regular Season'!R:R,'Summary Page'!AC54,'Regular Season'!S:S,'Summary Page'!AD54)</f>
        <v>130.86999999999998</v>
      </c>
      <c r="AF54" s="47">
        <f>AE54-VLOOKUP(AC54,'Summary Page (2)'!$B$5:$K$14,9,FALSE)</f>
        <v>8.5273626373626144</v>
      </c>
      <c r="AG54" s="52">
        <f>COUNTIFS('Regular Season'!R:R,'Summary Page'!AC54,'Regular Season'!S:S,'Summary Page'!AD54)</f>
        <v>6</v>
      </c>
      <c r="AH54" s="36">
        <f>AVERAGEIFS('Regular Season'!U:U,'Regular Season'!S:S,'Summary Page'!AC54,'Regular Season'!R:R,'Summary Page'!AD54)</f>
        <v>100.705</v>
      </c>
      <c r="AI54" s="47">
        <f>AH54-VLOOKUP(AC54,'Summary Page (2)'!$B$5:$K$14,10,FALSE)</f>
        <v>4.3050000000000068</v>
      </c>
      <c r="AJ54" s="7">
        <f>COUNTIFS('Regular Season'!R:R,'Summary Page'!AD54,'Regular Season'!S:S,'Summary Page'!AC54)</f>
        <v>8</v>
      </c>
      <c r="AK54" s="36">
        <f t="shared" si="13"/>
        <v>113.63285714285712</v>
      </c>
      <c r="AL54" s="47">
        <f t="shared" si="14"/>
        <v>3.6651559934318527</v>
      </c>
      <c r="AM54" s="36">
        <f>AVERAGEIFS('Regular Season'!T:T,'Regular Season'!R:R,'Summary Page'!AD54,'Regular Season'!S:S,'Summary Page'!AC54)</f>
        <v>123.8725</v>
      </c>
      <c r="AN54" s="47">
        <f>AM54-VLOOKUP(AD54,'Summary Page (2)'!$B$5:$K$14,9,FALSE)</f>
        <v>8.0322560975609889</v>
      </c>
      <c r="AO54" s="52">
        <f>COUNTIFS('Regular Season'!R:R,'Summary Page'!AD54,'Regular Season'!S:S,'Summary Page'!AC54)</f>
        <v>8</v>
      </c>
      <c r="AP54" s="36">
        <f>AVERAGEIFS('Regular Season'!U:U,'Regular Season'!S:S,'Summary Page'!AD54,'Regular Season'!R:R,'Summary Page'!AC54)</f>
        <v>102.90666666666665</v>
      </c>
      <c r="AQ54" s="47">
        <f>AP54-VLOOKUP(AD54,'Summary Page (2)'!$B$5:$K$14,10,FALSE)</f>
        <v>10.055905797101417</v>
      </c>
      <c r="AR54" s="7">
        <f>COUNTIFS('Regular Season'!R:R,'Summary Page'!AC54,'Regular Season'!S:S,'Summary Page'!AD54)</f>
        <v>6</v>
      </c>
      <c r="AS54" s="36">
        <f t="shared" si="15"/>
        <v>114.88714285714286</v>
      </c>
      <c r="AT54" s="47">
        <f t="shared" si="16"/>
        <v>11.202257799671585</v>
      </c>
      <c r="AU54" s="55">
        <f t="shared" si="17"/>
        <v>-7.5371018062397326</v>
      </c>
      <c r="AW54" s="53">
        <v>39</v>
      </c>
      <c r="AX54" s="7" t="s">
        <v>37</v>
      </c>
      <c r="AY54" s="59" t="s">
        <v>30</v>
      </c>
      <c r="AZ54" s="36">
        <v>115.19</v>
      </c>
      <c r="BA54" s="47">
        <v>-0.35465753424658431</v>
      </c>
      <c r="BB54" s="52">
        <v>6</v>
      </c>
      <c r="BC54" s="36">
        <v>87.611428571428561</v>
      </c>
      <c r="BD54" s="47">
        <v>-3.9174025974026563</v>
      </c>
      <c r="BE54" s="7">
        <v>7</v>
      </c>
      <c r="BF54" s="36">
        <v>100.34</v>
      </c>
      <c r="BG54" s="57">
        <v>-2.8765333333333558</v>
      </c>
      <c r="BH54" s="36">
        <v>122.48</v>
      </c>
      <c r="BI54" s="47">
        <v>-2.63157894738697E-3</v>
      </c>
      <c r="BJ54" s="52">
        <v>7</v>
      </c>
      <c r="BK54" s="36">
        <v>89.853333333333339</v>
      </c>
      <c r="BL54" s="47">
        <v>-6.4645045045045038</v>
      </c>
      <c r="BM54" s="7">
        <v>6</v>
      </c>
      <c r="BN54" s="36">
        <v>107.42153846153846</v>
      </c>
      <c r="BO54" s="57">
        <v>-2.1531282051282403</v>
      </c>
      <c r="BP54" s="49">
        <v>-0.72340512820511549</v>
      </c>
    </row>
    <row r="55" spans="2:68" x14ac:dyDescent="0.3">
      <c r="B55" s="7" t="s">
        <v>31</v>
      </c>
      <c r="C55" s="36">
        <f>IFERROR(AVERAGEIFS('Regular Season'!T:T,'Regular Season'!R:R,'Summary Page'!$D$30,'Regular Season'!S:S,'Summary Page'!B55),"")</f>
        <v>134.18153846153848</v>
      </c>
      <c r="D55" s="47">
        <f t="shared" si="20"/>
        <v>9.0228717948718327</v>
      </c>
      <c r="E55" s="36">
        <f>IFERROR(AVERAGEIFS('Regular Season'!U:U,'Regular Season'!S:S,'Summary Page'!$D$30,'Regular Season'!R:R,'Summary Page'!B55),"")</f>
        <v>105.51000000000002</v>
      </c>
      <c r="F55" s="47">
        <f t="shared" si="21"/>
        <v>6.5628571428571405</v>
      </c>
      <c r="G55" s="36">
        <f t="shared" si="18"/>
        <v>121.71565217391304</v>
      </c>
      <c r="H55" s="48">
        <f t="shared" si="22"/>
        <v>9.2108245877061421</v>
      </c>
      <c r="I55" s="36">
        <f>IFERROR(AVERAGEIFS('Regular Season'!T:T,'Regular Season'!R:R,'Summary Page'!B55,'Regular Season'!S:S,'Summary Page'!$D$30),"")</f>
        <v>122.97000000000003</v>
      </c>
      <c r="J55" s="47">
        <f t="shared" si="26"/>
        <v>2.5276190476190976</v>
      </c>
      <c r="K55" s="36">
        <f>IFERROR(AVERAGEIFS('Regular Season'!U:U,'Regular Season'!R:R,'Summary Page'!$D$30,'Regular Season'!S:S,'Summary Page'!B55),"")</f>
        <v>99.646153846153837</v>
      </c>
      <c r="L55" s="47">
        <f t="shared" si="23"/>
        <v>5.1404720279719811</v>
      </c>
      <c r="M55" s="36">
        <f t="shared" si="19"/>
        <v>109.78695652173914</v>
      </c>
      <c r="N55" s="48">
        <f t="shared" si="24"/>
        <v>2.6145146612740007</v>
      </c>
      <c r="O55" s="49">
        <f t="shared" si="25"/>
        <v>6.5963099264321414</v>
      </c>
      <c r="AB55" s="53">
        <v>51</v>
      </c>
      <c r="AC55" s="7" t="s">
        <v>34</v>
      </c>
      <c r="AD55" s="7" t="s">
        <v>29</v>
      </c>
      <c r="AE55" s="36">
        <f>AVERAGEIFS('Regular Season'!T:T,'Regular Season'!R:R,'Summary Page'!AC55,'Regular Season'!S:S,'Summary Page'!AD55)</f>
        <v>134.94500000000002</v>
      </c>
      <c r="AF55" s="47">
        <f>AE55-VLOOKUP(AC55,'Summary Page (2)'!$B$5:$K$14,9,FALSE)</f>
        <v>12.60236263736266</v>
      </c>
      <c r="AG55" s="52">
        <f>COUNTIFS('Regular Season'!R:R,'Summary Page'!AC55,'Regular Season'!S:S,'Summary Page'!AD55)</f>
        <v>12</v>
      </c>
      <c r="AH55" s="36">
        <f>AVERAGEIFS('Regular Season'!U:U,'Regular Season'!S:S,'Summary Page'!AC55,'Regular Season'!R:R,'Summary Page'!AD55)</f>
        <v>106.33714285714288</v>
      </c>
      <c r="AI55" s="47">
        <f>AH55-VLOOKUP(AC55,'Summary Page (2)'!$B$5:$K$14,10,FALSE)</f>
        <v>9.9371428571428879</v>
      </c>
      <c r="AJ55" s="7">
        <f>COUNTIFS('Regular Season'!R:R,'Summary Page'!AD55,'Regular Season'!S:S,'Summary Page'!AC55)</f>
        <v>7</v>
      </c>
      <c r="AK55" s="36">
        <f t="shared" si="13"/>
        <v>124.40526315789475</v>
      </c>
      <c r="AL55" s="47">
        <f t="shared" si="14"/>
        <v>14.437562008469484</v>
      </c>
      <c r="AM55" s="36">
        <f>AVERAGEIFS('Regular Season'!T:T,'Regular Season'!R:R,'Summary Page'!AD55,'Regular Season'!S:S,'Summary Page'!AC55)</f>
        <v>130.83714285714285</v>
      </c>
      <c r="AN55" s="47">
        <f>AM55-VLOOKUP(AD55,'Summary Page (2)'!$B$5:$K$14,9,FALSE)</f>
        <v>5.6784761904762036</v>
      </c>
      <c r="AO55" s="52">
        <f>COUNTIFS('Regular Season'!R:R,'Summary Page'!AD55,'Regular Season'!S:S,'Summary Page'!AC55)</f>
        <v>7</v>
      </c>
      <c r="AP55" s="36">
        <f>AVERAGEIFS('Regular Season'!U:U,'Regular Season'!S:S,'Summary Page'!AD55,'Regular Season'!R:R,'Summary Page'!AC55)</f>
        <v>101.16500000000001</v>
      </c>
      <c r="AQ55" s="47">
        <f>AP55-VLOOKUP(AD55,'Summary Page (2)'!$B$5:$K$14,10,FALSE)</f>
        <v>2.2178571428571274</v>
      </c>
      <c r="AR55" s="7">
        <f>COUNTIFS('Regular Season'!R:R,'Summary Page'!AC55,'Regular Season'!S:S,'Summary Page'!AD55)</f>
        <v>12</v>
      </c>
      <c r="AS55" s="36">
        <f t="shared" si="15"/>
        <v>112.09684210526316</v>
      </c>
      <c r="AT55" s="47">
        <f t="shared" si="16"/>
        <v>-0.40798548094373643</v>
      </c>
      <c r="AU55" s="55">
        <f t="shared" si="17"/>
        <v>14.845547489413221</v>
      </c>
      <c r="AW55" s="53">
        <v>47</v>
      </c>
      <c r="AX55" s="7" t="s">
        <v>34</v>
      </c>
      <c r="AY55" s="59" t="s">
        <v>35</v>
      </c>
      <c r="AZ55" s="36">
        <v>114.54222222222224</v>
      </c>
      <c r="BA55" s="47">
        <v>-7.8522081575246006</v>
      </c>
      <c r="BB55" s="52">
        <v>9</v>
      </c>
      <c r="BC55" s="36">
        <v>86.047499999999999</v>
      </c>
      <c r="BD55" s="47">
        <v>-10.995880281690134</v>
      </c>
      <c r="BE55" s="7">
        <v>8</v>
      </c>
      <c r="BF55" s="36">
        <v>101.1329411764706</v>
      </c>
      <c r="BG55" s="57">
        <v>-9.2619921568627177</v>
      </c>
      <c r="BH55" s="36">
        <v>108.65500000000002</v>
      </c>
      <c r="BI55" s="47">
        <v>-10.32348101265822</v>
      </c>
      <c r="BJ55" s="52">
        <v>8</v>
      </c>
      <c r="BK55" s="36">
        <v>88.766666666666666</v>
      </c>
      <c r="BL55" s="47">
        <v>-4.0553051643192646</v>
      </c>
      <c r="BM55" s="7">
        <v>9</v>
      </c>
      <c r="BN55" s="36">
        <v>98.125882352941176</v>
      </c>
      <c r="BO55" s="57">
        <v>-8.4718509803921762</v>
      </c>
      <c r="BP55" s="49">
        <v>-0.7901411764705415</v>
      </c>
    </row>
    <row r="56" spans="2:68" x14ac:dyDescent="0.3">
      <c r="B56" s="7" t="s">
        <v>33</v>
      </c>
      <c r="C56" s="36">
        <f>IFERROR(AVERAGEIFS('Regular Season'!T:T,'Regular Season'!R:R,'Summary Page'!$D$30,'Regular Season'!S:S,'Summary Page'!B56),"")</f>
        <v>116.61333333333333</v>
      </c>
      <c r="D56" s="47">
        <f t="shared" si="20"/>
        <v>-8.5453333333333177</v>
      </c>
      <c r="E56" s="36">
        <f>IFERROR(AVERAGEIFS('Regular Season'!U:U,'Regular Season'!S:S,'Summary Page'!$D$30,'Regular Season'!R:R,'Summary Page'!B56),"")</f>
        <v>100.354</v>
      </c>
      <c r="F56" s="47">
        <f t="shared" si="21"/>
        <v>1.4068571428571204</v>
      </c>
      <c r="G56" s="36">
        <f t="shared" si="18"/>
        <v>108.05578947368421</v>
      </c>
      <c r="H56" s="48">
        <f t="shared" si="22"/>
        <v>-4.4490381125226861</v>
      </c>
      <c r="I56" s="36">
        <f>IFERROR(AVERAGEIFS('Regular Season'!T:T,'Regular Season'!R:R,'Summary Page'!B56,'Regular Season'!S:S,'Summary Page'!$D$30),"")</f>
        <v>128.78199999999998</v>
      </c>
      <c r="J56" s="47">
        <f t="shared" si="26"/>
        <v>8.0257254901960522</v>
      </c>
      <c r="K56" s="36">
        <f>IFERROR(AVERAGEIFS('Regular Season'!U:U,'Regular Season'!R:R,'Summary Page'!$D$30,'Regular Season'!S:S,'Summary Page'!B56),"")</f>
        <v>104.06</v>
      </c>
      <c r="L56" s="47">
        <f t="shared" si="23"/>
        <v>7.3675675675675905</v>
      </c>
      <c r="M56" s="36">
        <f>IFERROR(((I56*D42)+(K56*C42))/SUM(C42:D42),"")</f>
        <v>117.07157894736841</v>
      </c>
      <c r="N56" s="48">
        <f t="shared" si="24"/>
        <v>6.4330562200956791</v>
      </c>
      <c r="O56" s="49">
        <f t="shared" si="25"/>
        <v>-10.882094332618365</v>
      </c>
      <c r="P56" s="40"/>
      <c r="AB56" s="53">
        <v>52</v>
      </c>
      <c r="AC56" s="7" t="s">
        <v>34</v>
      </c>
      <c r="AD56" s="7" t="s">
        <v>31</v>
      </c>
      <c r="AE56" s="36">
        <f>AVERAGEIFS('Regular Season'!T:T,'Regular Season'!R:R,'Summary Page'!AC56,'Regular Season'!S:S,'Summary Page'!AD56)</f>
        <v>134.75333333333333</v>
      </c>
      <c r="AF56" s="47">
        <f>AE56-VLOOKUP(AC56,'Summary Page (2)'!$B$5:$K$14,9,FALSE)</f>
        <v>12.410695970695969</v>
      </c>
      <c r="AG56" s="52">
        <f>COUNTIFS('Regular Season'!R:R,'Summary Page'!AC56,'Regular Season'!S:S,'Summary Page'!AD56)</f>
        <v>9</v>
      </c>
      <c r="AH56" s="36">
        <f>AVERAGEIFS('Regular Season'!U:U,'Regular Season'!S:S,'Summary Page'!AC56,'Regular Season'!R:R,'Summary Page'!AD56)</f>
        <v>104.81818181818184</v>
      </c>
      <c r="AI56" s="47">
        <f>AH56-VLOOKUP(AC56,'Summary Page (2)'!$B$5:$K$14,10,FALSE)</f>
        <v>8.41818181818185</v>
      </c>
      <c r="AJ56" s="7">
        <f>COUNTIFS('Regular Season'!R:R,'Summary Page'!AD56,'Regular Season'!S:S,'Summary Page'!AC56)</f>
        <v>11</v>
      </c>
      <c r="AK56" s="36">
        <f t="shared" si="13"/>
        <v>118.28900000000002</v>
      </c>
      <c r="AL56" s="47">
        <f t="shared" si="14"/>
        <v>8.3212988505747489</v>
      </c>
      <c r="AM56" s="36">
        <f>AVERAGEIFS('Regular Season'!T:T,'Regular Season'!R:R,'Summary Page'!AD56,'Regular Season'!S:S,'Summary Page'!AC56)</f>
        <v>122.71818181818183</v>
      </c>
      <c r="AN56" s="47">
        <f>AM56-VLOOKUP(AD56,'Summary Page (2)'!$B$5:$K$14,9,FALSE)</f>
        <v>2.2758008658009032</v>
      </c>
      <c r="AO56" s="52">
        <f>COUNTIFS('Regular Season'!R:R,'Summary Page'!AD56,'Regular Season'!S:S,'Summary Page'!AC56)</f>
        <v>11</v>
      </c>
      <c r="AP56" s="36">
        <f>AVERAGEIFS('Regular Season'!U:U,'Regular Season'!S:S,'Summary Page'!AD56,'Regular Season'!R:R,'Summary Page'!AC56)</f>
        <v>101.32222222222224</v>
      </c>
      <c r="AQ56" s="47">
        <f>AP56-VLOOKUP(AD56,'Summary Page (2)'!$B$5:$K$14,10,FALSE)</f>
        <v>6.8165404040403814</v>
      </c>
      <c r="AR56" s="7">
        <f>COUNTIFS('Regular Season'!R:R,'Summary Page'!AC56,'Regular Season'!S:S,'Summary Page'!AD56)</f>
        <v>9</v>
      </c>
      <c r="AS56" s="36">
        <f t="shared" si="15"/>
        <v>113.09</v>
      </c>
      <c r="AT56" s="47">
        <f t="shared" si="16"/>
        <v>5.9175581395348615</v>
      </c>
      <c r="AU56" s="55">
        <f t="shared" si="17"/>
        <v>2.4037407110398874</v>
      </c>
      <c r="AW56" s="53">
        <v>17</v>
      </c>
      <c r="AX56" s="7" t="s">
        <v>35</v>
      </c>
      <c r="AY56" s="59" t="s">
        <v>33</v>
      </c>
      <c r="AZ56" s="36">
        <v>115.74857142857142</v>
      </c>
      <c r="BA56" s="47">
        <v>-3.2299095840868119</v>
      </c>
      <c r="BB56" s="52">
        <v>7</v>
      </c>
      <c r="BC56" s="36">
        <v>96.933333333333337</v>
      </c>
      <c r="BD56" s="47">
        <v>4.1113615023474068</v>
      </c>
      <c r="BE56" s="7">
        <v>9</v>
      </c>
      <c r="BF56" s="36">
        <v>105.16500000000001</v>
      </c>
      <c r="BG56" s="57">
        <v>-1.4327333333333456</v>
      </c>
      <c r="BH56" s="36">
        <v>123.93555555555557</v>
      </c>
      <c r="BI56" s="47">
        <v>2.8492634207240854</v>
      </c>
      <c r="BJ56" s="52">
        <v>9</v>
      </c>
      <c r="BK56" s="36">
        <v>91.588571428571413</v>
      </c>
      <c r="BL56" s="47">
        <v>-3.197330210772833</v>
      </c>
      <c r="BM56" s="7">
        <v>7</v>
      </c>
      <c r="BN56" s="36">
        <v>109.78375</v>
      </c>
      <c r="BO56" s="57">
        <v>-0.60705000000001519</v>
      </c>
      <c r="BP56" s="49">
        <v>-0.82568333333333044</v>
      </c>
    </row>
    <row r="57" spans="2:68" x14ac:dyDescent="0.3">
      <c r="B57" s="7" t="s">
        <v>36</v>
      </c>
      <c r="C57" s="36">
        <f>IFERROR(AVERAGEIFS('Regular Season'!T:T,'Regular Season'!R:R,'Summary Page'!$D$30,'Regular Season'!S:S,'Summary Page'!B57),"")</f>
        <v>132.83999999999997</v>
      </c>
      <c r="D57" s="47">
        <f t="shared" si="20"/>
        <v>7.6813333333333276</v>
      </c>
      <c r="E57" s="36">
        <f>IFERROR(AVERAGEIFS('Regular Season'!U:U,'Regular Season'!S:S,'Summary Page'!$D$30,'Regular Season'!R:R,'Summary Page'!B57),"")</f>
        <v>94.001666666666665</v>
      </c>
      <c r="F57" s="47">
        <f t="shared" si="21"/>
        <v>-4.9454761904762137</v>
      </c>
      <c r="G57" s="36">
        <f t="shared" si="18"/>
        <v>109.53699999999999</v>
      </c>
      <c r="H57" s="48">
        <f t="shared" si="22"/>
        <v>-2.9678275862069086</v>
      </c>
      <c r="I57" s="36">
        <f>IFERROR(AVERAGEIFS('Regular Season'!T:T,'Regular Season'!R:R,'Summary Page'!B57,'Regular Season'!S:S,'Summary Page'!$D$30),"")</f>
        <v>123.91499999999998</v>
      </c>
      <c r="J57" s="47">
        <f t="shared" si="26"/>
        <v>7.8371739130435003</v>
      </c>
      <c r="K57" s="36">
        <f>IFERROR(AVERAGEIFS('Regular Season'!U:U,'Regular Season'!R:R,'Summary Page'!$D$30,'Regular Season'!S:S,'Summary Page'!B57),"")</f>
        <v>112.00750000000001</v>
      </c>
      <c r="L57" s="47">
        <f t="shared" si="23"/>
        <v>17.237256097561001</v>
      </c>
      <c r="M57" s="36">
        <f t="shared" si="19"/>
        <v>119.152</v>
      </c>
      <c r="N57" s="48">
        <f t="shared" si="24"/>
        <v>13.115678160919558</v>
      </c>
      <c r="O57" s="49">
        <f t="shared" si="25"/>
        <v>-16.083505747126466</v>
      </c>
      <c r="AB57" s="53">
        <v>53</v>
      </c>
      <c r="AC57" s="7" t="s">
        <v>34</v>
      </c>
      <c r="AD57" s="7" t="s">
        <v>33</v>
      </c>
      <c r="AE57" s="36">
        <f>AVERAGEIFS('Regular Season'!T:T,'Regular Season'!R:R,'Summary Page'!AC57,'Regular Season'!S:S,'Summary Page'!AD57)</f>
        <v>121.96000000000001</v>
      </c>
      <c r="AF57" s="47">
        <f>AE57-VLOOKUP(AC57,'Summary Page (2)'!$B$5:$K$14,9,FALSE)</f>
        <v>-0.38263736263735382</v>
      </c>
      <c r="AG57" s="52">
        <f>COUNTIFS('Regular Season'!R:R,'Summary Page'!AC57,'Regular Season'!S:S,'Summary Page'!AD57)</f>
        <v>13</v>
      </c>
      <c r="AH57" s="36">
        <f>AVERAGEIFS('Regular Season'!U:U,'Regular Season'!S:S,'Summary Page'!AC57,'Regular Season'!R:R,'Summary Page'!AD57)</f>
        <v>89.837500000000006</v>
      </c>
      <c r="AI57" s="47">
        <f>AH57-VLOOKUP(AC57,'Summary Page (2)'!$B$5:$K$14,10,FALSE)</f>
        <v>-6.5624999999999858</v>
      </c>
      <c r="AJ57" s="7">
        <f>COUNTIFS('Regular Season'!R:R,'Summary Page'!AD57,'Regular Season'!S:S,'Summary Page'!AC57)</f>
        <v>8</v>
      </c>
      <c r="AK57" s="36">
        <f t="shared" si="13"/>
        <v>109.72285714285715</v>
      </c>
      <c r="AL57" s="47">
        <f t="shared" si="14"/>
        <v>-0.24484400656811545</v>
      </c>
      <c r="AM57" s="36">
        <f>AVERAGEIFS('Regular Season'!T:T,'Regular Season'!R:R,'Summary Page'!AD57,'Regular Season'!S:S,'Summary Page'!AC57)</f>
        <v>117.845</v>
      </c>
      <c r="AN57" s="47">
        <f>AM57-VLOOKUP(AD57,'Summary Page (2)'!$B$5:$K$14,9,FALSE)</f>
        <v>-2.9112745098039312</v>
      </c>
      <c r="AO57" s="52">
        <f>COUNTIFS('Regular Season'!R:R,'Summary Page'!AD57,'Regular Season'!S:S,'Summary Page'!AC57)</f>
        <v>8</v>
      </c>
      <c r="AP57" s="36">
        <f>AVERAGEIFS('Regular Season'!U:U,'Regular Season'!S:S,'Summary Page'!AD57,'Regular Season'!R:R,'Summary Page'!AC57)</f>
        <v>103.93692307692307</v>
      </c>
      <c r="AQ57" s="47">
        <f>AP57-VLOOKUP(AD57,'Summary Page (2)'!$B$5:$K$14,10,FALSE)</f>
        <v>7.2444906444906536</v>
      </c>
      <c r="AR57" s="7">
        <f>COUNTIFS('Regular Season'!R:R,'Summary Page'!AC57,'Regular Season'!S:S,'Summary Page'!AD57)</f>
        <v>13</v>
      </c>
      <c r="AS57" s="36">
        <f t="shared" si="15"/>
        <v>109.23523809523807</v>
      </c>
      <c r="AT57" s="47">
        <f t="shared" si="16"/>
        <v>-1.403284632034655</v>
      </c>
      <c r="AU57" s="55">
        <f t="shared" si="17"/>
        <v>1.1584406254665396</v>
      </c>
      <c r="AW57" s="53">
        <v>8</v>
      </c>
      <c r="AX57" s="7" t="s">
        <v>32</v>
      </c>
      <c r="AY57" s="59" t="s">
        <v>33</v>
      </c>
      <c r="AZ57" s="36">
        <v>114.46999999999998</v>
      </c>
      <c r="BA57" s="47">
        <v>-2.6314285714285717</v>
      </c>
      <c r="BB57" s="52">
        <v>6</v>
      </c>
      <c r="BC57" s="36">
        <v>98.642499999999984</v>
      </c>
      <c r="BD57" s="47">
        <v>5.0774999999999721</v>
      </c>
      <c r="BE57" s="7">
        <v>16</v>
      </c>
      <c r="BF57" s="36">
        <v>102.95909090909089</v>
      </c>
      <c r="BG57" s="57">
        <v>-1.5895757575757727</v>
      </c>
      <c r="BH57" s="36">
        <v>119.33125</v>
      </c>
      <c r="BI57" s="47">
        <v>-1.7550421348314842</v>
      </c>
      <c r="BJ57" s="52">
        <v>16</v>
      </c>
      <c r="BK57" s="36">
        <v>83.940000000000012</v>
      </c>
      <c r="BL57" s="47">
        <v>-10.845901639344234</v>
      </c>
      <c r="BM57" s="7">
        <v>6</v>
      </c>
      <c r="BN57" s="36">
        <v>109.67909090909092</v>
      </c>
      <c r="BO57" s="57">
        <v>-0.71170909090909618</v>
      </c>
      <c r="BP57" s="49">
        <v>-0.87786666666667657</v>
      </c>
    </row>
    <row r="58" spans="2:68" x14ac:dyDescent="0.3">
      <c r="B58" s="15" t="s">
        <v>51</v>
      </c>
      <c r="C58" s="39">
        <f>VLOOKUP(D30,B5:K14,9,FALSE)</f>
        <v>125.15866666666665</v>
      </c>
      <c r="D58" s="39"/>
      <c r="E58" s="39">
        <f>VLOOKUP(D30,B5:K14,10,FALSE)</f>
        <v>98.947142857142879</v>
      </c>
      <c r="F58" s="39"/>
      <c r="G58" s="39">
        <f>VLOOKUP(D30,B5:H14,7,FALSE)</f>
        <v>112.5048275862069</v>
      </c>
      <c r="H58" s="41"/>
      <c r="I58" s="39"/>
      <c r="J58" s="39"/>
      <c r="K58" s="39"/>
      <c r="L58" s="39"/>
      <c r="M58" s="39"/>
      <c r="N58" s="41"/>
      <c r="O58" s="50">
        <f>AVERAGE(O48:O57)</f>
        <v>-3.795871669155209</v>
      </c>
      <c r="AB58" s="53">
        <v>54</v>
      </c>
      <c r="AC58" s="7" t="s">
        <v>34</v>
      </c>
      <c r="AD58" s="7" t="s">
        <v>36</v>
      </c>
      <c r="AE58" s="36">
        <f>AVERAGEIFS('Regular Season'!T:T,'Regular Season'!R:R,'Summary Page'!AC58,'Regular Season'!S:S,'Summary Page'!AD58)</f>
        <v>99.525454545454537</v>
      </c>
      <c r="AF58" s="47">
        <f>AE58-VLOOKUP(AC58,'Summary Page (2)'!$B$5:$K$14,9,FALSE)</f>
        <v>-22.817182817182825</v>
      </c>
      <c r="AG58" s="52">
        <f>COUNTIFS('Regular Season'!R:R,'Summary Page'!AC58,'Regular Season'!S:S,'Summary Page'!AD58)</f>
        <v>11</v>
      </c>
      <c r="AH58" s="36">
        <f>AVERAGEIFS('Regular Season'!U:U,'Regular Season'!S:S,'Summary Page'!AC58,'Regular Season'!R:R,'Summary Page'!AD58)</f>
        <v>96.204999999999998</v>
      </c>
      <c r="AI58" s="47">
        <f>AH58-VLOOKUP(AC58,'Summary Page (2)'!$B$5:$K$14,10,FALSE)</f>
        <v>-0.19499999999999318</v>
      </c>
      <c r="AJ58" s="7">
        <f>COUNTIFS('Regular Season'!R:R,'Summary Page'!AD58,'Regular Season'!S:S,'Summary Page'!AC58)</f>
        <v>12</v>
      </c>
      <c r="AK58" s="36">
        <f t="shared" si="13"/>
        <v>97.793043478260856</v>
      </c>
      <c r="AL58" s="47">
        <f t="shared" si="14"/>
        <v>-12.174657671164411</v>
      </c>
      <c r="AM58" s="36">
        <f>AVERAGEIFS('Regular Season'!T:T,'Regular Season'!R:R,'Summary Page'!AD58,'Regular Season'!S:S,'Summary Page'!AC58)</f>
        <v>111.77333333333333</v>
      </c>
      <c r="AN58" s="47">
        <f>AM58-VLOOKUP(AD58,'Summary Page (2)'!$B$5:$K$14,9,FALSE)</f>
        <v>-4.3044927536231512</v>
      </c>
      <c r="AO58" s="52">
        <f>COUNTIFS('Regular Season'!R:R,'Summary Page'!AD58,'Regular Season'!S:S,'Summary Page'!AC58)</f>
        <v>12</v>
      </c>
      <c r="AP58" s="36">
        <f>AVERAGEIFS('Regular Season'!U:U,'Regular Season'!S:S,'Summary Page'!AD58,'Regular Season'!R:R,'Summary Page'!AC58)</f>
        <v>91.318181818181813</v>
      </c>
      <c r="AQ58" s="47">
        <f>AP58-VLOOKUP(AD58,'Summary Page (2)'!$B$5:$K$14,10,FALSE)</f>
        <v>-3.452062084257193</v>
      </c>
      <c r="AR58" s="7">
        <f>COUNTIFS('Regular Season'!R:R,'Summary Page'!AC58,'Regular Season'!S:S,'Summary Page'!AD58)</f>
        <v>11</v>
      </c>
      <c r="AS58" s="36">
        <f t="shared" si="15"/>
        <v>101.99043478260869</v>
      </c>
      <c r="AT58" s="47">
        <f t="shared" si="16"/>
        <v>-4.0458870564717557</v>
      </c>
      <c r="AU58" s="55">
        <f t="shared" si="17"/>
        <v>-8.1287706146926553</v>
      </c>
      <c r="AW58" s="53">
        <v>81</v>
      </c>
      <c r="AX58" s="7" t="s">
        <v>33</v>
      </c>
      <c r="AY58" s="59" t="s">
        <v>36</v>
      </c>
      <c r="AZ58" s="36">
        <v>123.41199999999999</v>
      </c>
      <c r="BA58" s="47">
        <v>2.3257078651685106</v>
      </c>
      <c r="BB58" s="52">
        <v>5</v>
      </c>
      <c r="BC58" s="36">
        <v>93.02</v>
      </c>
      <c r="BD58" s="47">
        <v>-1.7659016393442499</v>
      </c>
      <c r="BE58" s="7">
        <v>6</v>
      </c>
      <c r="BF58" s="36">
        <v>106.83454545454543</v>
      </c>
      <c r="BG58" s="57">
        <v>-3.5562545454545784</v>
      </c>
      <c r="BH58" s="36">
        <v>114.97333333333334</v>
      </c>
      <c r="BI58" s="47">
        <v>-2.6132520325202933</v>
      </c>
      <c r="BJ58" s="52">
        <v>6</v>
      </c>
      <c r="BK58" s="36">
        <v>90.135999999999996</v>
      </c>
      <c r="BL58" s="47">
        <v>-2.5875294117647059</v>
      </c>
      <c r="BM58" s="7">
        <v>5</v>
      </c>
      <c r="BN58" s="36">
        <v>103.68363636363637</v>
      </c>
      <c r="BO58" s="57">
        <v>-2.6316969696969608</v>
      </c>
      <c r="BP58" s="49">
        <v>-0.92455757575761766</v>
      </c>
    </row>
    <row r="59" spans="2:68" x14ac:dyDescent="0.3">
      <c r="AB59" s="53">
        <v>55</v>
      </c>
      <c r="AC59" s="7" t="s">
        <v>29</v>
      </c>
      <c r="AD59" s="7" t="s">
        <v>32</v>
      </c>
      <c r="AE59" s="36">
        <f>AVERAGEIFS('Regular Season'!T:T,'Regular Season'!R:R,'Summary Page'!AC59,'Regular Season'!S:S,'Summary Page'!AD59)</f>
        <v>128.71272727272728</v>
      </c>
      <c r="AF59" s="47">
        <f>AE59-VLOOKUP(AC59,'Summary Page (2)'!$B$5:$K$14,9,FALSE)</f>
        <v>3.5540606060606308</v>
      </c>
      <c r="AG59" s="52">
        <f>COUNTIFS('Regular Season'!R:R,'Summary Page'!AC59,'Regular Season'!S:S,'Summary Page'!AD59)</f>
        <v>11</v>
      </c>
      <c r="AH59" s="36">
        <f>AVERAGEIFS('Regular Season'!U:U,'Regular Season'!S:S,'Summary Page'!AC59,'Regular Season'!R:R,'Summary Page'!AD59)</f>
        <v>92.804444444444428</v>
      </c>
      <c r="AI59" s="47">
        <f>AH59-VLOOKUP(AC59,'Summary Page (2)'!$B$5:$K$14,10,FALSE)</f>
        <v>-6.1426984126984507</v>
      </c>
      <c r="AJ59" s="7">
        <f>COUNTIFS('Regular Season'!R:R,'Summary Page'!AD59,'Regular Season'!S:S,'Summary Page'!AC59)</f>
        <v>9</v>
      </c>
      <c r="AK59" s="36">
        <f t="shared" si="13"/>
        <v>112.554</v>
      </c>
      <c r="AL59" s="47">
        <f t="shared" si="14"/>
        <v>4.9172413793101555E-2</v>
      </c>
      <c r="AM59" s="36">
        <f>AVERAGEIFS('Regular Season'!T:T,'Regular Season'!R:R,'Summary Page'!AD59,'Regular Season'!S:S,'Summary Page'!AC59)</f>
        <v>114.09555555555555</v>
      </c>
      <c r="AN59" s="47">
        <f>AM59-VLOOKUP(AD59,'Summary Page (2)'!$B$5:$K$14,9,FALSE)</f>
        <v>-3.841421188630477</v>
      </c>
      <c r="AO59" s="52">
        <f>COUNTIFS('Regular Season'!R:R,'Summary Page'!AD59,'Regular Season'!S:S,'Summary Page'!AC59)</f>
        <v>9</v>
      </c>
      <c r="AP59" s="36">
        <f>AVERAGEIFS('Regular Season'!U:U,'Regular Season'!S:S,'Summary Page'!AD59,'Regular Season'!R:R,'Summary Page'!AC59)</f>
        <v>98.785454545454527</v>
      </c>
      <c r="AQ59" s="47">
        <f>AP59-VLOOKUP(AD59,'Summary Page (2)'!$B$5:$K$14,10,FALSE)</f>
        <v>4.6922727272726945</v>
      </c>
      <c r="AR59" s="7">
        <f>COUNTIFS('Regular Season'!R:R,'Summary Page'!AC59,'Regular Season'!S:S,'Summary Page'!AD59)</f>
        <v>11</v>
      </c>
      <c r="AS59" s="36">
        <f t="shared" si="15"/>
        <v>105.675</v>
      </c>
      <c r="AT59" s="47">
        <f t="shared" si="16"/>
        <v>-0.20304597701148452</v>
      </c>
      <c r="AU59" s="55">
        <f t="shared" si="17"/>
        <v>0.25221839080458608</v>
      </c>
      <c r="AW59" s="53">
        <v>43</v>
      </c>
      <c r="AX59" s="7" t="s">
        <v>37</v>
      </c>
      <c r="AY59" s="59" t="s">
        <v>31</v>
      </c>
      <c r="AZ59" s="36">
        <v>118.82799999999997</v>
      </c>
      <c r="BA59" s="47">
        <v>3.2833424657533925</v>
      </c>
      <c r="BB59" s="52">
        <v>10</v>
      </c>
      <c r="BC59" s="36">
        <v>86.742499999999993</v>
      </c>
      <c r="BD59" s="47">
        <v>-4.7863311688312251</v>
      </c>
      <c r="BE59" s="7">
        <v>8</v>
      </c>
      <c r="BF59" s="36">
        <v>104.56777777777776</v>
      </c>
      <c r="BG59" s="57">
        <v>1.3512444444444043</v>
      </c>
      <c r="BH59" s="36">
        <v>115.965</v>
      </c>
      <c r="BI59" s="47">
        <v>-4.608243243243237</v>
      </c>
      <c r="BJ59" s="52">
        <v>8</v>
      </c>
      <c r="BK59" s="36">
        <v>103.87</v>
      </c>
      <c r="BL59" s="47">
        <v>10.472105263157871</v>
      </c>
      <c r="BM59" s="7">
        <v>10</v>
      </c>
      <c r="BN59" s="36">
        <v>109.24555555555555</v>
      </c>
      <c r="BO59" s="57">
        <v>2.4411555555555253</v>
      </c>
      <c r="BP59" s="49">
        <v>-1.089911111111121</v>
      </c>
    </row>
    <row r="60" spans="2:68" x14ac:dyDescent="0.3">
      <c r="C60" s="18" t="s">
        <v>93</v>
      </c>
      <c r="D60" s="40"/>
      <c r="E60" s="40"/>
      <c r="F60" s="40"/>
      <c r="G60" s="40"/>
      <c r="H60" s="40"/>
      <c r="AB60" s="53">
        <v>56</v>
      </c>
      <c r="AC60" s="7" t="s">
        <v>29</v>
      </c>
      <c r="AD60" s="7" t="s">
        <v>35</v>
      </c>
      <c r="AE60" s="36">
        <f>AVERAGEIFS('Regular Season'!T:T,'Regular Season'!R:R,'Summary Page'!AC60,'Regular Season'!S:S,'Summary Page'!AD60)</f>
        <v>124.2</v>
      </c>
      <c r="AF60" s="47">
        <f>AE60-VLOOKUP(AC60,'Summary Page (2)'!$B$5:$K$14,9,FALSE)</f>
        <v>-0.95866666666664457</v>
      </c>
      <c r="AG60" s="52">
        <f>COUNTIFS('Regular Season'!R:R,'Summary Page'!AC60,'Regular Season'!S:S,'Summary Page'!AD60)</f>
        <v>10</v>
      </c>
      <c r="AH60" s="36">
        <f>AVERAGEIFS('Regular Season'!U:U,'Regular Season'!S:S,'Summary Page'!AC60,'Regular Season'!R:R,'Summary Page'!AD60)</f>
        <v>98.089999999999989</v>
      </c>
      <c r="AI60" s="47">
        <f>AH60-VLOOKUP(AC60,'Summary Page (2)'!$B$5:$K$14,10,FALSE)</f>
        <v>-0.85714285714288962</v>
      </c>
      <c r="AJ60" s="7">
        <f>COUNTIFS('Regular Season'!R:R,'Summary Page'!AD60,'Regular Season'!S:S,'Summary Page'!AC60)</f>
        <v>6</v>
      </c>
      <c r="AK60" s="36">
        <f t="shared" si="13"/>
        <v>114.40875</v>
      </c>
      <c r="AL60" s="47">
        <f t="shared" si="14"/>
        <v>1.9039224137930972</v>
      </c>
      <c r="AM60" s="36">
        <f>AVERAGEIFS('Regular Season'!T:T,'Regular Season'!R:R,'Summary Page'!AD60,'Regular Season'!S:S,'Summary Page'!AC60)</f>
        <v>128.18</v>
      </c>
      <c r="AN60" s="47">
        <f>AM60-VLOOKUP(AD60,'Summary Page (2)'!$B$5:$K$14,9,FALSE)</f>
        <v>8.7064516129032228</v>
      </c>
      <c r="AO60" s="52">
        <f>COUNTIFS('Regular Season'!R:R,'Summary Page'!AD60,'Regular Season'!S:S,'Summary Page'!AC60)</f>
        <v>6</v>
      </c>
      <c r="AP60" s="36">
        <f>AVERAGEIFS('Regular Season'!U:U,'Regular Season'!S:S,'Summary Page'!AD60,'Regular Season'!R:R,'Summary Page'!AC60)</f>
        <v>93.75</v>
      </c>
      <c r="AQ60" s="47">
        <f>AP60-VLOOKUP(AD60,'Summary Page (2)'!$B$5:$K$14,10,FALSE)</f>
        <v>0.6766666666666481</v>
      </c>
      <c r="AR60" s="7">
        <f>COUNTIFS('Regular Season'!R:R,'Summary Page'!AC60,'Regular Season'!S:S,'Summary Page'!AD60)</f>
        <v>10</v>
      </c>
      <c r="AS60" s="36">
        <f t="shared" si="15"/>
        <v>106.66125</v>
      </c>
      <c r="AT60" s="47">
        <f t="shared" si="16"/>
        <v>-0.52254310344829946</v>
      </c>
      <c r="AU60" s="55">
        <f t="shared" si="17"/>
        <v>2.4264655172413967</v>
      </c>
      <c r="AW60" s="53">
        <v>78</v>
      </c>
      <c r="AX60" s="7" t="s">
        <v>33</v>
      </c>
      <c r="AY60" s="59" t="s">
        <v>34</v>
      </c>
      <c r="AZ60" s="36">
        <v>116.11428571428571</v>
      </c>
      <c r="BA60" s="47">
        <v>-4.9720064205457675</v>
      </c>
      <c r="BB60" s="52">
        <v>7</v>
      </c>
      <c r="BC60" s="36">
        <v>103.33272727272725</v>
      </c>
      <c r="BD60" s="47">
        <v>8.5468256333830084</v>
      </c>
      <c r="BE60" s="7">
        <v>11</v>
      </c>
      <c r="BF60" s="36">
        <v>108.30333333333333</v>
      </c>
      <c r="BG60" s="57">
        <v>-2.0874666666666855</v>
      </c>
      <c r="BH60" s="36">
        <v>122.56545454545454</v>
      </c>
      <c r="BI60" s="47">
        <v>0.17102416570770629</v>
      </c>
      <c r="BJ60" s="52">
        <v>11</v>
      </c>
      <c r="BK60" s="36">
        <v>88.954285714285717</v>
      </c>
      <c r="BL60" s="47">
        <v>-8.0890945674044161</v>
      </c>
      <c r="BM60" s="7">
        <v>7</v>
      </c>
      <c r="BN60" s="36">
        <v>109.49444444444445</v>
      </c>
      <c r="BO60" s="57">
        <v>-0.9004888888888587</v>
      </c>
      <c r="BP60" s="49">
        <v>-1.1869777777778268</v>
      </c>
    </row>
    <row r="61" spans="2:68" x14ac:dyDescent="0.3">
      <c r="B61" s="51" t="s">
        <v>32</v>
      </c>
      <c r="C61" s="47">
        <v>2.8</v>
      </c>
      <c r="AB61" s="53">
        <v>57</v>
      </c>
      <c r="AC61" s="7" t="s">
        <v>29</v>
      </c>
      <c r="AD61" s="7" t="s">
        <v>30</v>
      </c>
      <c r="AE61" s="36">
        <f>AVERAGEIFS('Regular Season'!T:T,'Regular Season'!R:R,'Summary Page'!AC61,'Regular Season'!S:S,'Summary Page'!AD61)</f>
        <v>119.58599999999998</v>
      </c>
      <c r="AF61" s="47">
        <f>AE61-VLOOKUP(AC61,'Summary Page (2)'!$B$5:$K$14,9,FALSE)</f>
        <v>-5.5726666666666631</v>
      </c>
      <c r="AG61" s="52">
        <f>COUNTIFS('Regular Season'!R:R,'Summary Page'!AC61,'Regular Season'!S:S,'Summary Page'!AD61)</f>
        <v>10</v>
      </c>
      <c r="AH61" s="36">
        <f>AVERAGEIFS('Regular Season'!U:U,'Regular Season'!S:S,'Summary Page'!AC61,'Regular Season'!R:R,'Summary Page'!AD61)</f>
        <v>97.685999999999993</v>
      </c>
      <c r="AI61" s="47">
        <f>AH61-VLOOKUP(AC61,'Summary Page (2)'!$B$5:$K$14,10,FALSE)</f>
        <v>-1.261142857142886</v>
      </c>
      <c r="AJ61" s="7">
        <f>COUNTIFS('Regular Season'!R:R,'Summary Page'!AD61,'Regular Season'!S:S,'Summary Page'!AC61)</f>
        <v>10</v>
      </c>
      <c r="AK61" s="36">
        <f t="shared" si="13"/>
        <v>108.636</v>
      </c>
      <c r="AL61" s="47">
        <f t="shared" si="14"/>
        <v>-3.8688275862069048</v>
      </c>
      <c r="AM61" s="36">
        <f>AVERAGEIFS('Regular Season'!T:T,'Regular Season'!R:R,'Summary Page'!AD61,'Regular Season'!S:S,'Summary Page'!AC61)</f>
        <v>126.32599999999999</v>
      </c>
      <c r="AN61" s="47">
        <f>AM61-VLOOKUP(AD61,'Summary Page (2)'!$B$5:$K$14,9,FALSE)</f>
        <v>4.6262469135802178</v>
      </c>
      <c r="AO61" s="52">
        <f>COUNTIFS('Regular Season'!R:R,'Summary Page'!AD61,'Regular Season'!S:S,'Summary Page'!AC61)</f>
        <v>10</v>
      </c>
      <c r="AP61" s="36">
        <f>AVERAGEIFS('Regular Season'!U:U,'Regular Season'!S:S,'Summary Page'!AD61,'Regular Season'!R:R,'Summary Page'!AC61)</f>
        <v>89.965999999999994</v>
      </c>
      <c r="AQ61" s="47">
        <f>AP61-VLOOKUP(AD61,'Summary Page (2)'!$B$5:$K$14,10,FALSE)</f>
        <v>-4.9100869565217238</v>
      </c>
      <c r="AR61" s="7">
        <f>COUNTIFS('Regular Season'!R:R,'Summary Page'!AC61,'Regular Season'!S:S,'Summary Page'!AD61)</f>
        <v>10</v>
      </c>
      <c r="AS61" s="36">
        <f t="shared" si="15"/>
        <v>108.146</v>
      </c>
      <c r="AT61" s="47">
        <f t="shared" si="16"/>
        <v>0.71085549132948245</v>
      </c>
      <c r="AU61" s="55">
        <f t="shared" si="17"/>
        <v>-4.5796830775363873</v>
      </c>
      <c r="AW61" s="53">
        <v>3</v>
      </c>
      <c r="AX61" s="7" t="s">
        <v>32</v>
      </c>
      <c r="AY61" s="59" t="s">
        <v>38</v>
      </c>
      <c r="AZ61" s="36">
        <v>113.995</v>
      </c>
      <c r="BA61" s="47">
        <v>-3.1064285714285518</v>
      </c>
      <c r="BB61" s="52">
        <v>8</v>
      </c>
      <c r="BC61" s="36">
        <v>96.027500000000003</v>
      </c>
      <c r="BD61" s="47">
        <v>2.4624999999999915</v>
      </c>
      <c r="BE61" s="7">
        <v>8</v>
      </c>
      <c r="BF61" s="36">
        <v>105.01125</v>
      </c>
      <c r="BG61" s="57">
        <v>0.46258333333334178</v>
      </c>
      <c r="BH61" s="36">
        <v>110.5125</v>
      </c>
      <c r="BI61" s="47">
        <v>-7.350714285714318</v>
      </c>
      <c r="BJ61" s="52">
        <v>8</v>
      </c>
      <c r="BK61" s="36">
        <v>94.874999999999986</v>
      </c>
      <c r="BL61" s="47">
        <v>3.9792553191488764</v>
      </c>
      <c r="BM61" s="7">
        <v>8</v>
      </c>
      <c r="BN61" s="36">
        <v>102.69374999999999</v>
      </c>
      <c r="BO61" s="57">
        <v>1.7301499999999521</v>
      </c>
      <c r="BP61" s="49">
        <v>-1.2675666666666103</v>
      </c>
    </row>
    <row r="62" spans="2:68" x14ac:dyDescent="0.3">
      <c r="B62" s="51" t="s">
        <v>35</v>
      </c>
      <c r="C62" s="47">
        <v>2</v>
      </c>
      <c r="AB62" s="53">
        <v>58</v>
      </c>
      <c r="AC62" s="7" t="s">
        <v>29</v>
      </c>
      <c r="AD62" s="7" t="s">
        <v>38</v>
      </c>
      <c r="AE62" s="36">
        <f>AVERAGEIFS('Regular Season'!T:T,'Regular Season'!R:R,'Summary Page'!AC62,'Regular Season'!S:S,'Summary Page'!AD62)</f>
        <v>116.19777777777777</v>
      </c>
      <c r="AF62" s="47">
        <f>AE62-VLOOKUP(AC62,'Summary Page (2)'!$B$5:$K$14,9,FALSE)</f>
        <v>-8.9608888888888742</v>
      </c>
      <c r="AG62" s="52">
        <f>COUNTIFS('Regular Season'!R:R,'Summary Page'!AC62,'Regular Season'!S:S,'Summary Page'!AD62)</f>
        <v>9</v>
      </c>
      <c r="AH62" s="36">
        <f>AVERAGEIFS('Regular Season'!U:U,'Regular Season'!S:S,'Summary Page'!AC62,'Regular Season'!R:R,'Summary Page'!AD62)</f>
        <v>92.28</v>
      </c>
      <c r="AI62" s="47">
        <f>AH62-VLOOKUP(AC62,'Summary Page (2)'!$B$5:$K$14,10,FALSE)</f>
        <v>-6.6671428571428777</v>
      </c>
      <c r="AJ62" s="7">
        <f>COUNTIFS('Regular Season'!R:R,'Summary Page'!AD62,'Regular Season'!S:S,'Summary Page'!AC62)</f>
        <v>4</v>
      </c>
      <c r="AK62" s="36">
        <f t="shared" si="13"/>
        <v>108.83846153846154</v>
      </c>
      <c r="AL62" s="47">
        <f t="shared" si="14"/>
        <v>-3.6663660477453561</v>
      </c>
      <c r="AM62" s="36">
        <f>AVERAGEIFS('Regular Season'!T:T,'Regular Season'!R:R,'Summary Page'!AD62,'Regular Season'!S:S,'Summary Page'!AC62)</f>
        <v>110.25</v>
      </c>
      <c r="AN62" s="47">
        <f>AM62-VLOOKUP(AD62,'Summary Page (2)'!$B$5:$K$14,9,FALSE)</f>
        <v>-8.9381159420290004</v>
      </c>
      <c r="AO62" s="52">
        <f>COUNTIFS('Regular Season'!R:R,'Summary Page'!AD62,'Regular Season'!S:S,'Summary Page'!AC62)</f>
        <v>4</v>
      </c>
      <c r="AP62" s="36">
        <f>AVERAGEIFS('Regular Season'!U:U,'Regular Season'!S:S,'Summary Page'!AD62,'Regular Season'!R:R,'Summary Page'!AC62)</f>
        <v>87.584444444444443</v>
      </c>
      <c r="AQ62" s="47">
        <f>AP62-VLOOKUP(AD62,'Summary Page (2)'!$B$5:$K$14,10,FALSE)</f>
        <v>-2.9619706498952496</v>
      </c>
      <c r="AR62" s="7">
        <f>COUNTIFS('Regular Season'!R:R,'Summary Page'!AC62,'Regular Season'!S:S,'Summary Page'!AD62)</f>
        <v>9</v>
      </c>
      <c r="AS62" s="36">
        <f t="shared" si="15"/>
        <v>94.558461538461543</v>
      </c>
      <c r="AT62" s="47">
        <f t="shared" si="16"/>
        <v>-7.2809670329670837</v>
      </c>
      <c r="AU62" s="55">
        <f t="shared" si="17"/>
        <v>3.6146009852217276</v>
      </c>
      <c r="AW62" s="53">
        <v>15</v>
      </c>
      <c r="AX62" s="7" t="s">
        <v>35</v>
      </c>
      <c r="AY62" s="59" t="s">
        <v>29</v>
      </c>
      <c r="AZ62" s="36">
        <v>128.18</v>
      </c>
      <c r="BA62" s="47">
        <v>9.2015189873417711</v>
      </c>
      <c r="BB62" s="52">
        <v>6</v>
      </c>
      <c r="BC62" s="36">
        <v>91.144999999999996</v>
      </c>
      <c r="BD62" s="47">
        <v>-1.6769718309859343</v>
      </c>
      <c r="BE62" s="7">
        <v>8</v>
      </c>
      <c r="BF62" s="36">
        <v>107.01714285714286</v>
      </c>
      <c r="BG62" s="57">
        <v>0.41940952380950591</v>
      </c>
      <c r="BH62" s="36">
        <v>122.755</v>
      </c>
      <c r="BI62" s="47">
        <v>0.32805555555555088</v>
      </c>
      <c r="BJ62" s="52">
        <v>8</v>
      </c>
      <c r="BK62" s="36">
        <v>98.089999999999989</v>
      </c>
      <c r="BL62" s="47">
        <v>-0.3069230769231126</v>
      </c>
      <c r="BM62" s="7">
        <v>6</v>
      </c>
      <c r="BN62" s="36">
        <v>112.18428571428571</v>
      </c>
      <c r="BO62" s="57">
        <v>2.2529523809523653</v>
      </c>
      <c r="BP62" s="49">
        <v>-1.8335428571428594</v>
      </c>
    </row>
    <row r="63" spans="2:68" x14ac:dyDescent="0.3">
      <c r="B63" s="51" t="s">
        <v>30</v>
      </c>
      <c r="C63" s="47">
        <v>0.1</v>
      </c>
      <c r="AB63" s="53">
        <v>59</v>
      </c>
      <c r="AC63" s="7" t="s">
        <v>29</v>
      </c>
      <c r="AD63" s="7" t="s">
        <v>37</v>
      </c>
      <c r="AE63" s="36">
        <f>AVERAGEIFS('Regular Season'!T:T,'Regular Season'!R:R,'Summary Page'!AC63,'Regular Season'!S:S,'Summary Page'!AD63)</f>
        <v>122.48769230769228</v>
      </c>
      <c r="AF63" s="47">
        <f>AE63-VLOOKUP(AC63,'Summary Page (2)'!$B$5:$K$14,9,FALSE)</f>
        <v>-2.6709743589743624</v>
      </c>
      <c r="AG63" s="52">
        <f>COUNTIFS('Regular Season'!R:R,'Summary Page'!AC63,'Regular Season'!S:S,'Summary Page'!AD63)</f>
        <v>13</v>
      </c>
      <c r="AH63" s="36">
        <f>AVERAGEIFS('Regular Season'!U:U,'Regular Season'!S:S,'Summary Page'!AC63,'Regular Season'!R:R,'Summary Page'!AD63)</f>
        <v>103.74181818181819</v>
      </c>
      <c r="AI63" s="47">
        <f>AH63-VLOOKUP(AC63,'Summary Page (2)'!$B$5:$K$14,10,FALSE)</f>
        <v>4.7946753246753104</v>
      </c>
      <c r="AJ63" s="7">
        <f>COUNTIFS('Regular Season'!R:R,'Summary Page'!AD63,'Regular Season'!S:S,'Summary Page'!AC63)</f>
        <v>11</v>
      </c>
      <c r="AK63" s="36">
        <f t="shared" si="13"/>
        <v>113.89583333333333</v>
      </c>
      <c r="AL63" s="47">
        <f t="shared" si="14"/>
        <v>1.3910057471264281</v>
      </c>
      <c r="AM63" s="36">
        <f>AVERAGEIFS('Regular Season'!T:T,'Regular Season'!R:R,'Summary Page'!AD63,'Regular Season'!S:S,'Summary Page'!AC63)</f>
        <v>121.6</v>
      </c>
      <c r="AN63" s="47">
        <f>AM63-VLOOKUP(AD63,'Summary Page (2)'!$B$5:$K$14,9,FALSE)</f>
        <v>5.7597560975609809</v>
      </c>
      <c r="AO63" s="52">
        <f>COUNTIFS('Regular Season'!R:R,'Summary Page'!AD63,'Regular Season'!S:S,'Summary Page'!AC63)</f>
        <v>11</v>
      </c>
      <c r="AP63" s="36">
        <f>AVERAGEIFS('Regular Season'!U:U,'Regular Season'!S:S,'Summary Page'!AD63,'Regular Season'!R:R,'Summary Page'!AC63)</f>
        <v>92.315384615384602</v>
      </c>
      <c r="AQ63" s="47">
        <f>AP63-VLOOKUP(AD63,'Summary Page (2)'!$B$5:$K$14,10,FALSE)</f>
        <v>-0.53537625418063328</v>
      </c>
      <c r="AR63" s="7">
        <f>COUNTIFS('Regular Season'!R:R,'Summary Page'!AC63,'Regular Season'!S:S,'Summary Page'!AD63)</f>
        <v>13</v>
      </c>
      <c r="AS63" s="36">
        <f t="shared" si="15"/>
        <v>105.7375</v>
      </c>
      <c r="AT63" s="47">
        <f t="shared" si="16"/>
        <v>2.0526149425287201</v>
      </c>
      <c r="AU63" s="55">
        <f t="shared" si="17"/>
        <v>-0.66160919540229202</v>
      </c>
      <c r="AW63" s="53">
        <v>6</v>
      </c>
      <c r="AX63" s="7" t="s">
        <v>32</v>
      </c>
      <c r="AY63" s="59" t="s">
        <v>29</v>
      </c>
      <c r="AZ63" s="36">
        <v>114.46249999999999</v>
      </c>
      <c r="BA63" s="47">
        <v>-2.6389285714285649</v>
      </c>
      <c r="BB63" s="52">
        <v>8</v>
      </c>
      <c r="BC63" s="36">
        <v>95.578000000000003</v>
      </c>
      <c r="BD63" s="47">
        <v>2.012999999999991</v>
      </c>
      <c r="BE63" s="7">
        <v>10</v>
      </c>
      <c r="BF63" s="36">
        <v>103.97111111111111</v>
      </c>
      <c r="BG63" s="57">
        <v>-0.57755555555554849</v>
      </c>
      <c r="BH63" s="36">
        <v>126.86200000000001</v>
      </c>
      <c r="BI63" s="47">
        <v>4.4350555555555644</v>
      </c>
      <c r="BJ63" s="52">
        <v>10</v>
      </c>
      <c r="BK63" s="36">
        <v>92.587499999999991</v>
      </c>
      <c r="BL63" s="47">
        <v>-5.8094230769231103</v>
      </c>
      <c r="BM63" s="7">
        <v>8</v>
      </c>
      <c r="BN63" s="36">
        <v>111.62888888888889</v>
      </c>
      <c r="BO63" s="57">
        <v>1.697555555555553</v>
      </c>
      <c r="BP63" s="49">
        <v>-2.2751111111111015</v>
      </c>
    </row>
    <row r="64" spans="2:68" x14ac:dyDescent="0.3">
      <c r="B64" s="51" t="s">
        <v>38</v>
      </c>
      <c r="C64" s="47">
        <v>-1.1000000000000001</v>
      </c>
      <c r="AB64" s="53">
        <v>60</v>
      </c>
      <c r="AC64" s="7" t="s">
        <v>29</v>
      </c>
      <c r="AD64" s="7" t="s">
        <v>34</v>
      </c>
      <c r="AE64" s="36">
        <f>AVERAGEIFS('Regular Season'!T:T,'Regular Season'!R:R,'Summary Page'!AC64,'Regular Season'!S:S,'Summary Page'!AD64)</f>
        <v>130.83714285714285</v>
      </c>
      <c r="AF64" s="47">
        <f>AE64-VLOOKUP(AC64,'Summary Page (2)'!$B$5:$K$14,9,FALSE)</f>
        <v>5.6784761904762036</v>
      </c>
      <c r="AG64" s="52">
        <f>COUNTIFS('Regular Season'!R:R,'Summary Page'!AC64,'Regular Season'!S:S,'Summary Page'!AD64)</f>
        <v>7</v>
      </c>
      <c r="AH64" s="36">
        <f>AVERAGEIFS('Regular Season'!U:U,'Regular Season'!S:S,'Summary Page'!AC64,'Regular Season'!R:R,'Summary Page'!AD64)</f>
        <v>101.16500000000001</v>
      </c>
      <c r="AI64" s="47">
        <f>AH64-VLOOKUP(AC64,'Summary Page (2)'!$B$5:$K$14,10,FALSE)</f>
        <v>2.2178571428571274</v>
      </c>
      <c r="AJ64" s="7">
        <f>COUNTIFS('Regular Season'!R:R,'Summary Page'!AD64,'Regular Season'!S:S,'Summary Page'!AC64)</f>
        <v>12</v>
      </c>
      <c r="AK64" s="36">
        <f t="shared" si="13"/>
        <v>112.09684210526316</v>
      </c>
      <c r="AL64" s="47">
        <f t="shared" si="14"/>
        <v>-0.40798548094373643</v>
      </c>
      <c r="AM64" s="36">
        <f>AVERAGEIFS('Regular Season'!T:T,'Regular Season'!R:R,'Summary Page'!AD64,'Regular Season'!S:S,'Summary Page'!AC64)</f>
        <v>134.94500000000002</v>
      </c>
      <c r="AN64" s="47">
        <f>AM64-VLOOKUP(AD64,'Summary Page (2)'!$B$5:$K$14,9,FALSE)</f>
        <v>12.60236263736266</v>
      </c>
      <c r="AO64" s="52">
        <f>COUNTIFS('Regular Season'!R:R,'Summary Page'!AD64,'Regular Season'!S:S,'Summary Page'!AC64)</f>
        <v>12</v>
      </c>
      <c r="AP64" s="36">
        <f>AVERAGEIFS('Regular Season'!U:U,'Regular Season'!S:S,'Summary Page'!AD64,'Regular Season'!R:R,'Summary Page'!AC64)</f>
        <v>106.33714285714288</v>
      </c>
      <c r="AQ64" s="47">
        <f>AP64-VLOOKUP(AD64,'Summary Page (2)'!$B$5:$K$14,10,FALSE)</f>
        <v>9.9371428571428879</v>
      </c>
      <c r="AR64" s="7">
        <f>COUNTIFS('Regular Season'!R:R,'Summary Page'!AC64,'Regular Season'!S:S,'Summary Page'!AD64)</f>
        <v>7</v>
      </c>
      <c r="AS64" s="36">
        <f t="shared" si="15"/>
        <v>124.40526315789475</v>
      </c>
      <c r="AT64" s="47">
        <f t="shared" si="16"/>
        <v>14.437562008469484</v>
      </c>
      <c r="AU64" s="55">
        <f t="shared" si="17"/>
        <v>-14.845547489413221</v>
      </c>
      <c r="AW64" s="53">
        <v>26</v>
      </c>
      <c r="AX64" s="7" t="s">
        <v>30</v>
      </c>
      <c r="AY64" s="59" t="s">
        <v>33</v>
      </c>
      <c r="AZ64" s="36">
        <v>117.58</v>
      </c>
      <c r="BA64" s="47">
        <v>-4.9026315789473927</v>
      </c>
      <c r="BB64" s="52">
        <v>4</v>
      </c>
      <c r="BC64" s="36">
        <v>96.791428571428582</v>
      </c>
      <c r="BD64" s="47">
        <v>0.47359073359073989</v>
      </c>
      <c r="BE64" s="7">
        <v>7</v>
      </c>
      <c r="BF64" s="36">
        <v>104.3509090909091</v>
      </c>
      <c r="BG64" s="57">
        <v>-5.2237575757576025</v>
      </c>
      <c r="BH64" s="36">
        <v>119.37142857142858</v>
      </c>
      <c r="BI64" s="47">
        <v>-1.7148635634029006</v>
      </c>
      <c r="BJ64" s="52">
        <v>7</v>
      </c>
      <c r="BK64" s="36">
        <v>86.710000000000008</v>
      </c>
      <c r="BL64" s="47">
        <v>-8.075901639344238</v>
      </c>
      <c r="BM64" s="7">
        <v>4</v>
      </c>
      <c r="BN64" s="36">
        <v>107.49454545454546</v>
      </c>
      <c r="BO64" s="57">
        <v>-2.8962545454545534</v>
      </c>
      <c r="BP64" s="49">
        <v>-2.3275030303030491</v>
      </c>
    </row>
    <row r="65" spans="2:68" x14ac:dyDescent="0.3">
      <c r="B65" s="51" t="s">
        <v>37</v>
      </c>
      <c r="C65" s="47">
        <v>0.6</v>
      </c>
      <c r="AB65" s="53">
        <v>61</v>
      </c>
      <c r="AC65" s="7" t="s">
        <v>29</v>
      </c>
      <c r="AD65" s="7" t="s">
        <v>31</v>
      </c>
      <c r="AE65" s="36">
        <f>AVERAGEIFS('Regular Season'!T:T,'Regular Season'!R:R,'Summary Page'!AC65,'Regular Season'!S:S,'Summary Page'!AD65)</f>
        <v>134.18153846153848</v>
      </c>
      <c r="AF65" s="47">
        <f>AE65-VLOOKUP(AC65,'Summary Page (2)'!$B$5:$K$14,9,FALSE)</f>
        <v>9.0228717948718327</v>
      </c>
      <c r="AG65" s="52">
        <f>COUNTIFS('Regular Season'!R:R,'Summary Page'!AC65,'Regular Season'!S:S,'Summary Page'!AD65)</f>
        <v>13</v>
      </c>
      <c r="AH65" s="36">
        <f>AVERAGEIFS('Regular Season'!U:U,'Regular Season'!S:S,'Summary Page'!AC65,'Regular Season'!R:R,'Summary Page'!AD65)</f>
        <v>105.51000000000002</v>
      </c>
      <c r="AI65" s="47">
        <f>AH65-VLOOKUP(AC65,'Summary Page (2)'!$B$5:$K$14,10,FALSE)</f>
        <v>6.5628571428571405</v>
      </c>
      <c r="AJ65" s="7">
        <f>COUNTIFS('Regular Season'!R:R,'Summary Page'!AD65,'Regular Season'!S:S,'Summary Page'!AC65)</f>
        <v>10</v>
      </c>
      <c r="AK65" s="36">
        <f t="shared" si="13"/>
        <v>121.71565217391304</v>
      </c>
      <c r="AL65" s="47">
        <f t="shared" si="14"/>
        <v>9.2108245877061421</v>
      </c>
      <c r="AM65" s="36">
        <f>AVERAGEIFS('Regular Season'!T:T,'Regular Season'!R:R,'Summary Page'!AD65,'Regular Season'!S:S,'Summary Page'!AC65)</f>
        <v>122.97000000000003</v>
      </c>
      <c r="AN65" s="47">
        <f>AM65-VLOOKUP(AD65,'Summary Page (2)'!$B$5:$K$14,9,FALSE)</f>
        <v>2.5276190476190976</v>
      </c>
      <c r="AO65" s="52">
        <f>COUNTIFS('Regular Season'!R:R,'Summary Page'!AD65,'Regular Season'!S:S,'Summary Page'!AC65)</f>
        <v>10</v>
      </c>
      <c r="AP65" s="36">
        <f>AVERAGEIFS('Regular Season'!U:U,'Regular Season'!S:S,'Summary Page'!AD65,'Regular Season'!R:R,'Summary Page'!AC65)</f>
        <v>99.646153846153837</v>
      </c>
      <c r="AQ65" s="47">
        <f>AP65-VLOOKUP(AD65,'Summary Page (2)'!$B$5:$K$14,10,FALSE)</f>
        <v>5.1404720279719811</v>
      </c>
      <c r="AR65" s="7">
        <f>COUNTIFS('Regular Season'!R:R,'Summary Page'!AC65,'Regular Season'!S:S,'Summary Page'!AD65)</f>
        <v>13</v>
      </c>
      <c r="AS65" s="36">
        <f t="shared" si="15"/>
        <v>109.78695652173914</v>
      </c>
      <c r="AT65" s="47">
        <f t="shared" si="16"/>
        <v>2.6145146612740007</v>
      </c>
      <c r="AU65" s="55">
        <f t="shared" si="17"/>
        <v>6.5963099264321414</v>
      </c>
      <c r="AW65" s="53">
        <v>84</v>
      </c>
      <c r="AX65" s="7" t="s">
        <v>36</v>
      </c>
      <c r="AY65" s="59" t="s">
        <v>30</v>
      </c>
      <c r="AZ65" s="36">
        <v>116.68857142857142</v>
      </c>
      <c r="BA65" s="47">
        <v>-0.89801393728221512</v>
      </c>
      <c r="BB65" s="52">
        <v>14</v>
      </c>
      <c r="BC65" s="36">
        <v>91.495555555555541</v>
      </c>
      <c r="BD65" s="47">
        <v>-1.2279738562091609</v>
      </c>
      <c r="BE65" s="7">
        <v>9</v>
      </c>
      <c r="BF65" s="36">
        <v>106.83043478260868</v>
      </c>
      <c r="BG65" s="57">
        <v>0.51510144927534895</v>
      </c>
      <c r="BH65" s="36">
        <v>137.39111111111112</v>
      </c>
      <c r="BI65" s="47">
        <v>14.908479532163724</v>
      </c>
      <c r="BJ65" s="52">
        <v>9</v>
      </c>
      <c r="BK65" s="36">
        <v>97.639999999999986</v>
      </c>
      <c r="BL65" s="47">
        <v>1.3221621621621438</v>
      </c>
      <c r="BM65" s="7">
        <v>14</v>
      </c>
      <c r="BN65" s="36">
        <v>113.19478260869563</v>
      </c>
      <c r="BO65" s="57">
        <v>3.6201159420289315</v>
      </c>
      <c r="BP65" s="49">
        <v>-3.1050144927535825</v>
      </c>
    </row>
    <row r="66" spans="2:68" x14ac:dyDescent="0.3">
      <c r="B66" s="51" t="s">
        <v>34</v>
      </c>
      <c r="C66" s="47">
        <v>-1.3</v>
      </c>
      <c r="AB66" s="53">
        <v>62</v>
      </c>
      <c r="AC66" s="7" t="s">
        <v>29</v>
      </c>
      <c r="AD66" s="7" t="s">
        <v>33</v>
      </c>
      <c r="AE66" s="36">
        <f>AVERAGEIFS('Regular Season'!T:T,'Regular Season'!R:R,'Summary Page'!AC66,'Regular Season'!S:S,'Summary Page'!AD66)</f>
        <v>116.61333333333333</v>
      </c>
      <c r="AF66" s="47">
        <f>AE66-VLOOKUP(AC66,'Summary Page (2)'!$B$5:$K$14,9,FALSE)</f>
        <v>-8.5453333333333177</v>
      </c>
      <c r="AG66" s="52">
        <f>COUNTIFS('Regular Season'!R:R,'Summary Page'!AC66,'Regular Season'!S:S,'Summary Page'!AD66)</f>
        <v>9</v>
      </c>
      <c r="AH66" s="36">
        <f>AVERAGEIFS('Regular Season'!U:U,'Regular Season'!S:S,'Summary Page'!AC66,'Regular Season'!R:R,'Summary Page'!AD66)</f>
        <v>100.354</v>
      </c>
      <c r="AI66" s="47">
        <f>AH66-VLOOKUP(AC66,'Summary Page (2)'!$B$5:$K$14,10,FALSE)</f>
        <v>1.4068571428571204</v>
      </c>
      <c r="AJ66" s="7">
        <f>COUNTIFS('Regular Season'!R:R,'Summary Page'!AD66,'Regular Season'!S:S,'Summary Page'!AC66)</f>
        <v>10</v>
      </c>
      <c r="AK66" s="36">
        <f t="shared" si="13"/>
        <v>108.05578947368421</v>
      </c>
      <c r="AL66" s="47">
        <f t="shared" si="14"/>
        <v>-4.4490381125226861</v>
      </c>
      <c r="AM66" s="36">
        <f>AVERAGEIFS('Regular Season'!T:T,'Regular Season'!R:R,'Summary Page'!AD66,'Regular Season'!S:S,'Summary Page'!AC66)</f>
        <v>128.78199999999998</v>
      </c>
      <c r="AN66" s="47">
        <f>AM66-VLOOKUP(AD66,'Summary Page (2)'!$B$5:$K$14,9,FALSE)</f>
        <v>8.0257254901960522</v>
      </c>
      <c r="AO66" s="52">
        <f>COUNTIFS('Regular Season'!R:R,'Summary Page'!AD66,'Regular Season'!S:S,'Summary Page'!AC66)</f>
        <v>10</v>
      </c>
      <c r="AP66" s="36">
        <f>AVERAGEIFS('Regular Season'!U:U,'Regular Season'!S:S,'Summary Page'!AD66,'Regular Season'!R:R,'Summary Page'!AC66)</f>
        <v>104.06</v>
      </c>
      <c r="AQ66" s="47">
        <f>AP66-VLOOKUP(AD66,'Summary Page (2)'!$B$5:$K$14,10,FALSE)</f>
        <v>7.3675675675675905</v>
      </c>
      <c r="AR66" s="7">
        <f>COUNTIFS('Regular Season'!R:R,'Summary Page'!AC66,'Regular Season'!S:S,'Summary Page'!AD66)</f>
        <v>9</v>
      </c>
      <c r="AS66" s="36">
        <f t="shared" si="15"/>
        <v>117.07157894736841</v>
      </c>
      <c r="AT66" s="47">
        <f t="shared" si="16"/>
        <v>6.4330562200956791</v>
      </c>
      <c r="AU66" s="55">
        <f t="shared" si="17"/>
        <v>-10.882094332618365</v>
      </c>
      <c r="AW66" s="53">
        <v>38</v>
      </c>
      <c r="AX66" s="7" t="s">
        <v>37</v>
      </c>
      <c r="AY66" s="59" t="s">
        <v>35</v>
      </c>
      <c r="AZ66" s="36">
        <v>125.35000000000002</v>
      </c>
      <c r="BA66" s="47">
        <v>9.8053424657534407</v>
      </c>
      <c r="BB66" s="52">
        <v>6</v>
      </c>
      <c r="BC66" s="36">
        <v>92.842000000000013</v>
      </c>
      <c r="BD66" s="47">
        <v>1.3131688311687952</v>
      </c>
      <c r="BE66" s="7">
        <v>10</v>
      </c>
      <c r="BF66" s="36">
        <v>105.03250000000001</v>
      </c>
      <c r="BG66" s="57">
        <v>1.8159666666666539</v>
      </c>
      <c r="BH66" s="36">
        <v>117.83400000000002</v>
      </c>
      <c r="BI66" s="47">
        <v>-1.1444810126582183</v>
      </c>
      <c r="BJ66" s="52">
        <v>10</v>
      </c>
      <c r="BK66" s="36">
        <v>101.12</v>
      </c>
      <c r="BL66" s="47">
        <v>8.2980281690140743</v>
      </c>
      <c r="BM66" s="7">
        <v>6</v>
      </c>
      <c r="BN66" s="36">
        <v>111.56625000000001</v>
      </c>
      <c r="BO66" s="57">
        <v>4.9685166666666589</v>
      </c>
      <c r="BP66" s="49">
        <v>-3.1525500000000051</v>
      </c>
    </row>
    <row r="67" spans="2:68" x14ac:dyDescent="0.3">
      <c r="B67" s="51" t="s">
        <v>29</v>
      </c>
      <c r="C67" s="47">
        <v>-4.3</v>
      </c>
      <c r="AB67" s="53">
        <v>63</v>
      </c>
      <c r="AC67" s="7" t="s">
        <v>29</v>
      </c>
      <c r="AD67" s="7" t="s">
        <v>36</v>
      </c>
      <c r="AE67" s="36">
        <f>AVERAGEIFS('Regular Season'!T:T,'Regular Season'!R:R,'Summary Page'!AC67,'Regular Season'!S:S,'Summary Page'!AD67)</f>
        <v>132.83999999999997</v>
      </c>
      <c r="AF67" s="47">
        <f>AE67-VLOOKUP(AC67,'Summary Page (2)'!$B$5:$K$14,9,FALSE)</f>
        <v>7.6813333333333276</v>
      </c>
      <c r="AG67" s="52">
        <f>COUNTIFS('Regular Season'!R:R,'Summary Page'!AC67,'Regular Season'!S:S,'Summary Page'!AD67)</f>
        <v>8</v>
      </c>
      <c r="AH67" s="36">
        <f>AVERAGEIFS('Regular Season'!U:U,'Regular Season'!S:S,'Summary Page'!AC67,'Regular Season'!R:R,'Summary Page'!AD67)</f>
        <v>94.001666666666665</v>
      </c>
      <c r="AI67" s="47">
        <f>AH67-VLOOKUP(AC67,'Summary Page (2)'!$B$5:$K$14,10,FALSE)</f>
        <v>-4.9454761904762137</v>
      </c>
      <c r="AJ67" s="7">
        <f>COUNTIFS('Regular Season'!R:R,'Summary Page'!AD67,'Regular Season'!S:S,'Summary Page'!AC67)</f>
        <v>12</v>
      </c>
      <c r="AK67" s="36">
        <f t="shared" si="13"/>
        <v>109.53699999999999</v>
      </c>
      <c r="AL67" s="47">
        <f t="shared" si="14"/>
        <v>-2.9678275862069086</v>
      </c>
      <c r="AM67" s="36">
        <f>AVERAGEIFS('Regular Season'!T:T,'Regular Season'!R:R,'Summary Page'!AD67,'Regular Season'!S:S,'Summary Page'!AC67)</f>
        <v>123.91499999999998</v>
      </c>
      <c r="AN67" s="47">
        <f>AM67-VLOOKUP(AD67,'Summary Page (2)'!$B$5:$K$14,9,FALSE)</f>
        <v>7.8371739130435003</v>
      </c>
      <c r="AO67" s="52">
        <f>COUNTIFS('Regular Season'!R:R,'Summary Page'!AD67,'Regular Season'!S:S,'Summary Page'!AC67)</f>
        <v>12</v>
      </c>
      <c r="AP67" s="36">
        <f>AVERAGEIFS('Regular Season'!U:U,'Regular Season'!S:S,'Summary Page'!AD67,'Regular Season'!R:R,'Summary Page'!AC67)</f>
        <v>112.00750000000001</v>
      </c>
      <c r="AQ67" s="47">
        <f>AP67-VLOOKUP(AD67,'Summary Page (2)'!$B$5:$K$14,10,FALSE)</f>
        <v>17.237256097561001</v>
      </c>
      <c r="AR67" s="7">
        <f>COUNTIFS('Regular Season'!R:R,'Summary Page'!AC67,'Regular Season'!S:S,'Summary Page'!AD67)</f>
        <v>8</v>
      </c>
      <c r="AS67" s="36">
        <f t="shared" si="15"/>
        <v>119.152</v>
      </c>
      <c r="AT67" s="47">
        <f t="shared" si="16"/>
        <v>13.115678160919558</v>
      </c>
      <c r="AU67" s="55">
        <f t="shared" si="17"/>
        <v>-16.083505747126466</v>
      </c>
      <c r="AW67" s="53">
        <v>35</v>
      </c>
      <c r="AX67" s="7" t="s">
        <v>38</v>
      </c>
      <c r="AY67" s="59" t="s">
        <v>33</v>
      </c>
      <c r="AZ67" s="36">
        <v>119.256</v>
      </c>
      <c r="BA67" s="47">
        <v>1.3927857142856794</v>
      </c>
      <c r="BB67" s="52">
        <v>5</v>
      </c>
      <c r="BC67" s="36">
        <v>94.092727272727274</v>
      </c>
      <c r="BD67" s="47">
        <v>3.1969825918761643</v>
      </c>
      <c r="BE67" s="7">
        <v>11</v>
      </c>
      <c r="BF67" s="36">
        <v>101.95625</v>
      </c>
      <c r="BG67" s="57">
        <v>0.99264999999995496</v>
      </c>
      <c r="BH67" s="36">
        <v>124.09454545454545</v>
      </c>
      <c r="BI67" s="47">
        <v>3.0082533197139725</v>
      </c>
      <c r="BJ67" s="52">
        <v>11</v>
      </c>
      <c r="BK67" s="36">
        <v>93.772000000000006</v>
      </c>
      <c r="BL67" s="47">
        <v>-1.0139016393442404</v>
      </c>
      <c r="BM67" s="7">
        <v>5</v>
      </c>
      <c r="BN67" s="36">
        <v>114.61875000000001</v>
      </c>
      <c r="BO67" s="57">
        <v>4.2279499999999928</v>
      </c>
      <c r="BP67" s="49">
        <v>-3.2353000000000378</v>
      </c>
    </row>
    <row r="68" spans="2:68" x14ac:dyDescent="0.3">
      <c r="B68" s="51" t="s">
        <v>31</v>
      </c>
      <c r="C68" s="47">
        <v>-2.1</v>
      </c>
      <c r="AB68" s="53">
        <v>64</v>
      </c>
      <c r="AC68" s="7" t="s">
        <v>31</v>
      </c>
      <c r="AD68" s="7" t="s">
        <v>32</v>
      </c>
      <c r="AE68" s="36">
        <f>AVERAGEIFS('Regular Season'!T:T,'Regular Season'!R:R,'Summary Page'!AC68,'Regular Season'!S:S,'Summary Page'!AD68)</f>
        <v>106.42444444444443</v>
      </c>
      <c r="AF68" s="47">
        <f>AE68-VLOOKUP(AC68,'Summary Page (2)'!$B$5:$K$14,9,FALSE)</f>
        <v>-14.017936507936497</v>
      </c>
      <c r="AG68" s="52">
        <f>COUNTIFS('Regular Season'!R:R,'Summary Page'!AC68,'Regular Season'!S:S,'Summary Page'!AD68)</f>
        <v>9</v>
      </c>
      <c r="AH68" s="36">
        <f>AVERAGEIFS('Regular Season'!U:U,'Regular Season'!S:S,'Summary Page'!AC68,'Regular Season'!R:R,'Summary Page'!AD68)</f>
        <v>86.406666666666666</v>
      </c>
      <c r="AI68" s="47">
        <f>AH68-VLOOKUP(AC68,'Summary Page (2)'!$B$5:$K$14,10,FALSE)</f>
        <v>-8.0990151515151894</v>
      </c>
      <c r="AJ68" s="7">
        <f>COUNTIFS('Regular Season'!R:R,'Summary Page'!AD68,'Regular Season'!S:S,'Summary Page'!AC68)</f>
        <v>15</v>
      </c>
      <c r="AK68" s="36">
        <f t="shared" si="13"/>
        <v>93.913333333333341</v>
      </c>
      <c r="AL68" s="47">
        <f t="shared" si="14"/>
        <v>-13.259108527131801</v>
      </c>
      <c r="AM68" s="36">
        <f>AVERAGEIFS('Regular Season'!T:T,'Regular Season'!R:R,'Summary Page'!AD68,'Regular Season'!S:S,'Summary Page'!AC68)</f>
        <v>118.55866666666667</v>
      </c>
      <c r="AN68" s="47">
        <f>AM68-VLOOKUP(AD68,'Summary Page (2)'!$B$5:$K$14,9,FALSE)</f>
        <v>0.62168992248064114</v>
      </c>
      <c r="AO68" s="52">
        <f>COUNTIFS('Regular Season'!R:R,'Summary Page'!AD68,'Regular Season'!S:S,'Summary Page'!AC68)</f>
        <v>15</v>
      </c>
      <c r="AP68" s="36">
        <f>AVERAGEIFS('Regular Season'!U:U,'Regular Season'!S:S,'Summary Page'!AD68,'Regular Season'!R:R,'Summary Page'!AC68)</f>
        <v>94.171111111111117</v>
      </c>
      <c r="AQ68" s="47">
        <f>AP68-VLOOKUP(AD68,'Summary Page (2)'!$B$5:$K$14,10,FALSE)</f>
        <v>7.7929292929283633E-2</v>
      </c>
      <c r="AR68" s="7">
        <f>COUNTIFS('Regular Season'!R:R,'Summary Page'!AC68,'Regular Season'!S:S,'Summary Page'!AD68)</f>
        <v>9</v>
      </c>
      <c r="AS68" s="36">
        <f t="shared" si="15"/>
        <v>109.41333333333334</v>
      </c>
      <c r="AT68" s="47">
        <f t="shared" si="16"/>
        <v>3.5352873563218594</v>
      </c>
      <c r="AU68" s="55">
        <f t="shared" si="17"/>
        <v>-16.79439588345366</v>
      </c>
      <c r="AW68" s="53">
        <v>33</v>
      </c>
      <c r="AX68" s="7" t="s">
        <v>38</v>
      </c>
      <c r="AY68" s="59" t="s">
        <v>29</v>
      </c>
      <c r="AZ68" s="36">
        <v>107.5</v>
      </c>
      <c r="BA68" s="47">
        <v>-10.363214285714321</v>
      </c>
      <c r="BB68" s="52">
        <v>3</v>
      </c>
      <c r="BC68" s="36">
        <v>90.767499999999998</v>
      </c>
      <c r="BD68" s="47">
        <v>-0.12824468085111107</v>
      </c>
      <c r="BE68" s="7">
        <v>8</v>
      </c>
      <c r="BF68" s="36">
        <v>95.330909090909074</v>
      </c>
      <c r="BG68" s="57">
        <v>-5.632690909090968</v>
      </c>
      <c r="BH68" s="36">
        <v>112.14749999999999</v>
      </c>
      <c r="BI68" s="47">
        <v>-10.279444444444451</v>
      </c>
      <c r="BJ68" s="52">
        <v>8</v>
      </c>
      <c r="BK68" s="36">
        <v>95.333333333333329</v>
      </c>
      <c r="BL68" s="47">
        <v>-3.0635897435897732</v>
      </c>
      <c r="BM68" s="7">
        <v>3</v>
      </c>
      <c r="BN68" s="36">
        <v>107.56181818181817</v>
      </c>
      <c r="BO68" s="57">
        <v>-2.3695151515151736</v>
      </c>
      <c r="BP68" s="49">
        <v>-3.2631757575757945</v>
      </c>
    </row>
    <row r="69" spans="2:68" x14ac:dyDescent="0.3">
      <c r="B69" s="51" t="s">
        <v>33</v>
      </c>
      <c r="C69" s="47">
        <v>1.7</v>
      </c>
      <c r="AB69" s="53">
        <v>65</v>
      </c>
      <c r="AC69" s="7" t="s">
        <v>31</v>
      </c>
      <c r="AD69" s="7" t="s">
        <v>35</v>
      </c>
      <c r="AE69" s="36">
        <f>AVERAGEIFS('Regular Season'!T:T,'Regular Season'!R:R,'Summary Page'!AC69,'Regular Season'!S:S,'Summary Page'!AD69)</f>
        <v>113.428</v>
      </c>
      <c r="AF69" s="47">
        <f>AE69-VLOOKUP(AC69,'Summary Page (2)'!$B$5:$K$14,9,FALSE)</f>
        <v>-7.0143809523809324</v>
      </c>
      <c r="AG69" s="52">
        <f>COUNTIFS('Regular Season'!R:R,'Summary Page'!AC69,'Regular Season'!S:S,'Summary Page'!AD69)</f>
        <v>5</v>
      </c>
      <c r="AH69" s="36">
        <f>AVERAGEIFS('Regular Season'!U:U,'Regular Season'!S:S,'Summary Page'!AC69,'Regular Season'!R:R,'Summary Page'!AD69)</f>
        <v>95.065714285714293</v>
      </c>
      <c r="AI69" s="47">
        <f>AH69-VLOOKUP(AC69,'Summary Page (2)'!$B$5:$K$14,10,FALSE)</f>
        <v>0.56003246753243729</v>
      </c>
      <c r="AJ69" s="7">
        <f>COUNTIFS('Regular Season'!R:R,'Summary Page'!AD69,'Regular Season'!S:S,'Summary Page'!AC69)</f>
        <v>7</v>
      </c>
      <c r="AK69" s="36">
        <f t="shared" ref="AK69:AK94" si="27">IFERROR(((AG69*AE69)+(AH69*AJ69))/SUM(AG69,AJ69),"")</f>
        <v>102.71666666666665</v>
      </c>
      <c r="AL69" s="47">
        <f t="shared" ref="AL69:AL94" si="28">IFERROR(AK69-VLOOKUP(AC69,$B$5:$H$14,7,FALSE),"")</f>
        <v>-4.4557751937984875</v>
      </c>
      <c r="AM69" s="36">
        <f>AVERAGEIFS('Regular Season'!T:T,'Regular Season'!R:R,'Summary Page'!AD69,'Regular Season'!S:S,'Summary Page'!AC69)</f>
        <v>126.92571428571428</v>
      </c>
      <c r="AN69" s="47">
        <f>AM69-VLOOKUP(AD69,'Summary Page (2)'!$B$5:$K$14,9,FALSE)</f>
        <v>7.4521658986174941</v>
      </c>
      <c r="AO69" s="52">
        <f>COUNTIFS('Regular Season'!R:R,'Summary Page'!AD69,'Regular Season'!S:S,'Summary Page'!AC69)</f>
        <v>7</v>
      </c>
      <c r="AP69" s="36">
        <f>AVERAGEIFS('Regular Season'!U:U,'Regular Season'!S:S,'Summary Page'!AD69,'Regular Season'!R:R,'Summary Page'!AC69)</f>
        <v>95.24</v>
      </c>
      <c r="AQ69" s="47">
        <f>AP69-VLOOKUP(AD69,'Summary Page (2)'!$B$5:$K$14,10,FALSE)</f>
        <v>2.166666666666643</v>
      </c>
      <c r="AR69" s="7">
        <f>COUNTIFS('Regular Season'!R:R,'Summary Page'!AC69,'Regular Season'!S:S,'Summary Page'!AD69)</f>
        <v>5</v>
      </c>
      <c r="AS69" s="36">
        <f t="shared" ref="AS69:AS94" si="29">IFERROR(((AO69*AM69)+(AP69*AR69))/SUM(AO69,AR69),"")</f>
        <v>113.72333333333331</v>
      </c>
      <c r="AT69" s="47">
        <f t="shared" ref="AT69:AT94" si="30">IFERROR(AS69-VLOOKUP(AD69,$B$5:$H$14,7,FALSE),"")</f>
        <v>6.53954022988502</v>
      </c>
      <c r="AU69" s="55">
        <f t="shared" ref="AU69:AU94" si="31">AL69-AT69</f>
        <v>-10.995315423683508</v>
      </c>
      <c r="AW69" s="53">
        <v>20</v>
      </c>
      <c r="AX69" s="7" t="s">
        <v>30</v>
      </c>
      <c r="AY69" s="59" t="s">
        <v>35</v>
      </c>
      <c r="AZ69" s="36">
        <v>118.03</v>
      </c>
      <c r="BA69" s="47">
        <v>-4.4526315789473898</v>
      </c>
      <c r="BB69" s="52">
        <v>10</v>
      </c>
      <c r="BC69" s="36">
        <v>93.664999999999992</v>
      </c>
      <c r="BD69" s="47">
        <v>-2.6528378378378505</v>
      </c>
      <c r="BE69" s="7">
        <v>8</v>
      </c>
      <c r="BF69" s="36">
        <v>107.2011111111111</v>
      </c>
      <c r="BG69" s="57">
        <v>-2.3735555555555976</v>
      </c>
      <c r="BH69" s="36">
        <v>124.1425</v>
      </c>
      <c r="BI69" s="47">
        <v>5.1640189873417626</v>
      </c>
      <c r="BJ69" s="52">
        <v>8</v>
      </c>
      <c r="BK69" s="36">
        <v>94.695999999999998</v>
      </c>
      <c r="BL69" s="47">
        <v>1.8740281690140677</v>
      </c>
      <c r="BM69" s="7">
        <v>10</v>
      </c>
      <c r="BN69" s="36">
        <v>107.78333333333333</v>
      </c>
      <c r="BO69" s="57">
        <v>1.1855999999999796</v>
      </c>
      <c r="BP69" s="49">
        <v>-3.5591555555555772</v>
      </c>
    </row>
    <row r="70" spans="2:68" x14ac:dyDescent="0.3">
      <c r="B70" s="51" t="s">
        <v>36</v>
      </c>
      <c r="C70" s="47">
        <v>1.5</v>
      </c>
      <c r="AB70" s="53">
        <v>66</v>
      </c>
      <c r="AC70" s="7" t="s">
        <v>31</v>
      </c>
      <c r="AD70" s="7" t="s">
        <v>30</v>
      </c>
      <c r="AE70" s="36">
        <f>AVERAGEIFS('Regular Season'!T:T,'Regular Season'!R:R,'Summary Page'!AC70,'Regular Season'!S:S,'Summary Page'!AD70)</f>
        <v>128.44800000000001</v>
      </c>
      <c r="AF70" s="47">
        <f>AE70-VLOOKUP(AC70,'Summary Page (2)'!$B$5:$K$14,9,FALSE)</f>
        <v>8.0056190476190778</v>
      </c>
      <c r="AG70" s="52">
        <f>COUNTIFS('Regular Season'!R:R,'Summary Page'!AC70,'Regular Season'!S:S,'Summary Page'!AD70)</f>
        <v>10</v>
      </c>
      <c r="AH70" s="36">
        <f>AVERAGEIFS('Regular Season'!U:U,'Regular Season'!S:S,'Summary Page'!AC70,'Regular Season'!R:R,'Summary Page'!AD70)</f>
        <v>86.457777777777778</v>
      </c>
      <c r="AI70" s="47">
        <f>AH70-VLOOKUP(AC70,'Summary Page (2)'!$B$5:$K$14,10,FALSE)</f>
        <v>-8.0479040404040774</v>
      </c>
      <c r="AJ70" s="7">
        <f>COUNTIFS('Regular Season'!R:R,'Summary Page'!AD70,'Regular Season'!S:S,'Summary Page'!AC70)</f>
        <v>9</v>
      </c>
      <c r="AK70" s="36">
        <f t="shared" si="27"/>
        <v>108.5578947368421</v>
      </c>
      <c r="AL70" s="47">
        <f t="shared" si="28"/>
        <v>1.3854528763769594</v>
      </c>
      <c r="AM70" s="36">
        <f>AVERAGEIFS('Regular Season'!T:T,'Regular Season'!R:R,'Summary Page'!AD70,'Regular Season'!S:S,'Summary Page'!AC70)</f>
        <v>108.73333333333333</v>
      </c>
      <c r="AN70" s="47">
        <f>AM70-VLOOKUP(AD70,'Summary Page (2)'!$B$5:$K$14,9,FALSE)</f>
        <v>-12.966419753086441</v>
      </c>
      <c r="AO70" s="52">
        <f>COUNTIFS('Regular Season'!R:R,'Summary Page'!AD70,'Regular Season'!S:S,'Summary Page'!AC70)</f>
        <v>9</v>
      </c>
      <c r="AP70" s="36">
        <f>AVERAGEIFS('Regular Season'!U:U,'Regular Season'!S:S,'Summary Page'!AD70,'Regular Season'!R:R,'Summary Page'!AC70)</f>
        <v>94.25</v>
      </c>
      <c r="AQ70" s="47">
        <f>AP70-VLOOKUP(AD70,'Summary Page (2)'!$B$5:$K$14,10,FALSE)</f>
        <v>-0.62608695652171775</v>
      </c>
      <c r="AR70" s="7">
        <f>COUNTIFS('Regular Season'!R:R,'Summary Page'!AC70,'Regular Season'!S:S,'Summary Page'!AD70)</f>
        <v>10</v>
      </c>
      <c r="AS70" s="36">
        <f t="shared" si="29"/>
        <v>101.11052631578947</v>
      </c>
      <c r="AT70" s="47">
        <f t="shared" si="30"/>
        <v>-6.3246181928810472</v>
      </c>
      <c r="AU70" s="55">
        <f t="shared" si="31"/>
        <v>7.7100710692580066</v>
      </c>
      <c r="AW70" s="53">
        <v>83</v>
      </c>
      <c r="AX70" s="7" t="s">
        <v>36</v>
      </c>
      <c r="AY70" s="59" t="s">
        <v>35</v>
      </c>
      <c r="AZ70" s="36">
        <v>123.4088888888889</v>
      </c>
      <c r="BA70" s="47">
        <v>5.8223035230352593</v>
      </c>
      <c r="BB70" s="52">
        <v>9</v>
      </c>
      <c r="BC70" s="36">
        <v>92.13</v>
      </c>
      <c r="BD70" s="47">
        <v>-0.59352941176470608</v>
      </c>
      <c r="BE70" s="7">
        <v>12</v>
      </c>
      <c r="BF70" s="36">
        <v>105.53523809523809</v>
      </c>
      <c r="BG70" s="57">
        <v>-0.78009523809524239</v>
      </c>
      <c r="BH70" s="36">
        <v>119.69833333333334</v>
      </c>
      <c r="BI70" s="47">
        <v>0.71985232067510196</v>
      </c>
      <c r="BJ70" s="52">
        <v>12</v>
      </c>
      <c r="BK70" s="36">
        <v>96.411111111111126</v>
      </c>
      <c r="BL70" s="47">
        <v>3.5891392801251953</v>
      </c>
      <c r="BM70" s="7">
        <v>9</v>
      </c>
      <c r="BN70" s="36">
        <v>109.71809523809526</v>
      </c>
      <c r="BO70" s="57">
        <v>3.1203619047619071</v>
      </c>
      <c r="BP70" s="49">
        <v>-3.9004571428571495</v>
      </c>
    </row>
    <row r="71" spans="2:68" x14ac:dyDescent="0.3">
      <c r="AB71" s="53">
        <v>67</v>
      </c>
      <c r="AC71" s="7" t="s">
        <v>31</v>
      </c>
      <c r="AD71" s="7" t="s">
        <v>38</v>
      </c>
      <c r="AE71" s="36">
        <f>AVERAGEIFS('Regular Season'!T:T,'Regular Season'!R:R,'Summary Page'!AC71,'Regular Season'!S:S,'Summary Page'!AD71)</f>
        <v>124.87833333333333</v>
      </c>
      <c r="AF71" s="47">
        <f>AE71-VLOOKUP(AC71,'Summary Page (2)'!$B$5:$K$14,9,FALSE)</f>
        <v>4.4359523809524006</v>
      </c>
      <c r="AG71" s="52">
        <f>COUNTIFS('Regular Season'!R:R,'Summary Page'!AC71,'Regular Season'!S:S,'Summary Page'!AD71)</f>
        <v>12</v>
      </c>
      <c r="AH71" s="36">
        <f>AVERAGEIFS('Regular Season'!U:U,'Regular Season'!S:S,'Summary Page'!AC71,'Regular Season'!R:R,'Summary Page'!AD71)</f>
        <v>76.539999999999992</v>
      </c>
      <c r="AI71" s="47">
        <f>AH71-VLOOKUP(AC71,'Summary Page (2)'!$B$5:$K$14,10,FALSE)</f>
        <v>-17.965681818181864</v>
      </c>
      <c r="AJ71" s="7">
        <f>COUNTIFS('Regular Season'!R:R,'Summary Page'!AD71,'Regular Season'!S:S,'Summary Page'!AC71)</f>
        <v>4</v>
      </c>
      <c r="AK71" s="36">
        <f t="shared" si="27"/>
        <v>112.79374999999999</v>
      </c>
      <c r="AL71" s="47">
        <f t="shared" si="28"/>
        <v>5.6213081395348468</v>
      </c>
      <c r="AM71" s="36">
        <f>AVERAGEIFS('Regular Season'!T:T,'Regular Season'!R:R,'Summary Page'!AD71,'Regular Season'!S:S,'Summary Page'!AC71)</f>
        <v>122.95500000000001</v>
      </c>
      <c r="AN71" s="47">
        <f>AM71-VLOOKUP(AD71,'Summary Page (2)'!$B$5:$K$14,9,FALSE)</f>
        <v>3.7668840579710121</v>
      </c>
      <c r="AO71" s="52">
        <f>COUNTIFS('Regular Season'!R:R,'Summary Page'!AD71,'Regular Season'!S:S,'Summary Page'!AC71)</f>
        <v>4</v>
      </c>
      <c r="AP71" s="36">
        <f>AVERAGEIFS('Regular Season'!U:U,'Regular Season'!S:S,'Summary Page'!AD71,'Regular Season'!R:R,'Summary Page'!AC71)</f>
        <v>90.009999999999991</v>
      </c>
      <c r="AQ71" s="47">
        <f>AP71-VLOOKUP(AD71,'Summary Page (2)'!$B$5:$K$14,10,FALSE)</f>
        <v>-0.53641509433970214</v>
      </c>
      <c r="AR71" s="7">
        <f>COUNTIFS('Regular Season'!R:R,'Summary Page'!AC71,'Regular Season'!S:S,'Summary Page'!AD71)</f>
        <v>12</v>
      </c>
      <c r="AS71" s="36">
        <f t="shared" si="29"/>
        <v>98.246250000000003</v>
      </c>
      <c r="AT71" s="47">
        <f t="shared" si="30"/>
        <v>-3.5931785714286235</v>
      </c>
      <c r="AU71" s="55">
        <f t="shared" si="31"/>
        <v>9.2144867109634703</v>
      </c>
      <c r="AW71" s="53">
        <v>21</v>
      </c>
      <c r="AX71" s="7" t="s">
        <v>30</v>
      </c>
      <c r="AY71" s="59" t="s">
        <v>38</v>
      </c>
      <c r="AZ71" s="36">
        <v>119.828</v>
      </c>
      <c r="BA71" s="47">
        <v>-2.654631578947388</v>
      </c>
      <c r="BB71" s="52">
        <v>10</v>
      </c>
      <c r="BC71" s="36">
        <v>95.723636363636373</v>
      </c>
      <c r="BD71" s="47">
        <v>-0.59420147420146918</v>
      </c>
      <c r="BE71" s="7">
        <v>11</v>
      </c>
      <c r="BF71" s="36">
        <v>107.20190476190476</v>
      </c>
      <c r="BG71" s="57">
        <v>-2.3727619047619442</v>
      </c>
      <c r="BH71" s="36">
        <v>114.77272727272727</v>
      </c>
      <c r="BI71" s="47">
        <v>-3.0904870129870545</v>
      </c>
      <c r="BJ71" s="52">
        <v>11</v>
      </c>
      <c r="BK71" s="36">
        <v>89.135999999999996</v>
      </c>
      <c r="BL71" s="47">
        <v>-1.7597446808511137</v>
      </c>
      <c r="BM71" s="7">
        <v>10</v>
      </c>
      <c r="BN71" s="36">
        <v>102.56476190476189</v>
      </c>
      <c r="BO71" s="57">
        <v>1.6011619047618524</v>
      </c>
      <c r="BP71" s="49">
        <v>-3.9739238095237965</v>
      </c>
    </row>
    <row r="72" spans="2:68" x14ac:dyDescent="0.3">
      <c r="AB72" s="53">
        <v>68</v>
      </c>
      <c r="AC72" s="7" t="s">
        <v>31</v>
      </c>
      <c r="AD72" s="7" t="s">
        <v>37</v>
      </c>
      <c r="AE72" s="36">
        <f>AVERAGEIFS('Regular Season'!T:T,'Regular Season'!R:R,'Summary Page'!AC72,'Regular Season'!S:S,'Summary Page'!AD72)</f>
        <v>115.965</v>
      </c>
      <c r="AF72" s="47">
        <f>AE72-VLOOKUP(AC72,'Summary Page (2)'!$B$5:$K$14,9,FALSE)</f>
        <v>-4.4773809523809263</v>
      </c>
      <c r="AG72" s="52">
        <f>COUNTIFS('Regular Season'!R:R,'Summary Page'!AC72,'Regular Season'!S:S,'Summary Page'!AD72)</f>
        <v>8</v>
      </c>
      <c r="AH72" s="36">
        <f>AVERAGEIFS('Regular Season'!U:U,'Regular Season'!S:S,'Summary Page'!AC72,'Regular Season'!R:R,'Summary Page'!AD72)</f>
        <v>104.80363636363637</v>
      </c>
      <c r="AI72" s="47">
        <f>AH72-VLOOKUP(AC72,'Summary Page (2)'!$B$5:$K$14,10,FALSE)</f>
        <v>10.297954545454516</v>
      </c>
      <c r="AJ72" s="7">
        <f>COUNTIFS('Regular Season'!R:R,'Summary Page'!AD72,'Regular Season'!S:S,'Summary Page'!AC72)</f>
        <v>11</v>
      </c>
      <c r="AK72" s="36">
        <f t="shared" si="27"/>
        <v>109.50315789473686</v>
      </c>
      <c r="AL72" s="47">
        <f t="shared" si="28"/>
        <v>2.3307160342717168</v>
      </c>
      <c r="AM72" s="36">
        <f>AVERAGEIFS('Regular Season'!T:T,'Regular Season'!R:R,'Summary Page'!AD72,'Regular Season'!S:S,'Summary Page'!AC72)</f>
        <v>119.25272727272726</v>
      </c>
      <c r="AN72" s="47">
        <f>AM72-VLOOKUP(AD72,'Summary Page (2)'!$B$5:$K$14,9,FALSE)</f>
        <v>3.4124833702882427</v>
      </c>
      <c r="AO72" s="52">
        <f>COUNTIFS('Regular Season'!R:R,'Summary Page'!AD72,'Regular Season'!S:S,'Summary Page'!AC72)</f>
        <v>11</v>
      </c>
      <c r="AP72" s="36">
        <f>AVERAGEIFS('Regular Season'!U:U,'Regular Season'!S:S,'Summary Page'!AD72,'Regular Season'!R:R,'Summary Page'!AC72)</f>
        <v>86.741249999999994</v>
      </c>
      <c r="AQ72" s="47">
        <f>AP72-VLOOKUP(AD72,'Summary Page (2)'!$B$5:$K$14,10,FALSE)</f>
        <v>-6.1095108695652414</v>
      </c>
      <c r="AR72" s="7">
        <f>COUNTIFS('Regular Season'!R:R,'Summary Page'!AC72,'Regular Season'!S:S,'Summary Page'!AD72)</f>
        <v>8</v>
      </c>
      <c r="AS72" s="36">
        <f t="shared" si="29"/>
        <v>105.56368421052629</v>
      </c>
      <c r="AT72" s="47">
        <f t="shared" si="30"/>
        <v>1.878799153055013</v>
      </c>
      <c r="AU72" s="55">
        <f t="shared" si="31"/>
        <v>0.45191688121670381</v>
      </c>
      <c r="AW72" s="53">
        <v>49</v>
      </c>
      <c r="AX72" s="7" t="s">
        <v>34</v>
      </c>
      <c r="AY72" s="59" t="s">
        <v>38</v>
      </c>
      <c r="AZ72" s="36">
        <v>121.03454545454544</v>
      </c>
      <c r="BA72" s="47">
        <v>-1.3598849252013991</v>
      </c>
      <c r="BB72" s="52">
        <v>11</v>
      </c>
      <c r="BC72" s="36">
        <v>87.205714285714279</v>
      </c>
      <c r="BD72" s="47">
        <v>-9.8376659959758541</v>
      </c>
      <c r="BE72" s="7">
        <v>7</v>
      </c>
      <c r="BF72" s="36">
        <v>107.87888888888887</v>
      </c>
      <c r="BG72" s="57">
        <v>-2.5160444444444465</v>
      </c>
      <c r="BH72" s="36">
        <v>115.28571428571429</v>
      </c>
      <c r="BI72" s="47">
        <v>-2.577500000000029</v>
      </c>
      <c r="BJ72" s="52">
        <v>7</v>
      </c>
      <c r="BK72" s="36">
        <v>94.569090909090903</v>
      </c>
      <c r="BL72" s="47">
        <v>3.6733462282397937</v>
      </c>
      <c r="BM72" s="7">
        <v>11</v>
      </c>
      <c r="BN72" s="36">
        <v>102.62555555555555</v>
      </c>
      <c r="BO72" s="57">
        <v>1.6619555555555081</v>
      </c>
      <c r="BP72" s="49">
        <v>-4.1779999999999546</v>
      </c>
    </row>
    <row r="73" spans="2:68" x14ac:dyDescent="0.3">
      <c r="AB73" s="53">
        <v>69</v>
      </c>
      <c r="AC73" s="7" t="s">
        <v>31</v>
      </c>
      <c r="AD73" s="7" t="s">
        <v>34</v>
      </c>
      <c r="AE73" s="36">
        <f>AVERAGEIFS('Regular Season'!T:T,'Regular Season'!R:R,'Summary Page'!AC73,'Regular Season'!S:S,'Summary Page'!AD73)</f>
        <v>122.71818181818183</v>
      </c>
      <c r="AF73" s="47">
        <f>AE73-VLOOKUP(AC73,'Summary Page (2)'!$B$5:$K$14,9,FALSE)</f>
        <v>2.2758008658009032</v>
      </c>
      <c r="AG73" s="52">
        <f>COUNTIFS('Regular Season'!R:R,'Summary Page'!AC73,'Regular Season'!S:S,'Summary Page'!AD73)</f>
        <v>11</v>
      </c>
      <c r="AH73" s="36">
        <f>AVERAGEIFS('Regular Season'!U:U,'Regular Season'!S:S,'Summary Page'!AC73,'Regular Season'!R:R,'Summary Page'!AD73)</f>
        <v>101.32222222222224</v>
      </c>
      <c r="AI73" s="47">
        <f>AH73-VLOOKUP(AC73,'Summary Page (2)'!$B$5:$K$14,10,FALSE)</f>
        <v>6.8165404040403814</v>
      </c>
      <c r="AJ73" s="7">
        <f>COUNTIFS('Regular Season'!R:R,'Summary Page'!AD73,'Regular Season'!S:S,'Summary Page'!AC73)</f>
        <v>9</v>
      </c>
      <c r="AK73" s="36">
        <f t="shared" si="27"/>
        <v>113.09</v>
      </c>
      <c r="AL73" s="47">
        <f t="shared" si="28"/>
        <v>5.9175581395348615</v>
      </c>
      <c r="AM73" s="36">
        <f>AVERAGEIFS('Regular Season'!T:T,'Regular Season'!R:R,'Summary Page'!AD73,'Regular Season'!S:S,'Summary Page'!AC73)</f>
        <v>134.75333333333333</v>
      </c>
      <c r="AN73" s="47">
        <f>AM73-VLOOKUP(AD73,'Summary Page (2)'!$B$5:$K$14,9,FALSE)</f>
        <v>12.410695970695969</v>
      </c>
      <c r="AO73" s="52">
        <f>COUNTIFS('Regular Season'!R:R,'Summary Page'!AD73,'Regular Season'!S:S,'Summary Page'!AC73)</f>
        <v>9</v>
      </c>
      <c r="AP73" s="36">
        <f>AVERAGEIFS('Regular Season'!U:U,'Regular Season'!S:S,'Summary Page'!AD73,'Regular Season'!R:R,'Summary Page'!AC73)</f>
        <v>104.81818181818184</v>
      </c>
      <c r="AQ73" s="47">
        <f>AP73-VLOOKUP(AD73,'Summary Page (2)'!$B$5:$K$14,10,FALSE)</f>
        <v>8.41818181818185</v>
      </c>
      <c r="AR73" s="7">
        <f>COUNTIFS('Regular Season'!R:R,'Summary Page'!AC73,'Regular Season'!S:S,'Summary Page'!AD73)</f>
        <v>11</v>
      </c>
      <c r="AS73" s="36">
        <f t="shared" si="29"/>
        <v>118.28900000000002</v>
      </c>
      <c r="AT73" s="47">
        <f t="shared" si="30"/>
        <v>8.3212988505747489</v>
      </c>
      <c r="AU73" s="55">
        <f t="shared" si="31"/>
        <v>-2.4037407110398874</v>
      </c>
      <c r="AW73" s="53">
        <v>44</v>
      </c>
      <c r="AX73" s="7" t="s">
        <v>37</v>
      </c>
      <c r="AY73" s="59" t="s">
        <v>33</v>
      </c>
      <c r="AZ73" s="36">
        <v>112.256</v>
      </c>
      <c r="BA73" s="47">
        <v>-3.2886575342465818</v>
      </c>
      <c r="BB73" s="52">
        <v>5</v>
      </c>
      <c r="BC73" s="36">
        <v>93.762499999999989</v>
      </c>
      <c r="BD73" s="47">
        <v>2.2336688311687709</v>
      </c>
      <c r="BE73" s="7">
        <v>16</v>
      </c>
      <c r="BF73" s="36">
        <v>98.165714285714259</v>
      </c>
      <c r="BG73" s="57">
        <v>-5.0508190476191004</v>
      </c>
      <c r="BH73" s="36">
        <v>115.92125000000001</v>
      </c>
      <c r="BI73" s="47">
        <v>-5.1650421348314666</v>
      </c>
      <c r="BJ73" s="52">
        <v>16</v>
      </c>
      <c r="BK73" s="36">
        <v>90.24</v>
      </c>
      <c r="BL73" s="47">
        <v>-4.5459016393442511</v>
      </c>
      <c r="BM73" s="7">
        <v>5</v>
      </c>
      <c r="BN73" s="36">
        <v>109.80666666666667</v>
      </c>
      <c r="BO73" s="57">
        <v>-0.58413333333334094</v>
      </c>
      <c r="BP73" s="49">
        <v>-4.4666857142857594</v>
      </c>
    </row>
    <row r="74" spans="2:68" x14ac:dyDescent="0.3">
      <c r="AB74" s="53">
        <v>70</v>
      </c>
      <c r="AC74" s="7" t="s">
        <v>31</v>
      </c>
      <c r="AD74" s="7" t="s">
        <v>29</v>
      </c>
      <c r="AE74" s="36">
        <f>AVERAGEIFS('Regular Season'!T:T,'Regular Season'!R:R,'Summary Page'!AC74,'Regular Season'!S:S,'Summary Page'!AD74)</f>
        <v>122.97000000000003</v>
      </c>
      <c r="AF74" s="47">
        <f>AE74-VLOOKUP(AC74,'Summary Page (2)'!$B$5:$K$14,9,FALSE)</f>
        <v>2.5276190476190976</v>
      </c>
      <c r="AG74" s="52">
        <f>COUNTIFS('Regular Season'!R:R,'Summary Page'!AC74,'Regular Season'!S:S,'Summary Page'!AD74)</f>
        <v>10</v>
      </c>
      <c r="AH74" s="36">
        <f>AVERAGEIFS('Regular Season'!U:U,'Regular Season'!S:S,'Summary Page'!AC74,'Regular Season'!R:R,'Summary Page'!AD74)</f>
        <v>99.646153846153837</v>
      </c>
      <c r="AI74" s="47">
        <f>AH74-VLOOKUP(AC74,'Summary Page (2)'!$B$5:$K$14,10,FALSE)</f>
        <v>5.1404720279719811</v>
      </c>
      <c r="AJ74" s="7">
        <f>COUNTIFS('Regular Season'!R:R,'Summary Page'!AD74,'Regular Season'!S:S,'Summary Page'!AC74)</f>
        <v>13</v>
      </c>
      <c r="AK74" s="36">
        <f t="shared" si="27"/>
        <v>109.78695652173914</v>
      </c>
      <c r="AL74" s="47">
        <f t="shared" si="28"/>
        <v>2.6145146612740007</v>
      </c>
      <c r="AM74" s="36">
        <f>AVERAGEIFS('Regular Season'!T:T,'Regular Season'!R:R,'Summary Page'!AD74,'Regular Season'!S:S,'Summary Page'!AC74)</f>
        <v>134.18153846153848</v>
      </c>
      <c r="AN74" s="47">
        <f>AM74-VLOOKUP(AD74,'Summary Page (2)'!$B$5:$K$14,9,FALSE)</f>
        <v>9.0228717948718327</v>
      </c>
      <c r="AO74" s="52">
        <f>COUNTIFS('Regular Season'!R:R,'Summary Page'!AD74,'Regular Season'!S:S,'Summary Page'!AC74)</f>
        <v>13</v>
      </c>
      <c r="AP74" s="36">
        <f>AVERAGEIFS('Regular Season'!U:U,'Regular Season'!S:S,'Summary Page'!AD74,'Regular Season'!R:R,'Summary Page'!AC74)</f>
        <v>105.51000000000002</v>
      </c>
      <c r="AQ74" s="47">
        <f>AP74-VLOOKUP(AD74,'Summary Page (2)'!$B$5:$K$14,10,FALSE)</f>
        <v>6.5628571428571405</v>
      </c>
      <c r="AR74" s="7">
        <f>COUNTIFS('Regular Season'!R:R,'Summary Page'!AC74,'Regular Season'!S:S,'Summary Page'!AD74)</f>
        <v>10</v>
      </c>
      <c r="AS74" s="36">
        <f t="shared" si="29"/>
        <v>121.71565217391304</v>
      </c>
      <c r="AT74" s="47">
        <f t="shared" si="30"/>
        <v>9.2108245877061421</v>
      </c>
      <c r="AU74" s="55">
        <f t="shared" si="31"/>
        <v>-6.5963099264321414</v>
      </c>
      <c r="AW74" s="53">
        <v>57</v>
      </c>
      <c r="AX74" s="7" t="s">
        <v>29</v>
      </c>
      <c r="AY74" s="59" t="s">
        <v>30</v>
      </c>
      <c r="AZ74" s="36">
        <v>115.095</v>
      </c>
      <c r="BA74" s="47">
        <v>-7.3319444444444457</v>
      </c>
      <c r="BB74" s="52">
        <v>8</v>
      </c>
      <c r="BC74" s="36">
        <v>99.268888888888881</v>
      </c>
      <c r="BD74" s="47">
        <v>0.87196581196577938</v>
      </c>
      <c r="BE74" s="7">
        <v>9</v>
      </c>
      <c r="BF74" s="36">
        <v>106.71647058823528</v>
      </c>
      <c r="BG74" s="57">
        <v>-3.2148627450980598</v>
      </c>
      <c r="BH74" s="36">
        <v>129.63777777777779</v>
      </c>
      <c r="BI74" s="47">
        <v>7.1551461988303942</v>
      </c>
      <c r="BJ74" s="52">
        <v>9</v>
      </c>
      <c r="BK74" s="36">
        <v>90.704999999999998</v>
      </c>
      <c r="BL74" s="47">
        <v>-5.6128378378378443</v>
      </c>
      <c r="BM74" s="7">
        <v>8</v>
      </c>
      <c r="BN74" s="36">
        <v>111.3164705882353</v>
      </c>
      <c r="BO74" s="57">
        <v>1.7418039215686036</v>
      </c>
      <c r="BP74" s="49">
        <v>-4.9566666666666634</v>
      </c>
    </row>
    <row r="75" spans="2:68" x14ac:dyDescent="0.3">
      <c r="AB75" s="53">
        <v>71</v>
      </c>
      <c r="AC75" s="7" t="s">
        <v>31</v>
      </c>
      <c r="AD75" s="7" t="s">
        <v>33</v>
      </c>
      <c r="AE75" s="36">
        <f>AVERAGEIFS('Regular Season'!T:T,'Regular Season'!R:R,'Summary Page'!AC75,'Regular Season'!S:S,'Summary Page'!AD75)</f>
        <v>123.306</v>
      </c>
      <c r="AF75" s="47">
        <f>AE75-VLOOKUP(AC75,'Summary Page (2)'!$B$5:$K$14,9,FALSE)</f>
        <v>2.8636190476190677</v>
      </c>
      <c r="AG75" s="52">
        <f>COUNTIFS('Regular Season'!R:R,'Summary Page'!AC75,'Regular Season'!S:S,'Summary Page'!AD75)</f>
        <v>10</v>
      </c>
      <c r="AH75" s="36">
        <f>AVERAGEIFS('Regular Season'!U:U,'Regular Season'!S:S,'Summary Page'!AC75,'Regular Season'!R:R,'Summary Page'!AD75)</f>
        <v>94.9</v>
      </c>
      <c r="AI75" s="47">
        <f>AH75-VLOOKUP(AC75,'Summary Page (2)'!$B$5:$K$14,10,FALSE)</f>
        <v>0.39431818181815004</v>
      </c>
      <c r="AJ75" s="7">
        <f>COUNTIFS('Regular Season'!R:R,'Summary Page'!AD75,'Regular Season'!S:S,'Summary Page'!AC75)</f>
        <v>10</v>
      </c>
      <c r="AK75" s="36">
        <f t="shared" si="27"/>
        <v>109.10299999999999</v>
      </c>
      <c r="AL75" s="47">
        <f t="shared" si="28"/>
        <v>1.9305581395348526</v>
      </c>
      <c r="AM75" s="36">
        <f>AVERAGEIFS('Regular Season'!T:T,'Regular Season'!R:R,'Summary Page'!AD75,'Regular Season'!S:S,'Summary Page'!AC75)</f>
        <v>122.33199999999999</v>
      </c>
      <c r="AN75" s="47">
        <f>AM75-VLOOKUP(AD75,'Summary Page (2)'!$B$5:$K$14,9,FALSE)</f>
        <v>1.5757254901960636</v>
      </c>
      <c r="AO75" s="52">
        <f>COUNTIFS('Regular Season'!R:R,'Summary Page'!AD75,'Regular Season'!S:S,'Summary Page'!AC75)</f>
        <v>10</v>
      </c>
      <c r="AP75" s="36">
        <f>AVERAGEIFS('Regular Season'!U:U,'Regular Season'!S:S,'Summary Page'!AD75,'Regular Season'!R:R,'Summary Page'!AC75)</f>
        <v>94.22999999999999</v>
      </c>
      <c r="AQ75" s="47">
        <f>AP75-VLOOKUP(AD75,'Summary Page (2)'!$B$5:$K$14,10,FALSE)</f>
        <v>-2.462432432432422</v>
      </c>
      <c r="AR75" s="7">
        <f>COUNTIFS('Regular Season'!R:R,'Summary Page'!AC75,'Regular Season'!S:S,'Summary Page'!AD75)</f>
        <v>10</v>
      </c>
      <c r="AS75" s="36">
        <f t="shared" si="29"/>
        <v>108.28099999999999</v>
      </c>
      <c r="AT75" s="47">
        <f t="shared" si="30"/>
        <v>-2.3575227272727375</v>
      </c>
      <c r="AU75" s="55">
        <f t="shared" si="31"/>
        <v>4.28808086680759</v>
      </c>
      <c r="AW75" s="53">
        <v>85</v>
      </c>
      <c r="AX75" s="7" t="s">
        <v>36</v>
      </c>
      <c r="AY75" s="59" t="s">
        <v>38</v>
      </c>
      <c r="AZ75" s="36">
        <v>115.66888888888889</v>
      </c>
      <c r="BA75" s="47">
        <v>-1.9176964769647498</v>
      </c>
      <c r="BB75" s="52">
        <v>9</v>
      </c>
      <c r="BC75" s="36">
        <v>96.19</v>
      </c>
      <c r="BD75" s="47">
        <v>3.4664705882352962</v>
      </c>
      <c r="BE75" s="7">
        <v>8</v>
      </c>
      <c r="BF75" s="36">
        <v>106.50235294117647</v>
      </c>
      <c r="BG75" s="57">
        <v>0.18701960784314053</v>
      </c>
      <c r="BH75" s="36">
        <v>119.35749999999999</v>
      </c>
      <c r="BI75" s="47">
        <v>1.4942857142856667</v>
      </c>
      <c r="BJ75" s="52">
        <v>8</v>
      </c>
      <c r="BK75" s="36">
        <v>94.473333333333329</v>
      </c>
      <c r="BL75" s="47">
        <v>3.5775886524822198</v>
      </c>
      <c r="BM75" s="7">
        <v>9</v>
      </c>
      <c r="BN75" s="36">
        <v>106.1835294117647</v>
      </c>
      <c r="BO75" s="57">
        <v>5.2199294117646531</v>
      </c>
      <c r="BP75" s="49">
        <v>-5.0329098039215125</v>
      </c>
    </row>
    <row r="76" spans="2:68" x14ac:dyDescent="0.3">
      <c r="AB76" s="53">
        <v>72</v>
      </c>
      <c r="AC76" s="7" t="s">
        <v>31</v>
      </c>
      <c r="AD76" s="7" t="s">
        <v>36</v>
      </c>
      <c r="AE76" s="36">
        <f>AVERAGEIFS('Regular Season'!T:T,'Regular Season'!R:R,'Summary Page'!AC76,'Regular Season'!S:S,'Summary Page'!AD76)</f>
        <v>118.75555555555557</v>
      </c>
      <c r="AF76" s="47">
        <f>AE76-VLOOKUP(AC76,'Summary Page (2)'!$B$5:$K$14,9,FALSE)</f>
        <v>-1.6868253968253555</v>
      </c>
      <c r="AG76" s="52">
        <f>COUNTIFS('Regular Season'!R:R,'Summary Page'!AC76,'Regular Season'!S:S,'Summary Page'!AD76)</f>
        <v>9</v>
      </c>
      <c r="AH76" s="36">
        <f>AVERAGEIFS('Regular Season'!U:U,'Regular Season'!S:S,'Summary Page'!AC76,'Regular Season'!R:R,'Summary Page'!AD76)</f>
        <v>96.152000000000001</v>
      </c>
      <c r="AI76" s="47">
        <f>AH76-VLOOKUP(AC76,'Summary Page (2)'!$B$5:$K$14,10,FALSE)</f>
        <v>1.6463181818181454</v>
      </c>
      <c r="AJ76" s="7">
        <f>COUNTIFS('Regular Season'!R:R,'Summary Page'!AD76,'Regular Season'!S:S,'Summary Page'!AC76)</f>
        <v>10</v>
      </c>
      <c r="AK76" s="36">
        <f t="shared" si="27"/>
        <v>106.85894736842106</v>
      </c>
      <c r="AL76" s="47">
        <f t="shared" si="28"/>
        <v>-0.31349449204408586</v>
      </c>
      <c r="AM76" s="36">
        <f>AVERAGEIFS('Regular Season'!T:T,'Regular Season'!R:R,'Summary Page'!AD76,'Regular Season'!S:S,'Summary Page'!AC76)</f>
        <v>122.596</v>
      </c>
      <c r="AN76" s="47">
        <f>AM76-VLOOKUP(AD76,'Summary Page (2)'!$B$5:$K$14,9,FALSE)</f>
        <v>6.5181739130435261</v>
      </c>
      <c r="AO76" s="52">
        <f>COUNTIFS('Regular Season'!R:R,'Summary Page'!AD76,'Regular Season'!S:S,'Summary Page'!AC76)</f>
        <v>10</v>
      </c>
      <c r="AP76" s="36">
        <f>AVERAGEIFS('Regular Season'!U:U,'Regular Season'!S:S,'Summary Page'!AD76,'Regular Season'!R:R,'Summary Page'!AC76)</f>
        <v>99.062222222222218</v>
      </c>
      <c r="AQ76" s="47">
        <f>AP76-VLOOKUP(AD76,'Summary Page (2)'!$B$5:$K$14,10,FALSE)</f>
        <v>4.2919783197832118</v>
      </c>
      <c r="AR76" s="7">
        <f>COUNTIFS('Regular Season'!R:R,'Summary Page'!AC76,'Regular Season'!S:S,'Summary Page'!AD76)</f>
        <v>9</v>
      </c>
      <c r="AS76" s="36">
        <f t="shared" si="29"/>
        <v>111.44842105263157</v>
      </c>
      <c r="AT76" s="47">
        <f t="shared" si="30"/>
        <v>5.4120992135511301</v>
      </c>
      <c r="AU76" s="55">
        <f t="shared" si="31"/>
        <v>-5.725593705595216</v>
      </c>
      <c r="AW76" s="53">
        <v>31</v>
      </c>
      <c r="AX76" s="7" t="s">
        <v>38</v>
      </c>
      <c r="AY76" s="59" t="s">
        <v>37</v>
      </c>
      <c r="AZ76" s="36">
        <v>123.67199999999998</v>
      </c>
      <c r="BA76" s="47">
        <v>5.808785714285662</v>
      </c>
      <c r="BB76" s="52">
        <v>5</v>
      </c>
      <c r="BC76" s="36">
        <v>78.695000000000007</v>
      </c>
      <c r="BD76" s="47">
        <v>-12.200744680851102</v>
      </c>
      <c r="BE76" s="7">
        <v>12</v>
      </c>
      <c r="BF76" s="36">
        <v>91.923529411764704</v>
      </c>
      <c r="BG76" s="57">
        <v>-9.0400705882353378</v>
      </c>
      <c r="BH76" s="36">
        <v>100.07</v>
      </c>
      <c r="BI76" s="47">
        <v>-15.474657534246589</v>
      </c>
      <c r="BJ76" s="52">
        <v>12</v>
      </c>
      <c r="BK76" s="36">
        <v>97.656000000000006</v>
      </c>
      <c r="BL76" s="47">
        <v>6.1271688311687882</v>
      </c>
      <c r="BM76" s="7">
        <v>5</v>
      </c>
      <c r="BN76" s="36">
        <v>99.36</v>
      </c>
      <c r="BO76" s="57">
        <v>-3.8565333333333598</v>
      </c>
      <c r="BP76" s="49">
        <v>-5.183537254901978</v>
      </c>
    </row>
    <row r="77" spans="2:68" x14ac:dyDescent="0.3">
      <c r="AB77" s="53">
        <v>73</v>
      </c>
      <c r="AC77" s="7" t="s">
        <v>33</v>
      </c>
      <c r="AD77" s="7" t="s">
        <v>32</v>
      </c>
      <c r="AE77" s="36">
        <f>AVERAGEIFS('Regular Season'!T:T,'Regular Season'!R:R,'Summary Page'!AC77,'Regular Season'!S:S,'Summary Page'!AD77)</f>
        <v>119.33125</v>
      </c>
      <c r="AF77" s="47">
        <f>AE77-VLOOKUP(AC77,'Summary Page (2)'!$B$5:$K$14,9,FALSE)</f>
        <v>-1.4250245098039329</v>
      </c>
      <c r="AG77" s="52">
        <f>COUNTIFS('Regular Season'!R:R,'Summary Page'!AC77,'Regular Season'!S:S,'Summary Page'!AD77)</f>
        <v>16</v>
      </c>
      <c r="AH77" s="36">
        <f>AVERAGEIFS('Regular Season'!U:U,'Regular Season'!S:S,'Summary Page'!AC77,'Regular Season'!R:R,'Summary Page'!AD77)</f>
        <v>92.01111111111112</v>
      </c>
      <c r="AI77" s="47">
        <f>AH77-VLOOKUP(AC77,'Summary Page (2)'!$B$5:$K$14,10,FALSE)</f>
        <v>-4.6813213213212919</v>
      </c>
      <c r="AJ77" s="7">
        <f>COUNTIFS('Regular Season'!R:R,'Summary Page'!AD77,'Regular Season'!S:S,'Summary Page'!AC77)</f>
        <v>9</v>
      </c>
      <c r="AK77" s="36">
        <f t="shared" si="27"/>
        <v>109.49600000000001</v>
      </c>
      <c r="AL77" s="47">
        <f t="shared" si="28"/>
        <v>-1.1425227272727199</v>
      </c>
      <c r="AM77" s="36">
        <f>AVERAGEIFS('Regular Season'!T:T,'Regular Season'!R:R,'Summary Page'!AD77,'Regular Season'!S:S,'Summary Page'!AC77)</f>
        <v>117.52888888888889</v>
      </c>
      <c r="AN77" s="47">
        <f>AM77-VLOOKUP(AD77,'Summary Page (2)'!$B$5:$K$14,9,FALSE)</f>
        <v>-0.40808785529713987</v>
      </c>
      <c r="AO77" s="52">
        <f>COUNTIFS('Regular Season'!R:R,'Summary Page'!AD77,'Regular Season'!S:S,'Summary Page'!AC77)</f>
        <v>9</v>
      </c>
      <c r="AP77" s="36">
        <f>AVERAGEIFS('Regular Season'!U:U,'Regular Season'!S:S,'Summary Page'!AD77,'Regular Season'!R:R,'Summary Page'!AC77)</f>
        <v>98.642499999999984</v>
      </c>
      <c r="AQ77" s="47">
        <f>AP77-VLOOKUP(AD77,'Summary Page (2)'!$B$5:$K$14,10,FALSE)</f>
        <v>4.5493181818181512</v>
      </c>
      <c r="AR77" s="7">
        <f>COUNTIFS('Regular Season'!R:R,'Summary Page'!AC77,'Regular Season'!S:S,'Summary Page'!AD77)</f>
        <v>16</v>
      </c>
      <c r="AS77" s="36">
        <f t="shared" si="29"/>
        <v>105.44159999999999</v>
      </c>
      <c r="AT77" s="47">
        <f t="shared" si="30"/>
        <v>-0.43644597701148768</v>
      </c>
      <c r="AU77" s="55">
        <f t="shared" si="31"/>
        <v>-0.70607675026123218</v>
      </c>
      <c r="AW77" s="53">
        <v>50</v>
      </c>
      <c r="AX77" s="7" t="s">
        <v>34</v>
      </c>
      <c r="AY77" s="59" t="s">
        <v>37</v>
      </c>
      <c r="AZ77" s="36">
        <v>128.71199999999999</v>
      </c>
      <c r="BA77" s="47">
        <v>6.3175696202531526</v>
      </c>
      <c r="BB77" s="52">
        <v>5</v>
      </c>
      <c r="BC77" s="36">
        <v>102.89428571428572</v>
      </c>
      <c r="BD77" s="47">
        <v>5.8509054325955816</v>
      </c>
      <c r="BE77" s="7">
        <v>7</v>
      </c>
      <c r="BF77" s="36">
        <v>113.65166666666666</v>
      </c>
      <c r="BG77" s="57">
        <v>3.2567333333333437</v>
      </c>
      <c r="BH77" s="36">
        <v>123.3</v>
      </c>
      <c r="BI77" s="47">
        <v>7.7553424657534151</v>
      </c>
      <c r="BJ77" s="52">
        <v>7</v>
      </c>
      <c r="BK77" s="36">
        <v>95.49199999999999</v>
      </c>
      <c r="BL77" s="47">
        <v>3.9631688311687725</v>
      </c>
      <c r="BM77" s="7">
        <v>5</v>
      </c>
      <c r="BN77" s="36">
        <v>111.71333333333332</v>
      </c>
      <c r="BO77" s="57">
        <v>8.4967999999999648</v>
      </c>
      <c r="BP77" s="49">
        <v>-5.2400666666666211</v>
      </c>
    </row>
    <row r="78" spans="2:68" x14ac:dyDescent="0.3">
      <c r="AB78" s="53">
        <v>74</v>
      </c>
      <c r="AC78" s="7" t="s">
        <v>33</v>
      </c>
      <c r="AD78" s="7" t="s">
        <v>35</v>
      </c>
      <c r="AE78" s="36">
        <f>AVERAGEIFS('Regular Season'!T:T,'Regular Season'!R:R,'Summary Page'!AC78,'Regular Season'!S:S,'Summary Page'!AD78)</f>
        <v>118.22181818181819</v>
      </c>
      <c r="AF78" s="47">
        <f>AE78-VLOOKUP(AC78,'Summary Page (2)'!$B$5:$K$14,9,FALSE)</f>
        <v>-2.5344563279857368</v>
      </c>
      <c r="AG78" s="52">
        <f>COUNTIFS('Regular Season'!R:R,'Summary Page'!AC78,'Regular Season'!S:S,'Summary Page'!AD78)</f>
        <v>11</v>
      </c>
      <c r="AH78" s="36">
        <f>AVERAGEIFS('Regular Season'!U:U,'Regular Season'!S:S,'Summary Page'!AC78,'Regular Season'!R:R,'Summary Page'!AD78)</f>
        <v>99.644444444444446</v>
      </c>
      <c r="AI78" s="47">
        <f>AH78-VLOOKUP(AC78,'Summary Page (2)'!$B$5:$K$14,10,FALSE)</f>
        <v>2.9520120120120339</v>
      </c>
      <c r="AJ78" s="7">
        <f>COUNTIFS('Regular Season'!R:R,'Summary Page'!AD78,'Regular Season'!S:S,'Summary Page'!AC78)</f>
        <v>9</v>
      </c>
      <c r="AK78" s="36">
        <f t="shared" si="27"/>
        <v>109.86199999999999</v>
      </c>
      <c r="AL78" s="47">
        <f t="shared" si="28"/>
        <v>-0.77652272727273441</v>
      </c>
      <c r="AM78" s="36">
        <f>AVERAGEIFS('Regular Season'!T:T,'Regular Season'!R:R,'Summary Page'!AD78,'Regular Season'!S:S,'Summary Page'!AC78)</f>
        <v>119.49111111111112</v>
      </c>
      <c r="AN78" s="47">
        <f>AM78-VLOOKUP(AD78,'Summary Page (2)'!$B$5:$K$14,9,FALSE)</f>
        <v>1.7562724014339892E-2</v>
      </c>
      <c r="AO78" s="52">
        <f>COUNTIFS('Regular Season'!R:R,'Summary Page'!AD78,'Regular Season'!S:S,'Summary Page'!AC78)</f>
        <v>9</v>
      </c>
      <c r="AP78" s="36">
        <f>AVERAGEIFS('Regular Season'!U:U,'Regular Season'!S:S,'Summary Page'!AD78,'Regular Season'!R:R,'Summary Page'!AC78)</f>
        <v>95.409090909090907</v>
      </c>
      <c r="AQ78" s="47">
        <f>AP78-VLOOKUP(AD78,'Summary Page (2)'!$B$5:$K$14,10,FALSE)</f>
        <v>2.3357575757575546</v>
      </c>
      <c r="AR78" s="7">
        <f>COUNTIFS('Regular Season'!R:R,'Summary Page'!AC78,'Regular Season'!S:S,'Summary Page'!AD78)</f>
        <v>11</v>
      </c>
      <c r="AS78" s="36">
        <f t="shared" si="29"/>
        <v>106.24600000000001</v>
      </c>
      <c r="AT78" s="47">
        <f t="shared" si="30"/>
        <v>-0.93779310344828559</v>
      </c>
      <c r="AU78" s="55">
        <f t="shared" si="31"/>
        <v>0.16127037617555118</v>
      </c>
      <c r="AW78" s="53">
        <v>72</v>
      </c>
      <c r="AX78" s="7" t="s">
        <v>31</v>
      </c>
      <c r="AY78" s="59" t="s">
        <v>36</v>
      </c>
      <c r="AZ78" s="36">
        <v>118.01500000000001</v>
      </c>
      <c r="BA78" s="47">
        <v>-2.5582432432432256</v>
      </c>
      <c r="BB78" s="52">
        <v>8</v>
      </c>
      <c r="BC78" s="36">
        <v>95.847499999999997</v>
      </c>
      <c r="BD78" s="47">
        <v>2.4496052631578635</v>
      </c>
      <c r="BE78" s="7">
        <v>8</v>
      </c>
      <c r="BF78" s="36">
        <v>106.93125000000001</v>
      </c>
      <c r="BG78" s="57">
        <v>0.12684999999997615</v>
      </c>
      <c r="BH78" s="36">
        <v>125.79</v>
      </c>
      <c r="BI78" s="47">
        <v>8.2034146341463696</v>
      </c>
      <c r="BJ78" s="52">
        <v>8</v>
      </c>
      <c r="BK78" s="36">
        <v>97.88</v>
      </c>
      <c r="BL78" s="47">
        <v>5.1564705882352939</v>
      </c>
      <c r="BM78" s="7">
        <v>8</v>
      </c>
      <c r="BN78" s="36">
        <v>111.83500000000001</v>
      </c>
      <c r="BO78" s="57">
        <v>5.51966666666668</v>
      </c>
      <c r="BP78" s="49">
        <v>-5.3928166666667039</v>
      </c>
    </row>
    <row r="79" spans="2:68" x14ac:dyDescent="0.3">
      <c r="AB79" s="53">
        <v>75</v>
      </c>
      <c r="AC79" s="7" t="s">
        <v>33</v>
      </c>
      <c r="AD79" s="7" t="s">
        <v>30</v>
      </c>
      <c r="AE79" s="36">
        <f>AVERAGEIFS('Regular Season'!T:T,'Regular Season'!R:R,'Summary Page'!AC79,'Regular Season'!S:S,'Summary Page'!AD79)</f>
        <v>115.95750000000001</v>
      </c>
      <c r="AF79" s="47">
        <f>AE79-VLOOKUP(AC79,'Summary Page (2)'!$B$5:$K$14,9,FALSE)</f>
        <v>-4.7987745098039198</v>
      </c>
      <c r="AG79" s="52">
        <f>COUNTIFS('Regular Season'!R:R,'Summary Page'!AC79,'Regular Season'!S:S,'Summary Page'!AD79)</f>
        <v>8</v>
      </c>
      <c r="AH79" s="36">
        <f>AVERAGEIFS('Regular Season'!U:U,'Regular Season'!S:S,'Summary Page'!AC79,'Regular Season'!R:R,'Summary Page'!AD79)</f>
        <v>86.710000000000008</v>
      </c>
      <c r="AI79" s="47">
        <f>AH79-VLOOKUP(AC79,'Summary Page (2)'!$B$5:$K$14,10,FALSE)</f>
        <v>-9.9824324324324039</v>
      </c>
      <c r="AJ79" s="7">
        <f>COUNTIFS('Regular Season'!R:R,'Summary Page'!AD79,'Regular Season'!S:S,'Summary Page'!AC79)</f>
        <v>4</v>
      </c>
      <c r="AK79" s="36">
        <f t="shared" si="27"/>
        <v>106.20833333333333</v>
      </c>
      <c r="AL79" s="47">
        <f t="shared" si="28"/>
        <v>-4.4301893939394006</v>
      </c>
      <c r="AM79" s="36">
        <f>AVERAGEIFS('Regular Season'!T:T,'Regular Season'!R:R,'Summary Page'!AD79,'Regular Season'!S:S,'Summary Page'!AC79)</f>
        <v>117.58</v>
      </c>
      <c r="AN79" s="47">
        <f>AM79-VLOOKUP(AD79,'Summary Page (2)'!$B$5:$K$14,9,FALSE)</f>
        <v>-4.1197530864197773</v>
      </c>
      <c r="AO79" s="52">
        <f>COUNTIFS('Regular Season'!R:R,'Summary Page'!AD79,'Regular Season'!S:S,'Summary Page'!AC79)</f>
        <v>4</v>
      </c>
      <c r="AP79" s="36">
        <f>AVERAGEIFS('Regular Season'!U:U,'Regular Season'!S:S,'Summary Page'!AD79,'Regular Season'!R:R,'Summary Page'!AC79)</f>
        <v>94.725000000000009</v>
      </c>
      <c r="AQ79" s="47">
        <f>AP79-VLOOKUP(AD79,'Summary Page (2)'!$B$5:$K$14,10,FALSE)</f>
        <v>-0.15108695652170923</v>
      </c>
      <c r="AR79" s="7">
        <f>COUNTIFS('Regular Season'!R:R,'Summary Page'!AC79,'Regular Season'!S:S,'Summary Page'!AD79)</f>
        <v>8</v>
      </c>
      <c r="AS79" s="36">
        <f t="shared" si="29"/>
        <v>102.34333333333335</v>
      </c>
      <c r="AT79" s="47">
        <f t="shared" si="30"/>
        <v>-5.0918111753371704</v>
      </c>
      <c r="AU79" s="55">
        <f t="shared" si="31"/>
        <v>0.66162178139776984</v>
      </c>
      <c r="AW79" s="53">
        <v>45</v>
      </c>
      <c r="AX79" s="7" t="s">
        <v>37</v>
      </c>
      <c r="AY79" s="59" t="s">
        <v>36</v>
      </c>
      <c r="AZ79" s="36">
        <v>120.968</v>
      </c>
      <c r="BA79" s="47">
        <v>5.4233424657534215</v>
      </c>
      <c r="BB79" s="52">
        <v>5</v>
      </c>
      <c r="BC79" s="36">
        <v>80.002499999999998</v>
      </c>
      <c r="BD79" s="47">
        <v>-11.52633116883122</v>
      </c>
      <c r="BE79" s="7">
        <v>8</v>
      </c>
      <c r="BF79" s="36">
        <v>95.758461538461546</v>
      </c>
      <c r="BG79" s="57">
        <v>-7.4580717948718132</v>
      </c>
      <c r="BH79" s="36">
        <v>112.49250000000001</v>
      </c>
      <c r="BI79" s="47">
        <v>-5.0940853658536298</v>
      </c>
      <c r="BJ79" s="52">
        <v>8</v>
      </c>
      <c r="BK79" s="36">
        <v>91.316000000000003</v>
      </c>
      <c r="BL79" s="47">
        <v>-1.407529411764699</v>
      </c>
      <c r="BM79" s="7">
        <v>5</v>
      </c>
      <c r="BN79" s="36">
        <v>104.34769230769231</v>
      </c>
      <c r="BO79" s="57">
        <v>-1.9676410256410151</v>
      </c>
      <c r="BP79" s="49">
        <v>-5.4904307692307981</v>
      </c>
    </row>
    <row r="80" spans="2:68" x14ac:dyDescent="0.3">
      <c r="AB80" s="53">
        <v>76</v>
      </c>
      <c r="AC80" s="7" t="s">
        <v>33</v>
      </c>
      <c r="AD80" s="7" t="s">
        <v>38</v>
      </c>
      <c r="AE80" s="36">
        <f>AVERAGEIFS('Regular Season'!T:T,'Regular Season'!R:R,'Summary Page'!AC80,'Regular Season'!S:S,'Summary Page'!AD80)</f>
        <v>122.3876923076923</v>
      </c>
      <c r="AF80" s="47">
        <f>AE80-VLOOKUP(AC80,'Summary Page (2)'!$B$5:$K$14,9,FALSE)</f>
        <v>1.6314177978883748</v>
      </c>
      <c r="AG80" s="52">
        <f>COUNTIFS('Regular Season'!R:R,'Summary Page'!AC80,'Regular Season'!S:S,'Summary Page'!AD80)</f>
        <v>13</v>
      </c>
      <c r="AH80" s="36">
        <f>AVERAGEIFS('Regular Season'!U:U,'Regular Season'!S:S,'Summary Page'!AC80,'Regular Season'!R:R,'Summary Page'!AD80)</f>
        <v>91.377500000000012</v>
      </c>
      <c r="AI80" s="47">
        <f>AH80-VLOOKUP(AC80,'Summary Page (2)'!$B$5:$K$14,10,FALSE)</f>
        <v>-5.3149324324323999</v>
      </c>
      <c r="AJ80" s="7">
        <f>COUNTIFS('Regular Season'!R:R,'Summary Page'!AD80,'Regular Season'!S:S,'Summary Page'!AC80)</f>
        <v>8</v>
      </c>
      <c r="AK80" s="36">
        <f t="shared" si="27"/>
        <v>110.57428571428571</v>
      </c>
      <c r="AL80" s="47">
        <f t="shared" si="28"/>
        <v>-6.4237012987021558E-2</v>
      </c>
      <c r="AM80" s="36">
        <f>AVERAGEIFS('Regular Season'!T:T,'Regular Season'!R:R,'Summary Page'!AD80,'Regular Season'!S:S,'Summary Page'!AC80)</f>
        <v>122.97</v>
      </c>
      <c r="AN80" s="47">
        <f>AM80-VLOOKUP(AD80,'Summary Page (2)'!$B$5:$K$14,9,FALSE)</f>
        <v>3.7818840579709985</v>
      </c>
      <c r="AO80" s="52">
        <f>COUNTIFS('Regular Season'!R:R,'Summary Page'!AD80,'Regular Season'!S:S,'Summary Page'!AC80)</f>
        <v>8</v>
      </c>
      <c r="AP80" s="36">
        <f>AVERAGEIFS('Regular Season'!U:U,'Regular Season'!S:S,'Summary Page'!AD80,'Regular Season'!R:R,'Summary Page'!AC80)</f>
        <v>93.163076923076915</v>
      </c>
      <c r="AQ80" s="47">
        <f>AP80-VLOOKUP(AD80,'Summary Page (2)'!$B$5:$K$14,10,FALSE)</f>
        <v>2.6166618287372216</v>
      </c>
      <c r="AR80" s="7">
        <f>COUNTIFS('Regular Season'!R:R,'Summary Page'!AC80,'Regular Season'!S:S,'Summary Page'!AD80)</f>
        <v>13</v>
      </c>
      <c r="AS80" s="36">
        <f t="shared" si="29"/>
        <v>104.51809523809524</v>
      </c>
      <c r="AT80" s="47">
        <f t="shared" si="30"/>
        <v>2.678666666666615</v>
      </c>
      <c r="AU80" s="55">
        <f t="shared" si="31"/>
        <v>-2.7429036796536366</v>
      </c>
      <c r="AW80" s="53">
        <v>25</v>
      </c>
      <c r="AX80" s="7" t="s">
        <v>30</v>
      </c>
      <c r="AY80" s="59" t="s">
        <v>31</v>
      </c>
      <c r="AZ80" s="36">
        <v>108.73333333333333</v>
      </c>
      <c r="BA80" s="47">
        <v>-13.749298245614057</v>
      </c>
      <c r="BB80" s="52">
        <v>9</v>
      </c>
      <c r="BC80" s="36">
        <v>98.057142857142864</v>
      </c>
      <c r="BD80" s="47">
        <v>1.7393050193050215</v>
      </c>
      <c r="BE80" s="7">
        <v>7</v>
      </c>
      <c r="BF80" s="36">
        <v>104.0625</v>
      </c>
      <c r="BG80" s="57">
        <v>-5.5121666666667011</v>
      </c>
      <c r="BH80" s="36">
        <v>134.33142857142857</v>
      </c>
      <c r="BI80" s="47">
        <v>13.758185328185334</v>
      </c>
      <c r="BJ80" s="52">
        <v>7</v>
      </c>
      <c r="BK80" s="36">
        <v>86.457777777777778</v>
      </c>
      <c r="BL80" s="47">
        <v>-6.9401169590643548</v>
      </c>
      <c r="BM80" s="7">
        <v>9</v>
      </c>
      <c r="BN80" s="36">
        <v>107.4025</v>
      </c>
      <c r="BO80" s="57">
        <v>0.59809999999997387</v>
      </c>
      <c r="BP80" s="49">
        <v>-6.110266666666675</v>
      </c>
    </row>
    <row r="81" spans="28:68" x14ac:dyDescent="0.3">
      <c r="AB81" s="53">
        <v>77</v>
      </c>
      <c r="AC81" s="7" t="s">
        <v>33</v>
      </c>
      <c r="AD81" s="7" t="s">
        <v>37</v>
      </c>
      <c r="AE81" s="36">
        <f>AVERAGEIFS('Regular Season'!T:T,'Regular Season'!R:R,'Summary Page'!AC81,'Regular Season'!S:S,'Summary Page'!AD81)</f>
        <v>119.61684210526315</v>
      </c>
      <c r="AF81" s="47">
        <f>AE81-VLOOKUP(AC81,'Summary Page (2)'!$B$5:$K$14,9,FALSE)</f>
        <v>-1.1394324045407842</v>
      </c>
      <c r="AG81" s="52">
        <f>COUNTIFS('Regular Season'!R:R,'Summary Page'!AC81,'Regular Season'!S:S,'Summary Page'!AD81)</f>
        <v>19</v>
      </c>
      <c r="AH81" s="36">
        <f>AVERAGEIFS('Regular Season'!U:U,'Regular Season'!S:S,'Summary Page'!AC81,'Regular Season'!R:R,'Summary Page'!AD81)</f>
        <v>94.056666666666672</v>
      </c>
      <c r="AI81" s="47">
        <f>AH81-VLOOKUP(AC81,'Summary Page (2)'!$B$5:$K$14,10,FALSE)</f>
        <v>-2.6357657657657398</v>
      </c>
      <c r="AJ81" s="7">
        <f>COUNTIFS('Regular Season'!R:R,'Summary Page'!AD81,'Regular Season'!S:S,'Summary Page'!AC81)</f>
        <v>6</v>
      </c>
      <c r="AK81" s="36">
        <f t="shared" si="27"/>
        <v>113.4824</v>
      </c>
      <c r="AL81" s="47">
        <f t="shared" si="28"/>
        <v>2.8438772727272692</v>
      </c>
      <c r="AM81" s="36">
        <f>AVERAGEIFS('Regular Season'!T:T,'Regular Season'!R:R,'Summary Page'!AD81,'Regular Season'!S:S,'Summary Page'!AC81)</f>
        <v>115.39333333333333</v>
      </c>
      <c r="AN81" s="47">
        <f>AM81-VLOOKUP(AD81,'Summary Page (2)'!$B$5:$K$14,9,FALSE)</f>
        <v>-0.4469105691056825</v>
      </c>
      <c r="AO81" s="52">
        <f>COUNTIFS('Regular Season'!R:R,'Summary Page'!AD81,'Regular Season'!S:S,'Summary Page'!AC81)</f>
        <v>6</v>
      </c>
      <c r="AP81" s="36">
        <f>AVERAGEIFS('Regular Season'!U:U,'Regular Season'!S:S,'Summary Page'!AD81,'Regular Season'!R:R,'Summary Page'!AC81)</f>
        <v>95.525263157894742</v>
      </c>
      <c r="AQ81" s="47">
        <f>AP81-VLOOKUP(AD81,'Summary Page (2)'!$B$5:$K$14,10,FALSE)</f>
        <v>2.6745022883295064</v>
      </c>
      <c r="AR81" s="7">
        <f>COUNTIFS('Regular Season'!R:R,'Summary Page'!AC81,'Regular Season'!S:S,'Summary Page'!AD81)</f>
        <v>19</v>
      </c>
      <c r="AS81" s="36">
        <f t="shared" si="29"/>
        <v>100.29360000000001</v>
      </c>
      <c r="AT81" s="47">
        <f t="shared" si="30"/>
        <v>-3.391285057471265</v>
      </c>
      <c r="AU81" s="55">
        <f t="shared" si="31"/>
        <v>6.2351623301985342</v>
      </c>
      <c r="AW81" s="53">
        <v>80</v>
      </c>
      <c r="AX81" s="7" t="s">
        <v>33</v>
      </c>
      <c r="AY81" s="59" t="s">
        <v>31</v>
      </c>
      <c r="AZ81" s="36">
        <v>122.36250000000001</v>
      </c>
      <c r="BA81" s="47">
        <v>1.27620786516853</v>
      </c>
      <c r="BB81" s="52">
        <v>8</v>
      </c>
      <c r="BC81" s="36">
        <v>94.22999999999999</v>
      </c>
      <c r="BD81" s="47">
        <v>-0.55590163934425618</v>
      </c>
      <c r="BE81" s="7">
        <v>10</v>
      </c>
      <c r="BF81" s="36">
        <v>106.73333333333333</v>
      </c>
      <c r="BG81" s="57">
        <v>-3.6574666666666786</v>
      </c>
      <c r="BH81" s="36">
        <v>123.306</v>
      </c>
      <c r="BI81" s="47">
        <v>2.732756756756757</v>
      </c>
      <c r="BJ81" s="52">
        <v>10</v>
      </c>
      <c r="BK81" s="36">
        <v>92.610000000000014</v>
      </c>
      <c r="BL81" s="47">
        <v>-0.78789473684211941</v>
      </c>
      <c r="BM81" s="7">
        <v>8</v>
      </c>
      <c r="BN81" s="36">
        <v>109.66333333333334</v>
      </c>
      <c r="BO81" s="57">
        <v>2.8589333333333116</v>
      </c>
      <c r="BP81" s="49">
        <v>-6.5163999999999902</v>
      </c>
    </row>
    <row r="82" spans="28:68" x14ac:dyDescent="0.3">
      <c r="AB82" s="53">
        <v>78</v>
      </c>
      <c r="AC82" s="7" t="s">
        <v>33</v>
      </c>
      <c r="AD82" s="7" t="s">
        <v>34</v>
      </c>
      <c r="AE82" s="36">
        <f>AVERAGEIFS('Regular Season'!T:T,'Regular Season'!R:R,'Summary Page'!AC82,'Regular Season'!S:S,'Summary Page'!AD82)</f>
        <v>117.845</v>
      </c>
      <c r="AF82" s="47">
        <f>AE82-VLOOKUP(AC82,'Summary Page (2)'!$B$5:$K$14,9,FALSE)</f>
        <v>-2.9112745098039312</v>
      </c>
      <c r="AG82" s="52">
        <f>COUNTIFS('Regular Season'!R:R,'Summary Page'!AC82,'Regular Season'!S:S,'Summary Page'!AD82)</f>
        <v>8</v>
      </c>
      <c r="AH82" s="36">
        <f>AVERAGEIFS('Regular Season'!U:U,'Regular Season'!S:S,'Summary Page'!AC82,'Regular Season'!R:R,'Summary Page'!AD82)</f>
        <v>103.93692307692307</v>
      </c>
      <c r="AI82" s="47">
        <f>AH82-VLOOKUP(AC82,'Summary Page (2)'!$B$5:$K$14,10,FALSE)</f>
        <v>7.2444906444906536</v>
      </c>
      <c r="AJ82" s="7">
        <f>COUNTIFS('Regular Season'!R:R,'Summary Page'!AD82,'Regular Season'!S:S,'Summary Page'!AC82)</f>
        <v>13</v>
      </c>
      <c r="AK82" s="36">
        <f t="shared" si="27"/>
        <v>109.23523809523807</v>
      </c>
      <c r="AL82" s="47">
        <f t="shared" si="28"/>
        <v>-1.403284632034655</v>
      </c>
      <c r="AM82" s="36">
        <f>AVERAGEIFS('Regular Season'!T:T,'Regular Season'!R:R,'Summary Page'!AD82,'Regular Season'!S:S,'Summary Page'!AC82)</f>
        <v>121.96000000000001</v>
      </c>
      <c r="AN82" s="47">
        <f>AM82-VLOOKUP(AD82,'Summary Page (2)'!$B$5:$K$14,9,FALSE)</f>
        <v>-0.38263736263735382</v>
      </c>
      <c r="AO82" s="52">
        <f>COUNTIFS('Regular Season'!R:R,'Summary Page'!AD82,'Regular Season'!S:S,'Summary Page'!AC82)</f>
        <v>13</v>
      </c>
      <c r="AP82" s="36">
        <f>AVERAGEIFS('Regular Season'!U:U,'Regular Season'!S:S,'Summary Page'!AD82,'Regular Season'!R:R,'Summary Page'!AC82)</f>
        <v>89.837500000000006</v>
      </c>
      <c r="AQ82" s="47">
        <f>AP82-VLOOKUP(AD82,'Summary Page (2)'!$B$5:$K$14,10,FALSE)</f>
        <v>-6.5624999999999858</v>
      </c>
      <c r="AR82" s="7">
        <f>COUNTIFS('Regular Season'!R:R,'Summary Page'!AC82,'Regular Season'!S:S,'Summary Page'!AD82)</f>
        <v>8</v>
      </c>
      <c r="AS82" s="36">
        <f t="shared" si="29"/>
        <v>109.72285714285715</v>
      </c>
      <c r="AT82" s="47">
        <f t="shared" si="30"/>
        <v>-0.24484400656811545</v>
      </c>
      <c r="AU82" s="55">
        <f t="shared" si="31"/>
        <v>-1.1584406254665396</v>
      </c>
      <c r="AW82" s="53">
        <v>69</v>
      </c>
      <c r="AX82" s="7" t="s">
        <v>31</v>
      </c>
      <c r="AY82" s="59" t="s">
        <v>34</v>
      </c>
      <c r="AZ82" s="36">
        <v>123.05</v>
      </c>
      <c r="BA82" s="47">
        <v>2.4767567567567568</v>
      </c>
      <c r="BB82" s="52">
        <v>8</v>
      </c>
      <c r="BC82" s="36">
        <v>101.32222222222224</v>
      </c>
      <c r="BD82" s="47">
        <v>7.924327485380104</v>
      </c>
      <c r="BE82" s="7">
        <v>9</v>
      </c>
      <c r="BF82" s="36">
        <v>111.54705882352943</v>
      </c>
      <c r="BG82" s="57">
        <v>4.7426588235293963</v>
      </c>
      <c r="BH82" s="36">
        <v>134.75333333333333</v>
      </c>
      <c r="BI82" s="47">
        <v>12.358902953586494</v>
      </c>
      <c r="BJ82" s="52">
        <v>9</v>
      </c>
      <c r="BK82" s="36">
        <v>107.45250000000001</v>
      </c>
      <c r="BL82" s="47">
        <v>10.409119718309881</v>
      </c>
      <c r="BM82" s="7">
        <v>8</v>
      </c>
      <c r="BN82" s="36">
        <v>121.90588235294118</v>
      </c>
      <c r="BO82" s="57">
        <v>11.510949019607864</v>
      </c>
      <c r="BP82" s="49">
        <v>-6.7682901960784676</v>
      </c>
    </row>
    <row r="83" spans="28:68" x14ac:dyDescent="0.3">
      <c r="AB83" s="53">
        <v>79</v>
      </c>
      <c r="AC83" s="7" t="s">
        <v>33</v>
      </c>
      <c r="AD83" s="7" t="s">
        <v>29</v>
      </c>
      <c r="AE83" s="36">
        <f>AVERAGEIFS('Regular Season'!T:T,'Regular Season'!R:R,'Summary Page'!AC83,'Regular Season'!S:S,'Summary Page'!AD83)</f>
        <v>128.78199999999998</v>
      </c>
      <c r="AF83" s="47">
        <f>AE83-VLOOKUP(AC83,'Summary Page (2)'!$B$5:$K$14,9,FALSE)</f>
        <v>8.0257254901960522</v>
      </c>
      <c r="AG83" s="52">
        <f>COUNTIFS('Regular Season'!R:R,'Summary Page'!AC83,'Regular Season'!S:S,'Summary Page'!AD83)</f>
        <v>10</v>
      </c>
      <c r="AH83" s="36">
        <f>AVERAGEIFS('Regular Season'!U:U,'Regular Season'!S:S,'Summary Page'!AC83,'Regular Season'!R:R,'Summary Page'!AD83)</f>
        <v>104.06</v>
      </c>
      <c r="AI83" s="47">
        <f>AH83-VLOOKUP(AC83,'Summary Page (2)'!$B$5:$K$14,10,FALSE)</f>
        <v>7.3675675675675905</v>
      </c>
      <c r="AJ83" s="7">
        <f>COUNTIFS('Regular Season'!R:R,'Summary Page'!AD83,'Regular Season'!S:S,'Summary Page'!AC83)</f>
        <v>9</v>
      </c>
      <c r="AK83" s="36">
        <f t="shared" si="27"/>
        <v>117.07157894736841</v>
      </c>
      <c r="AL83" s="47">
        <f t="shared" si="28"/>
        <v>6.4330562200956791</v>
      </c>
      <c r="AM83" s="36">
        <f>AVERAGEIFS('Regular Season'!T:T,'Regular Season'!R:R,'Summary Page'!AD83,'Regular Season'!S:S,'Summary Page'!AC83)</f>
        <v>116.61333333333333</v>
      </c>
      <c r="AN83" s="47">
        <f>AM83-VLOOKUP(AD83,'Summary Page (2)'!$B$5:$K$14,9,FALSE)</f>
        <v>-8.5453333333333177</v>
      </c>
      <c r="AO83" s="52">
        <f>COUNTIFS('Regular Season'!R:R,'Summary Page'!AD83,'Regular Season'!S:S,'Summary Page'!AC83)</f>
        <v>9</v>
      </c>
      <c r="AP83" s="36">
        <f>AVERAGEIFS('Regular Season'!U:U,'Regular Season'!S:S,'Summary Page'!AD83,'Regular Season'!R:R,'Summary Page'!AC83)</f>
        <v>100.354</v>
      </c>
      <c r="AQ83" s="47">
        <f>AP83-VLOOKUP(AD83,'Summary Page (2)'!$B$5:$K$14,10,FALSE)</f>
        <v>1.4068571428571204</v>
      </c>
      <c r="AR83" s="7">
        <f>COUNTIFS('Regular Season'!R:R,'Summary Page'!AC83,'Regular Season'!S:S,'Summary Page'!AD83)</f>
        <v>10</v>
      </c>
      <c r="AS83" s="36">
        <f t="shared" si="29"/>
        <v>108.05578947368421</v>
      </c>
      <c r="AT83" s="47">
        <f t="shared" si="30"/>
        <v>-4.4490381125226861</v>
      </c>
      <c r="AU83" s="55">
        <f t="shared" si="31"/>
        <v>10.882094332618365</v>
      </c>
      <c r="AW83" s="53">
        <v>70</v>
      </c>
      <c r="AX83" s="7" t="s">
        <v>31</v>
      </c>
      <c r="AY83" s="59" t="s">
        <v>29</v>
      </c>
      <c r="AZ83" s="36">
        <v>120.14666666666669</v>
      </c>
      <c r="BA83" s="47">
        <v>-0.42657657657655079</v>
      </c>
      <c r="BB83" s="52">
        <v>9</v>
      </c>
      <c r="BC83" s="36">
        <v>95.563999999999993</v>
      </c>
      <c r="BD83" s="47">
        <v>2.1661052631578599</v>
      </c>
      <c r="BE83" s="7">
        <v>10</v>
      </c>
      <c r="BF83" s="36">
        <v>107.20842105263158</v>
      </c>
      <c r="BG83" s="57">
        <v>0.40402105263154908</v>
      </c>
      <c r="BH83" s="36">
        <v>131.852</v>
      </c>
      <c r="BI83" s="47">
        <v>9.4250555555555593</v>
      </c>
      <c r="BJ83" s="52">
        <v>10</v>
      </c>
      <c r="BK83" s="36">
        <v>102.70222222222225</v>
      </c>
      <c r="BL83" s="47">
        <v>4.3052991452991449</v>
      </c>
      <c r="BM83" s="7">
        <v>9</v>
      </c>
      <c r="BN83" s="36">
        <v>118.04421052631579</v>
      </c>
      <c r="BO83" s="57">
        <v>8.1128771929824524</v>
      </c>
      <c r="BP83" s="49">
        <v>-7.7088561403509033</v>
      </c>
    </row>
    <row r="84" spans="28:68" x14ac:dyDescent="0.3">
      <c r="AB84" s="53">
        <v>80</v>
      </c>
      <c r="AC84" s="7" t="s">
        <v>33</v>
      </c>
      <c r="AD84" s="7" t="s">
        <v>31</v>
      </c>
      <c r="AE84" s="36">
        <f>AVERAGEIFS('Regular Season'!T:T,'Regular Season'!R:R,'Summary Page'!AC84,'Regular Season'!S:S,'Summary Page'!AD84)</f>
        <v>122.33199999999999</v>
      </c>
      <c r="AF84" s="47">
        <f>AE84-VLOOKUP(AC84,'Summary Page (2)'!$B$5:$K$14,9,FALSE)</f>
        <v>1.5757254901960636</v>
      </c>
      <c r="AG84" s="52">
        <f>COUNTIFS('Regular Season'!R:R,'Summary Page'!AC84,'Regular Season'!S:S,'Summary Page'!AD84)</f>
        <v>10</v>
      </c>
      <c r="AH84" s="36">
        <f>AVERAGEIFS('Regular Season'!U:U,'Regular Season'!S:S,'Summary Page'!AC84,'Regular Season'!R:R,'Summary Page'!AD84)</f>
        <v>94.22999999999999</v>
      </c>
      <c r="AI84" s="47">
        <f>AH84-VLOOKUP(AC84,'Summary Page (2)'!$B$5:$K$14,10,FALSE)</f>
        <v>-2.462432432432422</v>
      </c>
      <c r="AJ84" s="7">
        <f>COUNTIFS('Regular Season'!R:R,'Summary Page'!AD84,'Regular Season'!S:S,'Summary Page'!AC84)</f>
        <v>10</v>
      </c>
      <c r="AK84" s="36">
        <f t="shared" si="27"/>
        <v>108.28099999999999</v>
      </c>
      <c r="AL84" s="47">
        <f t="shared" si="28"/>
        <v>-2.3575227272727375</v>
      </c>
      <c r="AM84" s="36">
        <f>AVERAGEIFS('Regular Season'!T:T,'Regular Season'!R:R,'Summary Page'!AD84,'Regular Season'!S:S,'Summary Page'!AC84)</f>
        <v>123.306</v>
      </c>
      <c r="AN84" s="47">
        <f>AM84-VLOOKUP(AD84,'Summary Page (2)'!$B$5:$K$14,9,FALSE)</f>
        <v>2.8636190476190677</v>
      </c>
      <c r="AO84" s="52">
        <f>COUNTIFS('Regular Season'!R:R,'Summary Page'!AD84,'Regular Season'!S:S,'Summary Page'!AC84)</f>
        <v>10</v>
      </c>
      <c r="AP84" s="36">
        <f>AVERAGEIFS('Regular Season'!U:U,'Regular Season'!S:S,'Summary Page'!AD84,'Regular Season'!R:R,'Summary Page'!AC84)</f>
        <v>94.9</v>
      </c>
      <c r="AQ84" s="47">
        <f>AP84-VLOOKUP(AD84,'Summary Page (2)'!$B$5:$K$14,10,FALSE)</f>
        <v>0.39431818181815004</v>
      </c>
      <c r="AR84" s="7">
        <f>COUNTIFS('Regular Season'!R:R,'Summary Page'!AC84,'Regular Season'!S:S,'Summary Page'!AD84)</f>
        <v>10</v>
      </c>
      <c r="AS84" s="36">
        <f t="shared" si="29"/>
        <v>109.10299999999999</v>
      </c>
      <c r="AT84" s="47">
        <f t="shared" si="30"/>
        <v>1.9305581395348526</v>
      </c>
      <c r="AU84" s="55">
        <f t="shared" si="31"/>
        <v>-4.28808086680759</v>
      </c>
      <c r="AW84" s="53">
        <v>48</v>
      </c>
      <c r="AX84" s="7" t="s">
        <v>34</v>
      </c>
      <c r="AY84" s="59" t="s">
        <v>30</v>
      </c>
      <c r="AZ84" s="36">
        <v>126.10000000000001</v>
      </c>
      <c r="BA84" s="47">
        <v>3.705569620253172</v>
      </c>
      <c r="BB84" s="52">
        <v>9</v>
      </c>
      <c r="BC84" s="36">
        <v>92.955999999999989</v>
      </c>
      <c r="BD84" s="47">
        <v>-4.0873802816901446</v>
      </c>
      <c r="BE84" s="7">
        <v>10</v>
      </c>
      <c r="BF84" s="36">
        <v>108.65578947368421</v>
      </c>
      <c r="BG84" s="57">
        <v>-1.7391438596491042</v>
      </c>
      <c r="BH84" s="36">
        <v>127.95</v>
      </c>
      <c r="BI84" s="47">
        <v>5.4673684210526119</v>
      </c>
      <c r="BJ84" s="52">
        <v>10</v>
      </c>
      <c r="BK84" s="36">
        <v>102.48222222222222</v>
      </c>
      <c r="BL84" s="47">
        <v>6.1643843843843769</v>
      </c>
      <c r="BM84" s="7">
        <v>9</v>
      </c>
      <c r="BN84" s="36">
        <v>115.8863157894737</v>
      </c>
      <c r="BO84" s="57">
        <v>6.3116491228069975</v>
      </c>
      <c r="BP84" s="49">
        <v>-8.0507929824561018</v>
      </c>
    </row>
    <row r="85" spans="28:68" x14ac:dyDescent="0.3">
      <c r="AB85" s="53">
        <v>81</v>
      </c>
      <c r="AC85" s="7" t="s">
        <v>33</v>
      </c>
      <c r="AD85" s="7" t="s">
        <v>36</v>
      </c>
      <c r="AE85" s="36">
        <f>AVERAGEIFS('Regular Season'!T:T,'Regular Season'!R:R,'Summary Page'!AC85,'Regular Season'!S:S,'Summary Page'!AD85)</f>
        <v>123.15428571428571</v>
      </c>
      <c r="AF85" s="47">
        <f>AE85-VLOOKUP(AC85,'Summary Page (2)'!$B$5:$K$14,9,FALSE)</f>
        <v>2.3980112044817758</v>
      </c>
      <c r="AG85" s="52">
        <f>COUNTIFS('Regular Season'!R:R,'Summary Page'!AC85,'Regular Season'!S:S,'Summary Page'!AD85)</f>
        <v>7</v>
      </c>
      <c r="AH85" s="36">
        <f>AVERAGEIFS('Regular Season'!U:U,'Regular Season'!S:S,'Summary Page'!AC85,'Regular Season'!R:R,'Summary Page'!AD85)</f>
        <v>93.02</v>
      </c>
      <c r="AI85" s="47">
        <f>AH85-VLOOKUP(AC85,'Summary Page (2)'!$B$5:$K$14,10,FALSE)</f>
        <v>-3.6724324324324158</v>
      </c>
      <c r="AJ85" s="7">
        <f>COUNTIFS('Regular Season'!R:R,'Summary Page'!AD85,'Regular Season'!S:S,'Summary Page'!AC85)</f>
        <v>6</v>
      </c>
      <c r="AK85" s="36">
        <f t="shared" si="27"/>
        <v>109.24615384615383</v>
      </c>
      <c r="AL85" s="47">
        <f t="shared" si="28"/>
        <v>-1.3923688811188981</v>
      </c>
      <c r="AM85" s="36">
        <f>AVERAGEIFS('Regular Season'!T:T,'Regular Season'!R:R,'Summary Page'!AD85,'Regular Season'!S:S,'Summary Page'!AC85)</f>
        <v>114.97333333333334</v>
      </c>
      <c r="AN85" s="47">
        <f>AM85-VLOOKUP(AD85,'Summary Page (2)'!$B$5:$K$14,9,FALSE)</f>
        <v>-1.1044927536231341</v>
      </c>
      <c r="AO85" s="52">
        <f>COUNTIFS('Regular Season'!R:R,'Summary Page'!AD85,'Regular Season'!S:S,'Summary Page'!AC85)</f>
        <v>6</v>
      </c>
      <c r="AP85" s="36">
        <f>AVERAGEIFS('Regular Season'!U:U,'Regular Season'!S:S,'Summary Page'!AD85,'Regular Season'!R:R,'Summary Page'!AC85)</f>
        <v>97.754285714285714</v>
      </c>
      <c r="AQ85" s="47">
        <f>AP85-VLOOKUP(AD85,'Summary Page (2)'!$B$5:$K$14,10,FALSE)</f>
        <v>2.9840418118467085</v>
      </c>
      <c r="AR85" s="7">
        <f>COUNTIFS('Regular Season'!R:R,'Summary Page'!AC85,'Regular Season'!S:S,'Summary Page'!AD85)</f>
        <v>7</v>
      </c>
      <c r="AS85" s="36">
        <f t="shared" si="29"/>
        <v>105.70153846153845</v>
      </c>
      <c r="AT85" s="47">
        <f t="shared" si="30"/>
        <v>-0.33478337754199572</v>
      </c>
      <c r="AU85" s="55">
        <f t="shared" si="31"/>
        <v>-1.0575855035769024</v>
      </c>
      <c r="AW85" s="53">
        <v>46</v>
      </c>
      <c r="AX85" s="7" t="s">
        <v>34</v>
      </c>
      <c r="AY85" s="59" t="s">
        <v>32</v>
      </c>
      <c r="AZ85" s="36">
        <v>114.76333333333332</v>
      </c>
      <c r="BA85" s="47">
        <v>-7.6310970464135153</v>
      </c>
      <c r="BB85" s="52">
        <v>6</v>
      </c>
      <c r="BC85" s="36">
        <v>104.25714285714287</v>
      </c>
      <c r="BD85" s="47">
        <v>7.2137625754527335</v>
      </c>
      <c r="BE85" s="7">
        <v>7</v>
      </c>
      <c r="BF85" s="36">
        <v>109.10615384615386</v>
      </c>
      <c r="BG85" s="57">
        <v>-1.288779487179454</v>
      </c>
      <c r="BH85" s="36">
        <v>125.95714285714284</v>
      </c>
      <c r="BI85" s="47">
        <v>8.855714285714285</v>
      </c>
      <c r="BJ85" s="52">
        <v>7</v>
      </c>
      <c r="BK85" s="36">
        <v>94.84666666666665</v>
      </c>
      <c r="BL85" s="47">
        <v>1.2816666666666379</v>
      </c>
      <c r="BM85" s="7">
        <v>6</v>
      </c>
      <c r="BN85" s="36">
        <v>111.59846153846152</v>
      </c>
      <c r="BO85" s="57">
        <v>7.0497948717948589</v>
      </c>
      <c r="BP85" s="49">
        <v>-8.3385743589743129</v>
      </c>
    </row>
    <row r="86" spans="28:68" x14ac:dyDescent="0.3">
      <c r="AB86" s="53">
        <v>82</v>
      </c>
      <c r="AC86" s="7" t="s">
        <v>36</v>
      </c>
      <c r="AD86" s="7" t="s">
        <v>32</v>
      </c>
      <c r="AE86" s="36">
        <f>AVERAGEIFS('Regular Season'!T:T,'Regular Season'!R:R,'Summary Page'!AC86,'Regular Season'!S:S,'Summary Page'!AD86)</f>
        <v>106.88399999999999</v>
      </c>
      <c r="AF86" s="47">
        <f>AE86-VLOOKUP(AC86,'Summary Page (2)'!$B$5:$K$14,9,FALSE)</f>
        <v>-9.1938260869564914</v>
      </c>
      <c r="AG86" s="52">
        <f>COUNTIFS('Regular Season'!R:R,'Summary Page'!AC86,'Regular Season'!S:S,'Summary Page'!AD86)</f>
        <v>5</v>
      </c>
      <c r="AH86" s="36">
        <f>AVERAGEIFS('Regular Season'!U:U,'Regular Season'!S:S,'Summary Page'!AC86,'Regular Season'!R:R,'Summary Page'!AD86)</f>
        <v>83.426666666666677</v>
      </c>
      <c r="AI86" s="47">
        <f>AH86-VLOOKUP(AC86,'Summary Page (2)'!$B$5:$K$14,10,FALSE)</f>
        <v>-11.343577235772329</v>
      </c>
      <c r="AJ86" s="7">
        <f>COUNTIFS('Regular Season'!R:R,'Summary Page'!AD86,'Regular Season'!S:S,'Summary Page'!AC86)</f>
        <v>9</v>
      </c>
      <c r="AK86" s="36">
        <f t="shared" si="27"/>
        <v>91.804285714285726</v>
      </c>
      <c r="AL86" s="47">
        <f t="shared" si="28"/>
        <v>-14.232036124794718</v>
      </c>
      <c r="AM86" s="36">
        <f>AVERAGEIFS('Regular Season'!T:T,'Regular Season'!R:R,'Summary Page'!AD86,'Regular Season'!S:S,'Summary Page'!AC86)</f>
        <v>123.56888888888891</v>
      </c>
      <c r="AN86" s="47">
        <f>AM86-VLOOKUP(AD86,'Summary Page (2)'!$B$5:$K$14,9,FALSE)</f>
        <v>5.6319121447028806</v>
      </c>
      <c r="AO86" s="52">
        <f>COUNTIFS('Regular Season'!R:R,'Summary Page'!AD86,'Regular Season'!S:S,'Summary Page'!AC86)</f>
        <v>9</v>
      </c>
      <c r="AP86" s="36">
        <f>AVERAGEIFS('Regular Season'!U:U,'Regular Season'!S:S,'Summary Page'!AD86,'Regular Season'!R:R,'Summary Page'!AC86)</f>
        <v>69.087999999999994</v>
      </c>
      <c r="AQ86" s="47">
        <f>AP86-VLOOKUP(AD86,'Summary Page (2)'!$B$5:$K$14,10,FALSE)</f>
        <v>-25.005181818181839</v>
      </c>
      <c r="AR86" s="7">
        <f>COUNTIFS('Regular Season'!R:R,'Summary Page'!AC86,'Regular Season'!S:S,'Summary Page'!AD86)</f>
        <v>5</v>
      </c>
      <c r="AS86" s="36">
        <f t="shared" si="29"/>
        <v>104.11142857142856</v>
      </c>
      <c r="AT86" s="47">
        <f t="shared" si="30"/>
        <v>-1.7666174055829202</v>
      </c>
      <c r="AU86" s="55">
        <f t="shared" si="31"/>
        <v>-12.465418719211797</v>
      </c>
      <c r="AW86" s="53">
        <v>65</v>
      </c>
      <c r="AX86" s="7" t="s">
        <v>31</v>
      </c>
      <c r="AY86" s="59" t="s">
        <v>35</v>
      </c>
      <c r="AZ86" s="36">
        <v>113.428</v>
      </c>
      <c r="BA86" s="47">
        <v>-7.1452432432432431</v>
      </c>
      <c r="BB86" s="52">
        <v>5</v>
      </c>
      <c r="BC86" s="36">
        <v>92.123333333333335</v>
      </c>
      <c r="BD86" s="47">
        <v>-1.2745614035087982</v>
      </c>
      <c r="BE86" s="7">
        <v>6</v>
      </c>
      <c r="BF86" s="36">
        <v>101.80727272727273</v>
      </c>
      <c r="BG86" s="57">
        <v>-4.9971272727272975</v>
      </c>
      <c r="BH86" s="36">
        <v>123.16333333333331</v>
      </c>
      <c r="BI86" s="47">
        <v>4.184852320675077</v>
      </c>
      <c r="BJ86" s="52">
        <v>6</v>
      </c>
      <c r="BK86" s="36">
        <v>95.24</v>
      </c>
      <c r="BL86" s="47">
        <v>2.4180281690140646</v>
      </c>
      <c r="BM86" s="7">
        <v>5</v>
      </c>
      <c r="BN86" s="36">
        <v>110.47090909090907</v>
      </c>
      <c r="BO86" s="57">
        <v>3.8731757575757229</v>
      </c>
      <c r="BP86" s="49">
        <v>-8.8703030303030204</v>
      </c>
    </row>
    <row r="87" spans="28:68" x14ac:dyDescent="0.3">
      <c r="AB87" s="53">
        <v>83</v>
      </c>
      <c r="AC87" s="7" t="s">
        <v>36</v>
      </c>
      <c r="AD87" s="7" t="s">
        <v>35</v>
      </c>
      <c r="AE87" s="36">
        <f>AVERAGEIFS('Regular Season'!T:T,'Regular Season'!R:R,'Summary Page'!AC87,'Regular Season'!S:S,'Summary Page'!AD87)</f>
        <v>121.56800000000001</v>
      </c>
      <c r="AF87" s="47">
        <f>AE87-VLOOKUP(AC87,'Summary Page (2)'!$B$5:$K$14,9,FALSE)</f>
        <v>5.4901739130435345</v>
      </c>
      <c r="AG87" s="52">
        <f>COUNTIFS('Regular Season'!R:R,'Summary Page'!AC87,'Regular Season'!S:S,'Summary Page'!AD87)</f>
        <v>10</v>
      </c>
      <c r="AH87" s="36">
        <f>AVERAGEIFS('Regular Season'!U:U,'Regular Season'!S:S,'Summary Page'!AC87,'Regular Season'!R:R,'Summary Page'!AD87)</f>
        <v>93.318666666666658</v>
      </c>
      <c r="AI87" s="47">
        <f>AH87-VLOOKUP(AC87,'Summary Page (2)'!$B$5:$K$14,10,FALSE)</f>
        <v>-1.4515772357723478</v>
      </c>
      <c r="AJ87" s="7">
        <f>COUNTIFS('Regular Season'!R:R,'Summary Page'!AD87,'Regular Season'!S:S,'Summary Page'!AC87)</f>
        <v>15</v>
      </c>
      <c r="AK87" s="36">
        <f t="shared" si="27"/>
        <v>104.61840000000001</v>
      </c>
      <c r="AL87" s="47">
        <f t="shared" si="28"/>
        <v>-1.4179218390804351</v>
      </c>
      <c r="AM87" s="36">
        <f>AVERAGEIFS('Regular Season'!T:T,'Regular Season'!R:R,'Summary Page'!AD87,'Regular Season'!S:S,'Summary Page'!AC87)</f>
        <v>117.05466666666668</v>
      </c>
      <c r="AN87" s="47">
        <f>AM87-VLOOKUP(AD87,'Summary Page (2)'!$B$5:$K$14,9,FALSE)</f>
        <v>-2.4188817204301074</v>
      </c>
      <c r="AO87" s="52">
        <f>COUNTIFS('Regular Season'!R:R,'Summary Page'!AD87,'Regular Season'!S:S,'Summary Page'!AC87)</f>
        <v>15</v>
      </c>
      <c r="AP87" s="36">
        <f>AVERAGEIFS('Regular Season'!U:U,'Regular Season'!S:S,'Summary Page'!AD87,'Regular Season'!R:R,'Summary Page'!AC87)</f>
        <v>96.002000000000024</v>
      </c>
      <c r="AQ87" s="47">
        <f>AP87-VLOOKUP(AD87,'Summary Page (2)'!$B$5:$K$14,10,FALSE)</f>
        <v>2.9286666666666719</v>
      </c>
      <c r="AR87" s="7">
        <f>COUNTIFS('Regular Season'!R:R,'Summary Page'!AC87,'Regular Season'!S:S,'Summary Page'!AD87)</f>
        <v>10</v>
      </c>
      <c r="AS87" s="36">
        <f t="shared" si="29"/>
        <v>108.6336</v>
      </c>
      <c r="AT87" s="47">
        <f t="shared" si="30"/>
        <v>1.4498068965517064</v>
      </c>
      <c r="AU87" s="55">
        <f t="shared" si="31"/>
        <v>-2.8677287356321415</v>
      </c>
      <c r="AW87" s="53">
        <v>4</v>
      </c>
      <c r="AX87" s="7" t="s">
        <v>32</v>
      </c>
      <c r="AY87" s="59" t="s">
        <v>37</v>
      </c>
      <c r="AZ87" s="36">
        <v>124.66571428571429</v>
      </c>
      <c r="BA87" s="47">
        <v>7.5642857142857309</v>
      </c>
      <c r="BB87" s="52">
        <v>7</v>
      </c>
      <c r="BC87" s="36">
        <v>89.416666666666671</v>
      </c>
      <c r="BD87" s="47">
        <v>-4.1483333333333405</v>
      </c>
      <c r="BE87" s="7">
        <v>12</v>
      </c>
      <c r="BF87" s="36">
        <v>102.40315789473684</v>
      </c>
      <c r="BG87" s="57">
        <v>-2.1455087719298263</v>
      </c>
      <c r="BH87" s="36">
        <v>116.33499999999998</v>
      </c>
      <c r="BI87" s="47">
        <v>0.79034246575339751</v>
      </c>
      <c r="BJ87" s="52">
        <v>12</v>
      </c>
      <c r="BK87" s="36">
        <v>100.69428571428573</v>
      </c>
      <c r="BL87" s="47">
        <v>9.1654545454545087</v>
      </c>
      <c r="BM87" s="7">
        <v>7</v>
      </c>
      <c r="BN87" s="36">
        <v>110.57263157894738</v>
      </c>
      <c r="BO87" s="57">
        <v>7.3560982456140209</v>
      </c>
      <c r="BP87" s="49">
        <v>-9.5016070175438472</v>
      </c>
    </row>
    <row r="88" spans="28:68" x14ac:dyDescent="0.3">
      <c r="AB88" s="53">
        <v>84</v>
      </c>
      <c r="AC88" s="7" t="s">
        <v>36</v>
      </c>
      <c r="AD88" s="7" t="s">
        <v>30</v>
      </c>
      <c r="AE88" s="36">
        <f>AVERAGEIFS('Regular Season'!T:T,'Regular Season'!R:R,'Summary Page'!AC88,'Regular Season'!S:S,'Summary Page'!AD88)</f>
        <v>114.71875</v>
      </c>
      <c r="AF88" s="47">
        <f>AE88-VLOOKUP(AC88,'Summary Page (2)'!$B$5:$K$14,9,FALSE)</f>
        <v>-1.3590760869564775</v>
      </c>
      <c r="AG88" s="52">
        <f>COUNTIFS('Regular Season'!R:R,'Summary Page'!AC88,'Regular Season'!S:S,'Summary Page'!AD88)</f>
        <v>16</v>
      </c>
      <c r="AH88" s="36">
        <f>AVERAGEIFS('Regular Season'!U:U,'Regular Season'!S:S,'Summary Page'!AC88,'Regular Season'!R:R,'Summary Page'!AD88)</f>
        <v>91.804000000000002</v>
      </c>
      <c r="AI88" s="47">
        <f>AH88-VLOOKUP(AC88,'Summary Page (2)'!$B$5:$K$14,10,FALSE)</f>
        <v>-2.9662439024390039</v>
      </c>
      <c r="AJ88" s="7">
        <f>COUNTIFS('Regular Season'!R:R,'Summary Page'!AD88,'Regular Season'!S:S,'Summary Page'!AC88)</f>
        <v>10</v>
      </c>
      <c r="AK88" s="36">
        <f t="shared" si="27"/>
        <v>105.90538461538462</v>
      </c>
      <c r="AL88" s="47">
        <f t="shared" si="28"/>
        <v>-0.13093722369582395</v>
      </c>
      <c r="AM88" s="36">
        <f>AVERAGEIFS('Regular Season'!T:T,'Regular Season'!R:R,'Summary Page'!AD88,'Regular Season'!S:S,'Summary Page'!AC88)</f>
        <v>134.45400000000001</v>
      </c>
      <c r="AN88" s="47">
        <f>AM88-VLOOKUP(AD88,'Summary Page (2)'!$B$5:$K$14,9,FALSE)</f>
        <v>12.754246913580232</v>
      </c>
      <c r="AO88" s="52">
        <f>COUNTIFS('Regular Season'!R:R,'Summary Page'!AD88,'Regular Season'!S:S,'Summary Page'!AC88)</f>
        <v>10</v>
      </c>
      <c r="AP88" s="36">
        <f>AVERAGEIFS('Regular Season'!U:U,'Regular Season'!S:S,'Summary Page'!AD88,'Regular Season'!R:R,'Summary Page'!AC88)</f>
        <v>97.373749999999987</v>
      </c>
      <c r="AQ88" s="47">
        <f>AP88-VLOOKUP(AD88,'Summary Page (2)'!$B$5:$K$14,10,FALSE)</f>
        <v>2.4976630434782692</v>
      </c>
      <c r="AR88" s="7">
        <f>COUNTIFS('Regular Season'!R:R,'Summary Page'!AC88,'Regular Season'!S:S,'Summary Page'!AD88)</f>
        <v>16</v>
      </c>
      <c r="AS88" s="36">
        <f t="shared" si="29"/>
        <v>111.6353846153846</v>
      </c>
      <c r="AT88" s="47">
        <f t="shared" si="30"/>
        <v>4.2002401067140767</v>
      </c>
      <c r="AU88" s="55">
        <f t="shared" si="31"/>
        <v>-4.3311773304099006</v>
      </c>
      <c r="AW88" s="53">
        <v>54</v>
      </c>
      <c r="AX88" s="7" t="s">
        <v>34</v>
      </c>
      <c r="AY88" s="59" t="s">
        <v>36</v>
      </c>
      <c r="AZ88" s="36">
        <v>97.765000000000001</v>
      </c>
      <c r="BA88" s="47">
        <v>-24.629430379746836</v>
      </c>
      <c r="BB88" s="52">
        <v>8</v>
      </c>
      <c r="BC88" s="36">
        <v>96.204999999999998</v>
      </c>
      <c r="BD88" s="47">
        <v>-0.83838028169013512</v>
      </c>
      <c r="BE88" s="7">
        <v>12</v>
      </c>
      <c r="BF88" s="36">
        <v>96.828999999999994</v>
      </c>
      <c r="BG88" s="57">
        <v>-13.565933333333319</v>
      </c>
      <c r="BH88" s="36">
        <v>111.77333333333333</v>
      </c>
      <c r="BI88" s="47">
        <v>-5.8132520325203103</v>
      </c>
      <c r="BJ88" s="52">
        <v>12</v>
      </c>
      <c r="BK88" s="36">
        <v>89.17</v>
      </c>
      <c r="BL88" s="47">
        <v>-3.5535294117646998</v>
      </c>
      <c r="BM88" s="7">
        <v>8</v>
      </c>
      <c r="BN88" s="36">
        <v>102.732</v>
      </c>
      <c r="BO88" s="57">
        <v>-3.5833333333333286</v>
      </c>
      <c r="BP88" s="49">
        <v>-9.9825999999999908</v>
      </c>
    </row>
    <row r="89" spans="28:68" x14ac:dyDescent="0.3">
      <c r="AB89" s="53">
        <v>85</v>
      </c>
      <c r="AC89" s="7" t="s">
        <v>36</v>
      </c>
      <c r="AD89" s="7" t="s">
        <v>38</v>
      </c>
      <c r="AE89" s="36">
        <f>AVERAGEIFS('Regular Season'!T:T,'Regular Season'!R:R,'Summary Page'!AC89,'Regular Season'!S:S,'Summary Page'!AD89)</f>
        <v>114.46545454545456</v>
      </c>
      <c r="AF89" s="47">
        <f>AE89-VLOOKUP(AC89,'Summary Page (2)'!$B$5:$K$14,9,FALSE)</f>
        <v>-1.6123715415019149</v>
      </c>
      <c r="AG89" s="52">
        <f>COUNTIFS('Regular Season'!R:R,'Summary Page'!AC89,'Regular Season'!S:S,'Summary Page'!AD89)</f>
        <v>11</v>
      </c>
      <c r="AH89" s="36">
        <f>AVERAGEIFS('Regular Season'!U:U,'Regular Season'!S:S,'Summary Page'!AC89,'Regular Season'!R:R,'Summary Page'!AD89)</f>
        <v>96.19</v>
      </c>
      <c r="AI89" s="47">
        <f>AH89-VLOOKUP(AC89,'Summary Page (2)'!$B$5:$K$14,10,FALSE)</f>
        <v>1.4197560975609917</v>
      </c>
      <c r="AJ89" s="7">
        <f>COUNTIFS('Regular Season'!R:R,'Summary Page'!AD89,'Regular Season'!S:S,'Summary Page'!AC89)</f>
        <v>8</v>
      </c>
      <c r="AK89" s="36">
        <f t="shared" si="27"/>
        <v>106.77052631578948</v>
      </c>
      <c r="AL89" s="47">
        <f t="shared" si="28"/>
        <v>0.73420447670903854</v>
      </c>
      <c r="AM89" s="36">
        <f>AVERAGEIFS('Regular Season'!T:T,'Regular Season'!R:R,'Summary Page'!AD89,'Regular Season'!S:S,'Summary Page'!AC89)</f>
        <v>119.35749999999999</v>
      </c>
      <c r="AN89" s="47">
        <f>AM89-VLOOKUP(AD89,'Summary Page (2)'!$B$5:$K$14,9,FALSE)</f>
        <v>0.1693840579709871</v>
      </c>
      <c r="AO89" s="52">
        <f>COUNTIFS('Regular Season'!R:R,'Summary Page'!AD89,'Regular Season'!S:S,'Summary Page'!AC89)</f>
        <v>8</v>
      </c>
      <c r="AP89" s="36">
        <f>AVERAGEIFS('Regular Season'!U:U,'Regular Season'!S:S,'Summary Page'!AD89,'Regular Season'!R:R,'Summary Page'!AC89)</f>
        <v>93.085454545454539</v>
      </c>
      <c r="AQ89" s="47">
        <f>AP89-VLOOKUP(AD89,'Summary Page (2)'!$B$5:$K$14,10,FALSE)</f>
        <v>2.5390394511148457</v>
      </c>
      <c r="AR89" s="7">
        <f>COUNTIFS('Regular Season'!R:R,'Summary Page'!AC89,'Regular Season'!S:S,'Summary Page'!AD89)</f>
        <v>11</v>
      </c>
      <c r="AS89" s="36">
        <f t="shared" si="29"/>
        <v>104.14736842105262</v>
      </c>
      <c r="AT89" s="47">
        <f t="shared" si="30"/>
        <v>2.3079398496239918</v>
      </c>
      <c r="AU89" s="55">
        <f t="shared" si="31"/>
        <v>-1.5737353729149532</v>
      </c>
      <c r="AW89" s="53">
        <v>62</v>
      </c>
      <c r="AX89" s="7" t="s">
        <v>29</v>
      </c>
      <c r="AY89" s="59" t="s">
        <v>33</v>
      </c>
      <c r="AZ89" s="36">
        <v>113.75428571428571</v>
      </c>
      <c r="BA89" s="47">
        <v>-8.6726587301587301</v>
      </c>
      <c r="BB89" s="52">
        <v>7</v>
      </c>
      <c r="BC89" s="36">
        <v>100.354</v>
      </c>
      <c r="BD89" s="47">
        <v>1.9570769230768974</v>
      </c>
      <c r="BE89" s="7">
        <v>10</v>
      </c>
      <c r="BF89" s="36">
        <v>105.87176470588236</v>
      </c>
      <c r="BG89" s="57">
        <v>-4.0595686274509859</v>
      </c>
      <c r="BH89" s="36">
        <v>128.78199999999998</v>
      </c>
      <c r="BI89" s="47">
        <v>7.6957078651685009</v>
      </c>
      <c r="BJ89" s="52">
        <v>10</v>
      </c>
      <c r="BK89" s="36">
        <v>104.74285714285713</v>
      </c>
      <c r="BL89" s="47">
        <v>9.9569555035128872</v>
      </c>
      <c r="BM89" s="7">
        <v>7</v>
      </c>
      <c r="BN89" s="36">
        <v>118.88352941176468</v>
      </c>
      <c r="BO89" s="57">
        <v>8.492729411764671</v>
      </c>
      <c r="BP89" s="49">
        <v>-12.552298039215657</v>
      </c>
    </row>
    <row r="90" spans="28:68" x14ac:dyDescent="0.3">
      <c r="AB90" s="53">
        <v>86</v>
      </c>
      <c r="AC90" s="7" t="s">
        <v>36</v>
      </c>
      <c r="AD90" s="7" t="s">
        <v>37</v>
      </c>
      <c r="AE90" s="36">
        <f>AVERAGEIFS('Regular Season'!T:T,'Regular Season'!R:R,'Summary Page'!AC90,'Regular Season'!S:S,'Summary Page'!AD90)</f>
        <v>109.03800000000001</v>
      </c>
      <c r="AF90" s="47">
        <f>AE90-VLOOKUP(AC90,'Summary Page (2)'!$B$5:$K$14,9,FALSE)</f>
        <v>-7.0398260869564666</v>
      </c>
      <c r="AG90" s="52">
        <f>COUNTIFS('Regular Season'!R:R,'Summary Page'!AC90,'Regular Season'!S:S,'Summary Page'!AD90)</f>
        <v>10</v>
      </c>
      <c r="AH90" s="36">
        <f>AVERAGEIFS('Regular Season'!U:U,'Regular Season'!S:S,'Summary Page'!AC90,'Regular Season'!R:R,'Summary Page'!AD90)</f>
        <v>91.316000000000003</v>
      </c>
      <c r="AI90" s="47">
        <f>AH90-VLOOKUP(AC90,'Summary Page (2)'!$B$5:$K$14,10,FALSE)</f>
        <v>-3.4542439024390035</v>
      </c>
      <c r="AJ90" s="7">
        <f>COUNTIFS('Regular Season'!R:R,'Summary Page'!AD90,'Regular Season'!S:S,'Summary Page'!AC90)</f>
        <v>5</v>
      </c>
      <c r="AK90" s="36">
        <f t="shared" si="27"/>
        <v>103.13066666666667</v>
      </c>
      <c r="AL90" s="47">
        <f t="shared" si="28"/>
        <v>-2.9056551724137734</v>
      </c>
      <c r="AM90" s="36">
        <f>AVERAGEIFS('Regular Season'!T:T,'Regular Season'!R:R,'Summary Page'!AD90,'Regular Season'!S:S,'Summary Page'!AC90)</f>
        <v>120.968</v>
      </c>
      <c r="AN90" s="47">
        <f>AM90-VLOOKUP(AD90,'Summary Page (2)'!$B$5:$K$14,9,FALSE)</f>
        <v>5.1277560975609902</v>
      </c>
      <c r="AO90" s="52">
        <f>COUNTIFS('Regular Season'!R:R,'Summary Page'!AD90,'Regular Season'!S:S,'Summary Page'!AC90)</f>
        <v>5</v>
      </c>
      <c r="AP90" s="36">
        <f>AVERAGEIFS('Regular Season'!U:U,'Regular Season'!S:S,'Summary Page'!AD90,'Regular Season'!R:R,'Summary Page'!AC90)</f>
        <v>79.474000000000004</v>
      </c>
      <c r="AQ90" s="47">
        <f>AP90-VLOOKUP(AD90,'Summary Page (2)'!$B$5:$K$14,10,FALSE)</f>
        <v>-13.376760869565231</v>
      </c>
      <c r="AR90" s="7">
        <f>COUNTIFS('Regular Season'!R:R,'Summary Page'!AC90,'Regular Season'!S:S,'Summary Page'!AD90)</f>
        <v>10</v>
      </c>
      <c r="AS90" s="36">
        <f t="shared" si="29"/>
        <v>93.305333333333323</v>
      </c>
      <c r="AT90" s="47">
        <f t="shared" si="30"/>
        <v>-10.379551724137954</v>
      </c>
      <c r="AU90" s="55">
        <f t="shared" si="31"/>
        <v>7.4738965517241809</v>
      </c>
      <c r="AW90" s="53">
        <v>34</v>
      </c>
      <c r="AX90" s="7" t="s">
        <v>38</v>
      </c>
      <c r="AY90" s="59" t="s">
        <v>31</v>
      </c>
      <c r="AZ90" s="36">
        <v>118.69333333333334</v>
      </c>
      <c r="BA90" s="47">
        <v>0.83011904761902144</v>
      </c>
      <c r="BB90" s="52">
        <v>3</v>
      </c>
      <c r="BC90" s="36">
        <v>90.872727272727261</v>
      </c>
      <c r="BD90" s="47">
        <v>-2.3017408123848782E-2</v>
      </c>
      <c r="BE90" s="7">
        <v>11</v>
      </c>
      <c r="BF90" s="36">
        <v>96.834285714285699</v>
      </c>
      <c r="BG90" s="57">
        <v>-4.1293142857143437</v>
      </c>
      <c r="BH90" s="36">
        <v>127.55272727272727</v>
      </c>
      <c r="BI90" s="47">
        <v>6.979484029484027</v>
      </c>
      <c r="BJ90" s="52">
        <v>11</v>
      </c>
      <c r="BK90" s="36">
        <v>73.033333333333331</v>
      </c>
      <c r="BL90" s="47">
        <v>-20.364561403508802</v>
      </c>
      <c r="BM90" s="7">
        <v>3</v>
      </c>
      <c r="BN90" s="36">
        <v>115.86999999999999</v>
      </c>
      <c r="BO90" s="57">
        <v>9.0655999999999608</v>
      </c>
      <c r="BP90" s="49">
        <v>-13.194914285714304</v>
      </c>
    </row>
    <row r="91" spans="28:68" x14ac:dyDescent="0.3">
      <c r="AB91" s="53">
        <v>87</v>
      </c>
      <c r="AC91" s="7" t="s">
        <v>36</v>
      </c>
      <c r="AD91" s="7" t="s">
        <v>34</v>
      </c>
      <c r="AE91" s="36">
        <f>AVERAGEIFS('Regular Season'!T:T,'Regular Season'!R:R,'Summary Page'!AC91,'Regular Season'!S:S,'Summary Page'!AD91)</f>
        <v>111.77333333333333</v>
      </c>
      <c r="AF91" s="47">
        <f>AE91-VLOOKUP(AC91,'Summary Page (2)'!$B$5:$K$14,9,FALSE)</f>
        <v>-4.3044927536231512</v>
      </c>
      <c r="AG91" s="52">
        <f>COUNTIFS('Regular Season'!R:R,'Summary Page'!AC91,'Regular Season'!S:S,'Summary Page'!AD91)</f>
        <v>12</v>
      </c>
      <c r="AH91" s="36">
        <f>AVERAGEIFS('Regular Season'!U:U,'Regular Season'!S:S,'Summary Page'!AC91,'Regular Season'!R:R,'Summary Page'!AD91)</f>
        <v>91.318181818181813</v>
      </c>
      <c r="AI91" s="47">
        <f>AH91-VLOOKUP(AC91,'Summary Page (2)'!$B$5:$K$14,10,FALSE)</f>
        <v>-3.452062084257193</v>
      </c>
      <c r="AJ91" s="7">
        <f>COUNTIFS('Regular Season'!R:R,'Summary Page'!AD91,'Regular Season'!S:S,'Summary Page'!AC91)</f>
        <v>11</v>
      </c>
      <c r="AK91" s="36">
        <f t="shared" si="27"/>
        <v>101.99043478260869</v>
      </c>
      <c r="AL91" s="47">
        <f t="shared" si="28"/>
        <v>-4.0458870564717557</v>
      </c>
      <c r="AM91" s="36">
        <f>AVERAGEIFS('Regular Season'!T:T,'Regular Season'!R:R,'Summary Page'!AD91,'Regular Season'!S:S,'Summary Page'!AC91)</f>
        <v>99.525454545454537</v>
      </c>
      <c r="AN91" s="47">
        <f>AM91-VLOOKUP(AD91,'Summary Page (2)'!$B$5:$K$14,9,FALSE)</f>
        <v>-22.817182817182825</v>
      </c>
      <c r="AO91" s="52">
        <f>COUNTIFS('Regular Season'!R:R,'Summary Page'!AD91,'Regular Season'!S:S,'Summary Page'!AC91)</f>
        <v>11</v>
      </c>
      <c r="AP91" s="36">
        <f>AVERAGEIFS('Regular Season'!U:U,'Regular Season'!S:S,'Summary Page'!AD91,'Regular Season'!R:R,'Summary Page'!AC91)</f>
        <v>96.204999999999998</v>
      </c>
      <c r="AQ91" s="47">
        <f>AP91-VLOOKUP(AD91,'Summary Page (2)'!$B$5:$K$14,10,FALSE)</f>
        <v>-0.19499999999999318</v>
      </c>
      <c r="AR91" s="7">
        <f>COUNTIFS('Regular Season'!R:R,'Summary Page'!AC91,'Regular Season'!S:S,'Summary Page'!AD91)</f>
        <v>12</v>
      </c>
      <c r="AS91" s="36">
        <f t="shared" si="29"/>
        <v>97.793043478260856</v>
      </c>
      <c r="AT91" s="47">
        <f t="shared" si="30"/>
        <v>-12.174657671164411</v>
      </c>
      <c r="AU91" s="55">
        <f t="shared" si="31"/>
        <v>8.1287706146926553</v>
      </c>
      <c r="AW91" s="53">
        <v>82</v>
      </c>
      <c r="AX91" s="7" t="s">
        <v>36</v>
      </c>
      <c r="AY91" s="59" t="s">
        <v>32</v>
      </c>
      <c r="AZ91" s="36">
        <v>108.1</v>
      </c>
      <c r="BA91" s="47">
        <v>-9.4865853658536423</v>
      </c>
      <c r="BB91" s="52">
        <v>4</v>
      </c>
      <c r="BC91" s="36">
        <v>82.5</v>
      </c>
      <c r="BD91" s="47">
        <v>-10.223529411764702</v>
      </c>
      <c r="BE91" s="7">
        <v>8</v>
      </c>
      <c r="BF91" s="36">
        <v>91.033333333333346</v>
      </c>
      <c r="BG91" s="57">
        <v>-15.281999999999982</v>
      </c>
      <c r="BH91" s="36">
        <v>122.24000000000001</v>
      </c>
      <c r="BI91" s="47">
        <v>5.1385714285714528</v>
      </c>
      <c r="BJ91" s="52">
        <v>8</v>
      </c>
      <c r="BK91" s="36">
        <v>67.91</v>
      </c>
      <c r="BL91" s="47">
        <v>-25.655000000000015</v>
      </c>
      <c r="BM91" s="7">
        <v>4</v>
      </c>
      <c r="BN91" s="36">
        <v>104.13</v>
      </c>
      <c r="BO91" s="57">
        <v>-0.41866666666666674</v>
      </c>
      <c r="BP91" s="49">
        <v>-14.863333333333316</v>
      </c>
    </row>
    <row r="92" spans="28:68" x14ac:dyDescent="0.3">
      <c r="AB92" s="53">
        <v>88</v>
      </c>
      <c r="AC92" s="7" t="s">
        <v>36</v>
      </c>
      <c r="AD92" s="7" t="s">
        <v>29</v>
      </c>
      <c r="AE92" s="36">
        <f>AVERAGEIFS('Regular Season'!T:T,'Regular Season'!R:R,'Summary Page'!AC92,'Regular Season'!S:S,'Summary Page'!AD92)</f>
        <v>123.91499999999998</v>
      </c>
      <c r="AF92" s="47">
        <f>AE92-VLOOKUP(AC92,'Summary Page (2)'!$B$5:$K$14,9,FALSE)</f>
        <v>7.8371739130435003</v>
      </c>
      <c r="AG92" s="52">
        <f>COUNTIFS('Regular Season'!R:R,'Summary Page'!AC92,'Regular Season'!S:S,'Summary Page'!AD92)</f>
        <v>12</v>
      </c>
      <c r="AH92" s="36">
        <f>AVERAGEIFS('Regular Season'!U:U,'Regular Season'!S:S,'Summary Page'!AC92,'Regular Season'!R:R,'Summary Page'!AD92)</f>
        <v>112.00750000000001</v>
      </c>
      <c r="AI92" s="47">
        <f>AH92-VLOOKUP(AC92,'Summary Page (2)'!$B$5:$K$14,10,FALSE)</f>
        <v>17.237256097561001</v>
      </c>
      <c r="AJ92" s="7">
        <f>COUNTIFS('Regular Season'!R:R,'Summary Page'!AD92,'Regular Season'!S:S,'Summary Page'!AC92)</f>
        <v>8</v>
      </c>
      <c r="AK92" s="36">
        <f t="shared" si="27"/>
        <v>119.152</v>
      </c>
      <c r="AL92" s="47">
        <f t="shared" si="28"/>
        <v>13.115678160919558</v>
      </c>
      <c r="AM92" s="36">
        <f>AVERAGEIFS('Regular Season'!T:T,'Regular Season'!R:R,'Summary Page'!AD92,'Regular Season'!S:S,'Summary Page'!AC92)</f>
        <v>132.83999999999997</v>
      </c>
      <c r="AN92" s="47">
        <f>AM92-VLOOKUP(AD92,'Summary Page (2)'!$B$5:$K$14,9,FALSE)</f>
        <v>7.6813333333333276</v>
      </c>
      <c r="AO92" s="52">
        <f>COUNTIFS('Regular Season'!R:R,'Summary Page'!AD92,'Regular Season'!S:S,'Summary Page'!AC92)</f>
        <v>8</v>
      </c>
      <c r="AP92" s="36">
        <f>AVERAGEIFS('Regular Season'!U:U,'Regular Season'!S:S,'Summary Page'!AD92,'Regular Season'!R:R,'Summary Page'!AC92)</f>
        <v>94.001666666666665</v>
      </c>
      <c r="AQ92" s="47">
        <f>AP92-VLOOKUP(AD92,'Summary Page (2)'!$B$5:$K$14,10,FALSE)</f>
        <v>-4.9454761904762137</v>
      </c>
      <c r="AR92" s="7">
        <f>COUNTIFS('Regular Season'!R:R,'Summary Page'!AC92,'Regular Season'!S:S,'Summary Page'!AD92)</f>
        <v>12</v>
      </c>
      <c r="AS92" s="36">
        <f t="shared" si="29"/>
        <v>109.53699999999999</v>
      </c>
      <c r="AT92" s="47">
        <f t="shared" si="30"/>
        <v>-2.9678275862069086</v>
      </c>
      <c r="AU92" s="55">
        <f t="shared" si="31"/>
        <v>16.083505747126466</v>
      </c>
      <c r="AW92" s="53">
        <v>64</v>
      </c>
      <c r="AX92" s="7" t="s">
        <v>31</v>
      </c>
      <c r="AY92" s="59" t="s">
        <v>32</v>
      </c>
      <c r="AZ92" s="36">
        <v>105.1575</v>
      </c>
      <c r="BA92" s="47">
        <v>-15.415743243243242</v>
      </c>
      <c r="BB92" s="52">
        <v>8</v>
      </c>
      <c r="BC92" s="36">
        <v>87.259999999999991</v>
      </c>
      <c r="BD92" s="47">
        <v>-6.1378947368421422</v>
      </c>
      <c r="BE92" s="7">
        <v>13</v>
      </c>
      <c r="BF92" s="36">
        <v>94.07809523809523</v>
      </c>
      <c r="BG92" s="57">
        <v>-12.7263047619048</v>
      </c>
      <c r="BH92" s="36">
        <v>118.19230769230771</v>
      </c>
      <c r="BI92" s="47">
        <v>1.0908791208791513</v>
      </c>
      <c r="BJ92" s="52">
        <v>13</v>
      </c>
      <c r="BK92" s="36">
        <v>93.115000000000009</v>
      </c>
      <c r="BL92" s="47">
        <v>-0.45000000000000284</v>
      </c>
      <c r="BM92" s="7">
        <v>8</v>
      </c>
      <c r="BN92" s="36">
        <v>108.63904761904762</v>
      </c>
      <c r="BO92" s="57">
        <v>4.0903809523809542</v>
      </c>
      <c r="BP92" s="49">
        <v>-16.816685714285754</v>
      </c>
    </row>
    <row r="93" spans="28:68" x14ac:dyDescent="0.3">
      <c r="AB93" s="53">
        <v>89</v>
      </c>
      <c r="AC93" s="7" t="s">
        <v>36</v>
      </c>
      <c r="AD93" s="7" t="s">
        <v>31</v>
      </c>
      <c r="AE93" s="36">
        <f>AVERAGEIFS('Regular Season'!T:T,'Regular Season'!R:R,'Summary Page'!AC93,'Regular Season'!S:S,'Summary Page'!AD93)</f>
        <v>122.596</v>
      </c>
      <c r="AF93" s="47">
        <f>AE93-VLOOKUP(AC93,'Summary Page (2)'!$B$5:$K$14,9,FALSE)</f>
        <v>6.5181739130435261</v>
      </c>
      <c r="AG93" s="52">
        <f>COUNTIFS('Regular Season'!R:R,'Summary Page'!AC93,'Regular Season'!S:S,'Summary Page'!AD93)</f>
        <v>10</v>
      </c>
      <c r="AH93" s="36">
        <f>AVERAGEIFS('Regular Season'!U:U,'Regular Season'!S:S,'Summary Page'!AC93,'Regular Season'!R:R,'Summary Page'!AD93)</f>
        <v>99.062222222222218</v>
      </c>
      <c r="AI93" s="47">
        <f>AH93-VLOOKUP(AC93,'Summary Page (2)'!$B$5:$K$14,10,FALSE)</f>
        <v>4.2919783197832118</v>
      </c>
      <c r="AJ93" s="7">
        <f>COUNTIFS('Regular Season'!R:R,'Summary Page'!AD93,'Regular Season'!S:S,'Summary Page'!AC93)</f>
        <v>9</v>
      </c>
      <c r="AK93" s="36">
        <f t="shared" si="27"/>
        <v>111.44842105263157</v>
      </c>
      <c r="AL93" s="47">
        <f t="shared" si="28"/>
        <v>5.4120992135511301</v>
      </c>
      <c r="AM93" s="36">
        <f>AVERAGEIFS('Regular Season'!T:T,'Regular Season'!R:R,'Summary Page'!AD93,'Regular Season'!S:S,'Summary Page'!AC93)</f>
        <v>118.75555555555557</v>
      </c>
      <c r="AN93" s="47">
        <f>AM93-VLOOKUP(AD93,'Summary Page (2)'!$B$5:$K$14,9,FALSE)</f>
        <v>-1.6868253968253555</v>
      </c>
      <c r="AO93" s="52">
        <f>COUNTIFS('Regular Season'!R:R,'Summary Page'!AD93,'Regular Season'!S:S,'Summary Page'!AC93)</f>
        <v>9</v>
      </c>
      <c r="AP93" s="36">
        <f>AVERAGEIFS('Regular Season'!U:U,'Regular Season'!S:S,'Summary Page'!AD93,'Regular Season'!R:R,'Summary Page'!AC93)</f>
        <v>96.152000000000001</v>
      </c>
      <c r="AQ93" s="47">
        <f>AP93-VLOOKUP(AD93,'Summary Page (2)'!$B$5:$K$14,10,FALSE)</f>
        <v>1.6463181818181454</v>
      </c>
      <c r="AR93" s="7">
        <f>COUNTIFS('Regular Season'!R:R,'Summary Page'!AC93,'Regular Season'!S:S,'Summary Page'!AD93)</f>
        <v>10</v>
      </c>
      <c r="AS93" s="36">
        <f t="shared" si="29"/>
        <v>106.85894736842106</v>
      </c>
      <c r="AT93" s="47">
        <f t="shared" si="30"/>
        <v>-0.31349449204408586</v>
      </c>
      <c r="AU93" s="55">
        <f t="shared" si="31"/>
        <v>5.725593705595216</v>
      </c>
      <c r="AW93" s="53">
        <v>60</v>
      </c>
      <c r="AX93" s="7" t="s">
        <v>29</v>
      </c>
      <c r="AY93" s="59" t="s">
        <v>34</v>
      </c>
      <c r="AZ93" s="36">
        <v>136.16400000000002</v>
      </c>
      <c r="BA93" s="47">
        <v>13.737055555555571</v>
      </c>
      <c r="BB93" s="52">
        <v>5</v>
      </c>
      <c r="BC93" s="36">
        <v>100.67454545454547</v>
      </c>
      <c r="BD93" s="47">
        <v>2.2776223776223645</v>
      </c>
      <c r="BE93" s="7">
        <v>11</v>
      </c>
      <c r="BF93" s="36">
        <v>111.76500000000001</v>
      </c>
      <c r="BG93" s="57">
        <v>1.833666666666673</v>
      </c>
      <c r="BH93" s="36">
        <v>136.06727272727275</v>
      </c>
      <c r="BI93" s="47">
        <v>13.672842347525915</v>
      </c>
      <c r="BJ93" s="52">
        <v>11</v>
      </c>
      <c r="BK93" s="36">
        <v>114.97600000000003</v>
      </c>
      <c r="BL93" s="47">
        <v>17.932619718309894</v>
      </c>
      <c r="BM93" s="7">
        <v>5</v>
      </c>
      <c r="BN93" s="36">
        <v>129.47625000000002</v>
      </c>
      <c r="BO93" s="57">
        <v>19.081316666666709</v>
      </c>
      <c r="BP93" s="49">
        <v>-17.247650000000036</v>
      </c>
    </row>
    <row r="94" spans="28:68" x14ac:dyDescent="0.3">
      <c r="AB94" s="53">
        <v>90</v>
      </c>
      <c r="AC94" s="7" t="s">
        <v>36</v>
      </c>
      <c r="AD94" s="7" t="s">
        <v>33</v>
      </c>
      <c r="AE94" s="36">
        <f>AVERAGEIFS('Regular Season'!T:T,'Regular Season'!R:R,'Summary Page'!AC94,'Regular Season'!S:S,'Summary Page'!AD94)</f>
        <v>114.97333333333334</v>
      </c>
      <c r="AF94" s="47">
        <f>AE94-VLOOKUP(AC94,'Summary Page (2)'!$B$5:$K$14,9,FALSE)</f>
        <v>-1.1044927536231341</v>
      </c>
      <c r="AG94" s="52">
        <f>COUNTIFS('Regular Season'!R:R,'Summary Page'!AC94,'Regular Season'!S:S,'Summary Page'!AD94)</f>
        <v>6</v>
      </c>
      <c r="AH94" s="36">
        <f>AVERAGEIFS('Regular Season'!U:U,'Regular Season'!S:S,'Summary Page'!AC94,'Regular Season'!R:R,'Summary Page'!AD94)</f>
        <v>97.754285714285714</v>
      </c>
      <c r="AI94" s="47">
        <f>AH94-VLOOKUP(AC94,'Summary Page (2)'!$B$5:$K$14,10,FALSE)</f>
        <v>2.9840418118467085</v>
      </c>
      <c r="AJ94" s="7">
        <f>COUNTIFS('Regular Season'!R:R,'Summary Page'!AD94,'Regular Season'!S:S,'Summary Page'!AC94)</f>
        <v>7</v>
      </c>
      <c r="AK94" s="36">
        <f t="shared" si="27"/>
        <v>105.70153846153845</v>
      </c>
      <c r="AL94" s="47">
        <f t="shared" si="28"/>
        <v>-0.33478337754199572</v>
      </c>
      <c r="AM94" s="36">
        <f>AVERAGEIFS('Regular Season'!T:T,'Regular Season'!R:R,'Summary Page'!AD94,'Regular Season'!S:S,'Summary Page'!AC94)</f>
        <v>123.15428571428571</v>
      </c>
      <c r="AN94" s="47">
        <f>AM94-VLOOKUP(AD94,'Summary Page (2)'!$B$5:$K$14,9,FALSE)</f>
        <v>2.3980112044817758</v>
      </c>
      <c r="AO94" s="52">
        <f>COUNTIFS('Regular Season'!R:R,'Summary Page'!AD94,'Regular Season'!S:S,'Summary Page'!AC94)</f>
        <v>7</v>
      </c>
      <c r="AP94" s="36">
        <f>AVERAGEIFS('Regular Season'!U:U,'Regular Season'!S:S,'Summary Page'!AD94,'Regular Season'!R:R,'Summary Page'!AC94)</f>
        <v>93.02</v>
      </c>
      <c r="AQ94" s="47">
        <f>AP94-VLOOKUP(AD94,'Summary Page (2)'!$B$5:$K$14,10,FALSE)</f>
        <v>-3.6724324324324158</v>
      </c>
      <c r="AR94" s="7">
        <f>COUNTIFS('Regular Season'!R:R,'Summary Page'!AC94,'Regular Season'!S:S,'Summary Page'!AD94)</f>
        <v>6</v>
      </c>
      <c r="AS94" s="36">
        <f t="shared" si="29"/>
        <v>109.24615384615383</v>
      </c>
      <c r="AT94" s="47">
        <f t="shared" si="30"/>
        <v>-1.3923688811188981</v>
      </c>
      <c r="AU94" s="55">
        <f t="shared" si="31"/>
        <v>1.0575855035769024</v>
      </c>
      <c r="AW94" s="53">
        <v>63</v>
      </c>
      <c r="AX94" s="7" t="s">
        <v>29</v>
      </c>
      <c r="AY94" s="59" t="s">
        <v>36</v>
      </c>
      <c r="AZ94" s="36">
        <v>128.02799999999999</v>
      </c>
      <c r="BA94" s="47">
        <v>5.601055555555547</v>
      </c>
      <c r="BB94" s="52">
        <v>5</v>
      </c>
      <c r="BC94" s="36">
        <v>94.001666666666665</v>
      </c>
      <c r="BD94" s="47">
        <v>-4.3952564102564367</v>
      </c>
      <c r="BE94" s="7">
        <v>12</v>
      </c>
      <c r="BF94" s="36">
        <v>104.00941176470587</v>
      </c>
      <c r="BG94" s="57">
        <v>-5.921921568627468</v>
      </c>
      <c r="BH94" s="36">
        <v>123.91499999999998</v>
      </c>
      <c r="BI94" s="47">
        <v>6.3284146341463412</v>
      </c>
      <c r="BJ94" s="52">
        <v>12</v>
      </c>
      <c r="BK94" s="36">
        <v>108.6</v>
      </c>
      <c r="BL94" s="47">
        <v>15.876470588235293</v>
      </c>
      <c r="BM94" s="7">
        <v>5</v>
      </c>
      <c r="BN94" s="36">
        <v>119.4105882352941</v>
      </c>
      <c r="BO94" s="57">
        <v>13.095254901960772</v>
      </c>
      <c r="BP94" s="49">
        <v>-19.01717647058824</v>
      </c>
    </row>
  </sheetData>
  <mergeCells count="10">
    <mergeCell ref="AE3:AL3"/>
    <mergeCell ref="AM3:AT3"/>
    <mergeCell ref="AZ3:BG3"/>
    <mergeCell ref="BH3:BO3"/>
    <mergeCell ref="C46:H46"/>
    <mergeCell ref="I46:N46"/>
    <mergeCell ref="C32:E32"/>
    <mergeCell ref="F32:H32"/>
    <mergeCell ref="I32:K32"/>
    <mergeCell ref="B30:C30"/>
  </mergeCells>
  <conditionalFormatting sqref="E5:E14 E18:E27">
    <cfRule type="cellIs" dxfId="23" priority="22" operator="lessThan">
      <formula>0.5</formula>
    </cfRule>
    <cfRule type="cellIs" dxfId="22" priority="23" operator="greaterThan">
      <formula>0.5</formula>
    </cfRule>
    <cfRule type="cellIs" dxfId="21" priority="24" operator="equal">
      <formula>0.5</formula>
    </cfRule>
  </conditionalFormatting>
  <conditionalFormatting sqref="E34:E43">
    <cfRule type="cellIs" dxfId="20" priority="19" operator="lessThan">
      <formula>0.5</formula>
    </cfRule>
    <cfRule type="cellIs" dxfId="19" priority="20" operator="greaterThan">
      <formula>0.5</formula>
    </cfRule>
    <cfRule type="cellIs" dxfId="18" priority="21" operator="equal">
      <formula>0.5</formula>
    </cfRule>
  </conditionalFormatting>
  <conditionalFormatting sqref="H34:H43">
    <cfRule type="cellIs" dxfId="17" priority="13" operator="lessThan">
      <formula>0.5</formula>
    </cfRule>
    <cfRule type="cellIs" dxfId="16" priority="14" operator="greaterThan">
      <formula>0.5</formula>
    </cfRule>
    <cfRule type="cellIs" dxfId="15" priority="15" operator="equal">
      <formula>0.5</formula>
    </cfRule>
  </conditionalFormatting>
  <conditionalFormatting sqref="K34:K43">
    <cfRule type="cellIs" dxfId="14" priority="10" operator="lessThan">
      <formula>0.5</formula>
    </cfRule>
    <cfRule type="cellIs" dxfId="13" priority="11" operator="greaterThan">
      <formula>0.5</formula>
    </cfRule>
    <cfRule type="cellIs" dxfId="12" priority="12" operator="equal">
      <formula>0.5</formula>
    </cfRule>
  </conditionalFormatting>
  <dataValidations count="1">
    <dataValidation type="list" allowBlank="1" showInputMessage="1" showErrorMessage="1" sqref="D30" xr:uid="{DB467572-759A-4F98-BED4-FD970F7311B3}">
      <formula1>teams</formula1>
    </dataValidation>
  </dataValidations>
  <pageMargins left="0.7" right="0.7" top="0.75" bottom="0.75" header="0.3" footer="0.3"/>
  <pageSetup orientation="portrait" r:id="rId1"/>
  <ignoredErrors>
    <ignoredError sqref="E44 H4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16FA-BE16-4F1B-B472-6CFCBAE353C4}">
  <dimension ref="A1:U871"/>
  <sheetViews>
    <sheetView zoomScale="85" zoomScaleNormal="85" workbookViewId="0">
      <pane ySplit="1" topLeftCell="A541" activePane="bottomLeft" state="frozen"/>
      <selection pane="bottomLeft" sqref="A1:XFD1"/>
    </sheetView>
    <sheetView topLeftCell="E1" workbookViewId="1">
      <selection sqref="A1:U1"/>
    </sheetView>
  </sheetViews>
  <sheetFormatPr defaultRowHeight="14.4" x14ac:dyDescent="0.3"/>
  <cols>
    <col min="2" max="3" width="23.109375" bestFit="1" customWidth="1"/>
    <col min="11" max="11" width="15.88671875" bestFit="1" customWidth="1"/>
    <col min="13" max="13" width="15.88671875" bestFit="1" customWidth="1"/>
    <col min="18" max="19" width="15.88671875" bestFit="1" customWidth="1"/>
  </cols>
  <sheetData>
    <row r="1" spans="1:21" x14ac:dyDescent="0.3">
      <c r="A1" s="11" t="s">
        <v>22</v>
      </c>
      <c r="B1" s="11" t="s">
        <v>119</v>
      </c>
      <c r="C1" s="11" t="s">
        <v>120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21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27</v>
      </c>
      <c r="U1" s="11" t="s">
        <v>28</v>
      </c>
    </row>
    <row r="2" spans="1:21" x14ac:dyDescent="0.3">
      <c r="A2">
        <v>1</v>
      </c>
      <c r="B2" t="str">
        <f>H2&amp;R2&amp;I2</f>
        <v>2013Graham/Michael1</v>
      </c>
      <c r="C2" t="str">
        <f>H2&amp;S2&amp;I2</f>
        <v>2013Drew/Cam1</v>
      </c>
      <c r="D2">
        <f t="shared" ref="D2:D65" si="0">RANK(Q2,Q:Q)</f>
        <v>382</v>
      </c>
      <c r="E2">
        <f t="shared" ref="E2:E65" si="1">RANK(P2,P:P)</f>
        <v>399</v>
      </c>
      <c r="F2">
        <f t="shared" ref="F2:F65" si="2">RANK(T2,T:T)</f>
        <v>422</v>
      </c>
      <c r="G2">
        <f t="shared" ref="G2:G65" si="3">RANK(U2,U:U)</f>
        <v>391</v>
      </c>
      <c r="H2">
        <v>2013</v>
      </c>
      <c r="I2">
        <v>1</v>
      </c>
      <c r="J2">
        <v>0</v>
      </c>
      <c r="K2" t="s">
        <v>29</v>
      </c>
      <c r="L2">
        <v>120.5</v>
      </c>
      <c r="M2" t="s">
        <v>37</v>
      </c>
      <c r="N2">
        <v>96.5</v>
      </c>
      <c r="O2" t="s">
        <v>20</v>
      </c>
      <c r="P2">
        <f t="shared" ref="P2:P65" si="4">SUM(L2,N2)</f>
        <v>217</v>
      </c>
      <c r="Q2">
        <f t="shared" ref="Q2:Q65" si="5">ABS(L2-N2)</f>
        <v>24</v>
      </c>
      <c r="R2" t="str">
        <f t="shared" ref="R2:R65" si="6">IF(L2&gt;N2,K2,M2)</f>
        <v>Graham/Michael</v>
      </c>
      <c r="S2" t="str">
        <f t="shared" ref="S2:S65" si="7">IF(L2&gt;N2,M2,K2)</f>
        <v>Drew/Cam</v>
      </c>
      <c r="T2">
        <f t="shared" ref="T2:T65" si="8">IF(L2&gt;N2,L2,N2)</f>
        <v>120.5</v>
      </c>
      <c r="U2">
        <f t="shared" ref="U2:U65" si="9">IF(L2&gt;N2,N2,L2)</f>
        <v>96.5</v>
      </c>
    </row>
    <row r="3" spans="1:21" x14ac:dyDescent="0.3">
      <c r="A3">
        <v>2</v>
      </c>
      <c r="B3" t="str">
        <f>H3&amp;R3&amp;I3</f>
        <v>2013Walker/Cory1</v>
      </c>
      <c r="C3" t="str">
        <f>H3&amp;S3&amp;I3</f>
        <v>2013Dave/Nolan1</v>
      </c>
      <c r="D3">
        <f t="shared" si="0"/>
        <v>494</v>
      </c>
      <c r="E3">
        <f t="shared" si="1"/>
        <v>52</v>
      </c>
      <c r="F3">
        <f t="shared" si="2"/>
        <v>108</v>
      </c>
      <c r="G3">
        <f t="shared" si="3"/>
        <v>36</v>
      </c>
      <c r="H3">
        <v>2013</v>
      </c>
      <c r="I3">
        <v>1</v>
      </c>
      <c r="J3">
        <v>1</v>
      </c>
      <c r="K3" t="s">
        <v>30</v>
      </c>
      <c r="L3">
        <v>126.5</v>
      </c>
      <c r="M3" t="s">
        <v>36</v>
      </c>
      <c r="N3">
        <v>144.5</v>
      </c>
      <c r="O3" t="s">
        <v>20</v>
      </c>
      <c r="P3">
        <f t="shared" si="4"/>
        <v>271</v>
      </c>
      <c r="Q3">
        <f t="shared" si="5"/>
        <v>18</v>
      </c>
      <c r="R3" t="str">
        <f t="shared" si="6"/>
        <v>Walker/Cory</v>
      </c>
      <c r="S3" t="str">
        <f t="shared" si="7"/>
        <v>Dave/Nolan</v>
      </c>
      <c r="T3">
        <f t="shared" si="8"/>
        <v>144.5</v>
      </c>
      <c r="U3">
        <f t="shared" si="9"/>
        <v>126.5</v>
      </c>
    </row>
    <row r="4" spans="1:21" x14ac:dyDescent="0.3">
      <c r="A4">
        <v>3</v>
      </c>
      <c r="B4" t="str">
        <f>H4&amp;R4&amp;I4</f>
        <v>2013Pat/Tucker1</v>
      </c>
      <c r="C4" t="str">
        <f>H4&amp;S4&amp;I4</f>
        <v>2013Eric/Blake1</v>
      </c>
      <c r="D4">
        <f t="shared" si="0"/>
        <v>291</v>
      </c>
      <c r="E4">
        <f t="shared" si="1"/>
        <v>39</v>
      </c>
      <c r="F4">
        <f t="shared" si="2"/>
        <v>59</v>
      </c>
      <c r="G4">
        <f t="shared" si="3"/>
        <v>63</v>
      </c>
      <c r="H4">
        <v>2013</v>
      </c>
      <c r="I4">
        <v>1</v>
      </c>
      <c r="J4">
        <v>2</v>
      </c>
      <c r="K4" t="s">
        <v>31</v>
      </c>
      <c r="L4">
        <v>152.5</v>
      </c>
      <c r="M4" t="s">
        <v>34</v>
      </c>
      <c r="N4">
        <v>121.5</v>
      </c>
      <c r="O4" t="s">
        <v>20</v>
      </c>
      <c r="P4">
        <f t="shared" si="4"/>
        <v>274</v>
      </c>
      <c r="Q4">
        <f t="shared" si="5"/>
        <v>31</v>
      </c>
      <c r="R4" t="str">
        <f t="shared" si="6"/>
        <v>Pat/Tucker</v>
      </c>
      <c r="S4" t="str">
        <f t="shared" si="7"/>
        <v>Eric/Blake</v>
      </c>
      <c r="T4">
        <f t="shared" si="8"/>
        <v>152.5</v>
      </c>
      <c r="U4">
        <f t="shared" si="9"/>
        <v>121.5</v>
      </c>
    </row>
    <row r="5" spans="1:21" x14ac:dyDescent="0.3">
      <c r="A5">
        <v>4</v>
      </c>
      <c r="B5" t="str">
        <f>H5&amp;R5&amp;I5</f>
        <v>2013Clay/Ryan1</v>
      </c>
      <c r="C5" t="str">
        <f>H5&amp;S5&amp;I5</f>
        <v>2013Brian/Travis1</v>
      </c>
      <c r="D5">
        <f t="shared" si="0"/>
        <v>232</v>
      </c>
      <c r="E5">
        <f t="shared" si="1"/>
        <v>744</v>
      </c>
      <c r="F5">
        <f t="shared" si="2"/>
        <v>613</v>
      </c>
      <c r="G5">
        <f t="shared" si="3"/>
        <v>784</v>
      </c>
      <c r="H5">
        <v>2013</v>
      </c>
      <c r="I5">
        <v>1</v>
      </c>
      <c r="J5">
        <v>3</v>
      </c>
      <c r="K5" t="s">
        <v>32</v>
      </c>
      <c r="L5">
        <v>71</v>
      </c>
      <c r="M5" t="s">
        <v>35</v>
      </c>
      <c r="N5">
        <v>107.5</v>
      </c>
      <c r="O5" t="s">
        <v>20</v>
      </c>
      <c r="P5">
        <f t="shared" si="4"/>
        <v>178.5</v>
      </c>
      <c r="Q5">
        <f t="shared" si="5"/>
        <v>36.5</v>
      </c>
      <c r="R5" t="str">
        <f t="shared" si="6"/>
        <v>Clay/Ryan</v>
      </c>
      <c r="S5" t="str">
        <f t="shared" si="7"/>
        <v>Brian/Travis</v>
      </c>
      <c r="T5">
        <f t="shared" si="8"/>
        <v>107.5</v>
      </c>
      <c r="U5">
        <f t="shared" si="9"/>
        <v>71</v>
      </c>
    </row>
    <row r="6" spans="1:21" x14ac:dyDescent="0.3">
      <c r="A6">
        <v>5</v>
      </c>
      <c r="B6" t="str">
        <f>H6&amp;R6&amp;I6</f>
        <v>2013Trent/Colin1</v>
      </c>
      <c r="C6" t="str">
        <f>H6&amp;S6&amp;I6</f>
        <v>2013David/Marshall1</v>
      </c>
      <c r="D6">
        <f t="shared" si="0"/>
        <v>674</v>
      </c>
      <c r="E6">
        <f t="shared" si="1"/>
        <v>693</v>
      </c>
      <c r="F6">
        <f t="shared" si="2"/>
        <v>745</v>
      </c>
      <c r="G6">
        <f t="shared" si="3"/>
        <v>544</v>
      </c>
      <c r="H6">
        <v>2013</v>
      </c>
      <c r="I6">
        <v>1</v>
      </c>
      <c r="J6">
        <v>4</v>
      </c>
      <c r="K6" t="s">
        <v>33</v>
      </c>
      <c r="L6">
        <v>97</v>
      </c>
      <c r="M6" t="s">
        <v>38</v>
      </c>
      <c r="N6">
        <v>88</v>
      </c>
      <c r="O6" t="s">
        <v>20</v>
      </c>
      <c r="P6">
        <f t="shared" si="4"/>
        <v>185</v>
      </c>
      <c r="Q6">
        <f t="shared" si="5"/>
        <v>9</v>
      </c>
      <c r="R6" t="str">
        <f t="shared" si="6"/>
        <v>Trent/Colin</v>
      </c>
      <c r="S6" t="str">
        <f t="shared" si="7"/>
        <v>David/Marshall</v>
      </c>
      <c r="T6">
        <f t="shared" si="8"/>
        <v>97</v>
      </c>
      <c r="U6">
        <f t="shared" si="9"/>
        <v>88</v>
      </c>
    </row>
    <row r="7" spans="1:21" x14ac:dyDescent="0.3">
      <c r="A7">
        <v>6</v>
      </c>
      <c r="B7" t="str">
        <f>H7&amp;R7&amp;I7</f>
        <v>2013Eric/Blake2</v>
      </c>
      <c r="C7" t="str">
        <f>H7&amp;S7&amp;I7</f>
        <v>2013Walker/Cory2</v>
      </c>
      <c r="D7">
        <f t="shared" si="0"/>
        <v>780</v>
      </c>
      <c r="E7">
        <f t="shared" si="1"/>
        <v>502</v>
      </c>
      <c r="F7">
        <f t="shared" si="2"/>
        <v>642</v>
      </c>
      <c r="G7">
        <f t="shared" si="3"/>
        <v>303</v>
      </c>
      <c r="H7">
        <v>2013</v>
      </c>
      <c r="I7">
        <v>2</v>
      </c>
      <c r="J7">
        <v>5</v>
      </c>
      <c r="K7" t="s">
        <v>36</v>
      </c>
      <c r="L7">
        <v>101</v>
      </c>
      <c r="M7" t="s">
        <v>34</v>
      </c>
      <c r="N7">
        <v>105.5</v>
      </c>
      <c r="O7" t="s">
        <v>20</v>
      </c>
      <c r="P7">
        <f t="shared" si="4"/>
        <v>206.5</v>
      </c>
      <c r="Q7">
        <f t="shared" si="5"/>
        <v>4.5</v>
      </c>
      <c r="R7" t="str">
        <f t="shared" si="6"/>
        <v>Eric/Blake</v>
      </c>
      <c r="S7" t="str">
        <f t="shared" si="7"/>
        <v>Walker/Cory</v>
      </c>
      <c r="T7">
        <f t="shared" si="8"/>
        <v>105.5</v>
      </c>
      <c r="U7">
        <f t="shared" si="9"/>
        <v>101</v>
      </c>
    </row>
    <row r="8" spans="1:21" x14ac:dyDescent="0.3">
      <c r="A8">
        <v>7</v>
      </c>
      <c r="B8" t="str">
        <f>H8&amp;R8&amp;I8</f>
        <v>2013Clay/Ryan2</v>
      </c>
      <c r="C8" t="str">
        <f>H8&amp;S8&amp;I8</f>
        <v>2013Graham/Michael2</v>
      </c>
      <c r="D8">
        <f t="shared" si="0"/>
        <v>10</v>
      </c>
      <c r="E8">
        <f t="shared" si="1"/>
        <v>120</v>
      </c>
      <c r="F8">
        <f t="shared" si="2"/>
        <v>15</v>
      </c>
      <c r="G8">
        <f t="shared" si="3"/>
        <v>628</v>
      </c>
      <c r="H8">
        <v>2013</v>
      </c>
      <c r="I8">
        <v>2</v>
      </c>
      <c r="J8">
        <v>6</v>
      </c>
      <c r="K8" t="s">
        <v>35</v>
      </c>
      <c r="L8">
        <v>168.5</v>
      </c>
      <c r="M8" t="s">
        <v>29</v>
      </c>
      <c r="N8">
        <v>84</v>
      </c>
      <c r="O8" t="s">
        <v>20</v>
      </c>
      <c r="P8">
        <f t="shared" si="4"/>
        <v>252.5</v>
      </c>
      <c r="Q8">
        <f t="shared" si="5"/>
        <v>84.5</v>
      </c>
      <c r="R8" t="str">
        <f t="shared" si="6"/>
        <v>Clay/Ryan</v>
      </c>
      <c r="S8" t="str">
        <f t="shared" si="7"/>
        <v>Graham/Michael</v>
      </c>
      <c r="T8">
        <f t="shared" si="8"/>
        <v>168.5</v>
      </c>
      <c r="U8">
        <f t="shared" si="9"/>
        <v>84</v>
      </c>
    </row>
    <row r="9" spans="1:21" x14ac:dyDescent="0.3">
      <c r="A9">
        <v>8</v>
      </c>
      <c r="B9" t="str">
        <f>H9&amp;R9&amp;I9</f>
        <v>2013Drew/Cam2</v>
      </c>
      <c r="C9" t="str">
        <f>H9&amp;S9&amp;I9</f>
        <v>2013David/Marshall2</v>
      </c>
      <c r="D9">
        <f t="shared" si="0"/>
        <v>759</v>
      </c>
      <c r="E9">
        <f t="shared" si="1"/>
        <v>846</v>
      </c>
      <c r="F9">
        <f t="shared" si="2"/>
        <v>859</v>
      </c>
      <c r="G9">
        <f t="shared" si="3"/>
        <v>765</v>
      </c>
      <c r="H9">
        <v>2013</v>
      </c>
      <c r="I9">
        <v>2</v>
      </c>
      <c r="J9">
        <v>7</v>
      </c>
      <c r="K9" t="s">
        <v>38</v>
      </c>
      <c r="L9">
        <v>73</v>
      </c>
      <c r="M9" t="s">
        <v>37</v>
      </c>
      <c r="N9">
        <v>78.5</v>
      </c>
      <c r="O9" t="s">
        <v>20</v>
      </c>
      <c r="P9">
        <f t="shared" si="4"/>
        <v>151.5</v>
      </c>
      <c r="Q9">
        <f t="shared" si="5"/>
        <v>5.5</v>
      </c>
      <c r="R9" t="str">
        <f t="shared" si="6"/>
        <v>Drew/Cam</v>
      </c>
      <c r="S9" t="str">
        <f t="shared" si="7"/>
        <v>David/Marshall</v>
      </c>
      <c r="T9">
        <f t="shared" si="8"/>
        <v>78.5</v>
      </c>
      <c r="U9">
        <f t="shared" si="9"/>
        <v>73</v>
      </c>
    </row>
    <row r="10" spans="1:21" x14ac:dyDescent="0.3">
      <c r="A10">
        <v>9</v>
      </c>
      <c r="B10" t="str">
        <f>H10&amp;R10&amp;I10</f>
        <v>2013Brian/Travis2</v>
      </c>
      <c r="C10" t="str">
        <f>H10&amp;S10&amp;I10</f>
        <v>2013Dave/Nolan2</v>
      </c>
      <c r="D10">
        <f t="shared" si="0"/>
        <v>759</v>
      </c>
      <c r="E10">
        <f t="shared" si="1"/>
        <v>569</v>
      </c>
      <c r="F10">
        <f t="shared" si="2"/>
        <v>685</v>
      </c>
      <c r="G10">
        <f t="shared" si="3"/>
        <v>381</v>
      </c>
      <c r="H10">
        <v>2013</v>
      </c>
      <c r="I10">
        <v>2</v>
      </c>
      <c r="J10">
        <v>8</v>
      </c>
      <c r="K10" t="s">
        <v>32</v>
      </c>
      <c r="L10">
        <v>102.5</v>
      </c>
      <c r="M10" t="s">
        <v>30</v>
      </c>
      <c r="N10">
        <v>97</v>
      </c>
      <c r="O10" t="s">
        <v>20</v>
      </c>
      <c r="P10">
        <f t="shared" si="4"/>
        <v>199.5</v>
      </c>
      <c r="Q10">
        <f t="shared" si="5"/>
        <v>5.5</v>
      </c>
      <c r="R10" t="str">
        <f t="shared" si="6"/>
        <v>Brian/Travis</v>
      </c>
      <c r="S10" t="str">
        <f t="shared" si="7"/>
        <v>Dave/Nolan</v>
      </c>
      <c r="T10">
        <f t="shared" si="8"/>
        <v>102.5</v>
      </c>
      <c r="U10">
        <f t="shared" si="9"/>
        <v>97</v>
      </c>
    </row>
    <row r="11" spans="1:21" x14ac:dyDescent="0.3">
      <c r="A11">
        <v>10</v>
      </c>
      <c r="B11" t="str">
        <f>H11&amp;R11&amp;I11</f>
        <v>2013Pat/Tucker2</v>
      </c>
      <c r="C11" t="str">
        <f>H11&amp;S11&amp;I11</f>
        <v>2013Trent/Colin2</v>
      </c>
      <c r="D11">
        <f t="shared" si="0"/>
        <v>26</v>
      </c>
      <c r="E11">
        <f t="shared" si="1"/>
        <v>676</v>
      </c>
      <c r="F11">
        <f t="shared" si="2"/>
        <v>286</v>
      </c>
      <c r="G11">
        <f t="shared" si="3"/>
        <v>850</v>
      </c>
      <c r="H11">
        <v>2013</v>
      </c>
      <c r="I11">
        <v>2</v>
      </c>
      <c r="J11">
        <v>9</v>
      </c>
      <c r="K11" t="s">
        <v>33</v>
      </c>
      <c r="L11">
        <v>59</v>
      </c>
      <c r="M11" t="s">
        <v>31</v>
      </c>
      <c r="N11">
        <v>128</v>
      </c>
      <c r="O11" t="s">
        <v>20</v>
      </c>
      <c r="P11">
        <f t="shared" si="4"/>
        <v>187</v>
      </c>
      <c r="Q11">
        <f t="shared" si="5"/>
        <v>69</v>
      </c>
      <c r="R11" t="str">
        <f t="shared" si="6"/>
        <v>Pat/Tucker</v>
      </c>
      <c r="S11" t="str">
        <f t="shared" si="7"/>
        <v>Trent/Colin</v>
      </c>
      <c r="T11">
        <f t="shared" si="8"/>
        <v>128</v>
      </c>
      <c r="U11">
        <f t="shared" si="9"/>
        <v>59</v>
      </c>
    </row>
    <row r="12" spans="1:21" x14ac:dyDescent="0.3">
      <c r="A12">
        <v>11</v>
      </c>
      <c r="B12" t="str">
        <f>H12&amp;R12&amp;I12</f>
        <v>2013Clay/Ryan3</v>
      </c>
      <c r="C12" t="str">
        <f>H12&amp;S12&amp;I12</f>
        <v>2013David/Marshall3</v>
      </c>
      <c r="D12">
        <f t="shared" si="0"/>
        <v>91</v>
      </c>
      <c r="E12">
        <f t="shared" si="1"/>
        <v>647</v>
      </c>
      <c r="F12">
        <f t="shared" si="2"/>
        <v>411</v>
      </c>
      <c r="G12">
        <f t="shared" si="3"/>
        <v>801</v>
      </c>
      <c r="H12">
        <v>2013</v>
      </c>
      <c r="I12">
        <v>3</v>
      </c>
      <c r="J12">
        <v>10</v>
      </c>
      <c r="K12" t="s">
        <v>35</v>
      </c>
      <c r="L12">
        <v>121</v>
      </c>
      <c r="M12" t="s">
        <v>38</v>
      </c>
      <c r="N12">
        <v>69.5</v>
      </c>
      <c r="O12" t="s">
        <v>20</v>
      </c>
      <c r="P12">
        <f t="shared" si="4"/>
        <v>190.5</v>
      </c>
      <c r="Q12">
        <f t="shared" si="5"/>
        <v>51.5</v>
      </c>
      <c r="R12" t="str">
        <f t="shared" si="6"/>
        <v>Clay/Ryan</v>
      </c>
      <c r="S12" t="str">
        <f t="shared" si="7"/>
        <v>David/Marshall</v>
      </c>
      <c r="T12">
        <f t="shared" si="8"/>
        <v>121</v>
      </c>
      <c r="U12">
        <f t="shared" si="9"/>
        <v>69.5</v>
      </c>
    </row>
    <row r="13" spans="1:21" x14ac:dyDescent="0.3">
      <c r="A13">
        <v>12</v>
      </c>
      <c r="B13" t="str">
        <f>H13&amp;R13&amp;I13</f>
        <v>2013Walker/Cory3</v>
      </c>
      <c r="C13" t="str">
        <f>H13&amp;S13&amp;I13</f>
        <v>2013Brian/Travis3</v>
      </c>
      <c r="D13">
        <f t="shared" si="0"/>
        <v>84</v>
      </c>
      <c r="E13">
        <f t="shared" si="1"/>
        <v>431</v>
      </c>
      <c r="F13">
        <f t="shared" si="2"/>
        <v>219</v>
      </c>
      <c r="G13">
        <f t="shared" si="3"/>
        <v>682</v>
      </c>
      <c r="H13">
        <v>2013</v>
      </c>
      <c r="I13">
        <v>3</v>
      </c>
      <c r="J13">
        <v>11</v>
      </c>
      <c r="K13" t="s">
        <v>36</v>
      </c>
      <c r="L13">
        <v>133</v>
      </c>
      <c r="M13" t="s">
        <v>32</v>
      </c>
      <c r="N13">
        <v>80</v>
      </c>
      <c r="O13" t="s">
        <v>20</v>
      </c>
      <c r="P13">
        <f t="shared" si="4"/>
        <v>213</v>
      </c>
      <c r="Q13">
        <f t="shared" si="5"/>
        <v>53</v>
      </c>
      <c r="R13" t="str">
        <f t="shared" si="6"/>
        <v>Walker/Cory</v>
      </c>
      <c r="S13" t="str">
        <f t="shared" si="7"/>
        <v>Brian/Travis</v>
      </c>
      <c r="T13">
        <f t="shared" si="8"/>
        <v>133</v>
      </c>
      <c r="U13">
        <f t="shared" si="9"/>
        <v>80</v>
      </c>
    </row>
    <row r="14" spans="1:21" x14ac:dyDescent="0.3">
      <c r="A14">
        <v>13</v>
      </c>
      <c r="B14" t="str">
        <f>H14&amp;R14&amp;I14</f>
        <v>2013Eric/Blake3</v>
      </c>
      <c r="C14" t="str">
        <f>H14&amp;S14&amp;I14</f>
        <v>2013Trent/Colin3</v>
      </c>
      <c r="D14">
        <f t="shared" si="0"/>
        <v>171</v>
      </c>
      <c r="E14">
        <f t="shared" si="1"/>
        <v>770</v>
      </c>
      <c r="F14">
        <f t="shared" si="2"/>
        <v>613</v>
      </c>
      <c r="G14">
        <f t="shared" si="3"/>
        <v>823</v>
      </c>
      <c r="H14">
        <v>2013</v>
      </c>
      <c r="I14">
        <v>3</v>
      </c>
      <c r="J14">
        <v>12</v>
      </c>
      <c r="K14" t="s">
        <v>34</v>
      </c>
      <c r="L14">
        <v>107.5</v>
      </c>
      <c r="M14" t="s">
        <v>33</v>
      </c>
      <c r="N14">
        <v>65.5</v>
      </c>
      <c r="O14" t="s">
        <v>20</v>
      </c>
      <c r="P14">
        <f t="shared" si="4"/>
        <v>173</v>
      </c>
      <c r="Q14">
        <f t="shared" si="5"/>
        <v>42</v>
      </c>
      <c r="R14" t="str">
        <f t="shared" si="6"/>
        <v>Eric/Blake</v>
      </c>
      <c r="S14" t="str">
        <f t="shared" si="7"/>
        <v>Trent/Colin</v>
      </c>
      <c r="T14">
        <f t="shared" si="8"/>
        <v>107.5</v>
      </c>
      <c r="U14">
        <f t="shared" si="9"/>
        <v>65.5</v>
      </c>
    </row>
    <row r="15" spans="1:21" x14ac:dyDescent="0.3">
      <c r="A15">
        <v>14</v>
      </c>
      <c r="B15" t="str">
        <f>H15&amp;R15&amp;I15</f>
        <v>2013Dave/Nolan3</v>
      </c>
      <c r="C15" t="str">
        <f>H15&amp;S15&amp;I15</f>
        <v>2013Graham/Michael3</v>
      </c>
      <c r="D15">
        <f t="shared" si="0"/>
        <v>285</v>
      </c>
      <c r="E15">
        <f t="shared" si="1"/>
        <v>623</v>
      </c>
      <c r="F15">
        <f t="shared" si="2"/>
        <v>543</v>
      </c>
      <c r="G15">
        <f t="shared" si="3"/>
        <v>669</v>
      </c>
      <c r="H15">
        <v>2013</v>
      </c>
      <c r="I15">
        <v>3</v>
      </c>
      <c r="J15">
        <v>13</v>
      </c>
      <c r="K15" t="s">
        <v>29</v>
      </c>
      <c r="L15">
        <v>81</v>
      </c>
      <c r="M15" t="s">
        <v>30</v>
      </c>
      <c r="N15">
        <v>112.5</v>
      </c>
      <c r="O15" t="s">
        <v>20</v>
      </c>
      <c r="P15">
        <f t="shared" si="4"/>
        <v>193.5</v>
      </c>
      <c r="Q15">
        <f t="shared" si="5"/>
        <v>31.5</v>
      </c>
      <c r="R15" t="str">
        <f t="shared" si="6"/>
        <v>Dave/Nolan</v>
      </c>
      <c r="S15" t="str">
        <f t="shared" si="7"/>
        <v>Graham/Michael</v>
      </c>
      <c r="T15">
        <f t="shared" si="8"/>
        <v>112.5</v>
      </c>
      <c r="U15">
        <f t="shared" si="9"/>
        <v>81</v>
      </c>
    </row>
    <row r="16" spans="1:21" x14ac:dyDescent="0.3">
      <c r="A16">
        <v>15</v>
      </c>
      <c r="B16" t="str">
        <f>H16&amp;R16&amp;I16</f>
        <v>2013Pat/Tucker3</v>
      </c>
      <c r="C16" t="str">
        <f>H16&amp;S16&amp;I16</f>
        <v>2013Drew/Cam3</v>
      </c>
      <c r="D16">
        <f t="shared" si="0"/>
        <v>849</v>
      </c>
      <c r="E16">
        <f t="shared" si="1"/>
        <v>766</v>
      </c>
      <c r="F16">
        <f t="shared" si="2"/>
        <v>834</v>
      </c>
      <c r="G16">
        <f t="shared" si="3"/>
        <v>587</v>
      </c>
      <c r="H16">
        <v>2013</v>
      </c>
      <c r="I16">
        <v>3</v>
      </c>
      <c r="J16">
        <v>14</v>
      </c>
      <c r="K16" t="s">
        <v>37</v>
      </c>
      <c r="L16">
        <v>86.5</v>
      </c>
      <c r="M16" t="s">
        <v>31</v>
      </c>
      <c r="N16">
        <v>87.5</v>
      </c>
      <c r="O16" t="s">
        <v>20</v>
      </c>
      <c r="P16">
        <f t="shared" si="4"/>
        <v>174</v>
      </c>
      <c r="Q16">
        <f t="shared" si="5"/>
        <v>1</v>
      </c>
      <c r="R16" t="str">
        <f t="shared" si="6"/>
        <v>Pat/Tucker</v>
      </c>
      <c r="S16" t="str">
        <f t="shared" si="7"/>
        <v>Drew/Cam</v>
      </c>
      <c r="T16">
        <f t="shared" si="8"/>
        <v>87.5</v>
      </c>
      <c r="U16">
        <f t="shared" si="9"/>
        <v>86.5</v>
      </c>
    </row>
    <row r="17" spans="1:21" x14ac:dyDescent="0.3">
      <c r="A17">
        <v>16</v>
      </c>
      <c r="B17" t="str">
        <f>H17&amp;R17&amp;I17</f>
        <v>2013Brian/Travis4</v>
      </c>
      <c r="C17" t="str">
        <f>H17&amp;S17&amp;I17</f>
        <v>2013Trent/Colin4</v>
      </c>
      <c r="D17">
        <f t="shared" si="0"/>
        <v>382</v>
      </c>
      <c r="E17">
        <f t="shared" si="1"/>
        <v>463</v>
      </c>
      <c r="F17">
        <f t="shared" si="2"/>
        <v>476</v>
      </c>
      <c r="G17">
        <f t="shared" si="3"/>
        <v>451</v>
      </c>
      <c r="H17">
        <v>2013</v>
      </c>
      <c r="I17">
        <v>4</v>
      </c>
      <c r="J17">
        <v>15</v>
      </c>
      <c r="K17" t="s">
        <v>32</v>
      </c>
      <c r="L17">
        <v>117</v>
      </c>
      <c r="M17" t="s">
        <v>33</v>
      </c>
      <c r="N17">
        <v>93</v>
      </c>
      <c r="O17" t="s">
        <v>20</v>
      </c>
      <c r="P17">
        <f t="shared" si="4"/>
        <v>210</v>
      </c>
      <c r="Q17">
        <f t="shared" si="5"/>
        <v>24</v>
      </c>
      <c r="R17" t="str">
        <f t="shared" si="6"/>
        <v>Brian/Travis</v>
      </c>
      <c r="S17" t="str">
        <f t="shared" si="7"/>
        <v>Trent/Colin</v>
      </c>
      <c r="T17">
        <f t="shared" si="8"/>
        <v>117</v>
      </c>
      <c r="U17">
        <f t="shared" si="9"/>
        <v>93</v>
      </c>
    </row>
    <row r="18" spans="1:21" x14ac:dyDescent="0.3">
      <c r="A18">
        <v>17</v>
      </c>
      <c r="B18" t="str">
        <f>H18&amp;R18&amp;I18</f>
        <v>2013Dave/Nolan4</v>
      </c>
      <c r="C18" t="str">
        <f>H18&amp;S18&amp;I18</f>
        <v>2013Clay/Ryan4</v>
      </c>
      <c r="D18">
        <f t="shared" si="0"/>
        <v>580</v>
      </c>
      <c r="E18">
        <f t="shared" si="1"/>
        <v>259</v>
      </c>
      <c r="F18">
        <f t="shared" si="2"/>
        <v>379</v>
      </c>
      <c r="G18">
        <f t="shared" si="3"/>
        <v>182</v>
      </c>
      <c r="H18">
        <v>2013</v>
      </c>
      <c r="I18">
        <v>4</v>
      </c>
      <c r="J18">
        <v>16</v>
      </c>
      <c r="K18" t="s">
        <v>30</v>
      </c>
      <c r="L18">
        <v>123</v>
      </c>
      <c r="M18" t="s">
        <v>35</v>
      </c>
      <c r="N18">
        <v>110</v>
      </c>
      <c r="O18" t="s">
        <v>20</v>
      </c>
      <c r="P18">
        <f t="shared" si="4"/>
        <v>233</v>
      </c>
      <c r="Q18">
        <f t="shared" si="5"/>
        <v>13</v>
      </c>
      <c r="R18" t="str">
        <f t="shared" si="6"/>
        <v>Dave/Nolan</v>
      </c>
      <c r="S18" t="str">
        <f t="shared" si="7"/>
        <v>Clay/Ryan</v>
      </c>
      <c r="T18">
        <f t="shared" si="8"/>
        <v>123</v>
      </c>
      <c r="U18">
        <f t="shared" si="9"/>
        <v>110</v>
      </c>
    </row>
    <row r="19" spans="1:21" x14ac:dyDescent="0.3">
      <c r="A19">
        <v>18</v>
      </c>
      <c r="B19" t="str">
        <f>H19&amp;R19&amp;I19</f>
        <v>2013Pat/Tucker4</v>
      </c>
      <c r="C19" t="str">
        <f>H19&amp;S19&amp;I19</f>
        <v>2013David/Marshall4</v>
      </c>
      <c r="D19">
        <f t="shared" si="0"/>
        <v>235</v>
      </c>
      <c r="E19">
        <f t="shared" si="1"/>
        <v>184</v>
      </c>
      <c r="F19">
        <f t="shared" si="2"/>
        <v>142</v>
      </c>
      <c r="G19">
        <f t="shared" si="3"/>
        <v>263</v>
      </c>
      <c r="H19">
        <v>2013</v>
      </c>
      <c r="I19">
        <v>4</v>
      </c>
      <c r="J19">
        <v>17</v>
      </c>
      <c r="K19" t="s">
        <v>31</v>
      </c>
      <c r="L19">
        <v>139.5</v>
      </c>
      <c r="M19" t="s">
        <v>38</v>
      </c>
      <c r="N19">
        <v>103.5</v>
      </c>
      <c r="O19" t="s">
        <v>20</v>
      </c>
      <c r="P19">
        <f t="shared" si="4"/>
        <v>243</v>
      </c>
      <c r="Q19">
        <f t="shared" si="5"/>
        <v>36</v>
      </c>
      <c r="R19" t="str">
        <f t="shared" si="6"/>
        <v>Pat/Tucker</v>
      </c>
      <c r="S19" t="str">
        <f t="shared" si="7"/>
        <v>David/Marshall</v>
      </c>
      <c r="T19">
        <f t="shared" si="8"/>
        <v>139.5</v>
      </c>
      <c r="U19">
        <f t="shared" si="9"/>
        <v>103.5</v>
      </c>
    </row>
    <row r="20" spans="1:21" x14ac:dyDescent="0.3">
      <c r="A20">
        <v>19</v>
      </c>
      <c r="B20" t="str">
        <f>H20&amp;R20&amp;I20</f>
        <v>2013Walker/Cory4</v>
      </c>
      <c r="C20" t="str">
        <f>H20&amp;S20&amp;I20</f>
        <v>2013Graham/Michael4</v>
      </c>
      <c r="D20">
        <f t="shared" si="0"/>
        <v>188</v>
      </c>
      <c r="E20">
        <f t="shared" si="1"/>
        <v>135</v>
      </c>
      <c r="F20">
        <f t="shared" si="2"/>
        <v>106</v>
      </c>
      <c r="G20">
        <f t="shared" si="3"/>
        <v>245</v>
      </c>
      <c r="H20">
        <v>2013</v>
      </c>
      <c r="I20">
        <v>4</v>
      </c>
      <c r="J20">
        <v>18</v>
      </c>
      <c r="K20" t="s">
        <v>29</v>
      </c>
      <c r="L20">
        <v>104.5</v>
      </c>
      <c r="M20" t="s">
        <v>36</v>
      </c>
      <c r="N20">
        <v>145</v>
      </c>
      <c r="O20" t="s">
        <v>20</v>
      </c>
      <c r="P20">
        <f t="shared" si="4"/>
        <v>249.5</v>
      </c>
      <c r="Q20">
        <f t="shared" si="5"/>
        <v>40.5</v>
      </c>
      <c r="R20" t="str">
        <f t="shared" si="6"/>
        <v>Walker/Cory</v>
      </c>
      <c r="S20" t="str">
        <f t="shared" si="7"/>
        <v>Graham/Michael</v>
      </c>
      <c r="T20">
        <f t="shared" si="8"/>
        <v>145</v>
      </c>
      <c r="U20">
        <f t="shared" si="9"/>
        <v>104.5</v>
      </c>
    </row>
    <row r="21" spans="1:21" x14ac:dyDescent="0.3">
      <c r="A21">
        <v>20</v>
      </c>
      <c r="B21" t="str">
        <f>H21&amp;R21&amp;I21</f>
        <v>2013Eric/Blake4</v>
      </c>
      <c r="C21" t="str">
        <f>H21&amp;S21&amp;I21</f>
        <v>2013Drew/Cam4</v>
      </c>
      <c r="D21">
        <f t="shared" si="0"/>
        <v>264</v>
      </c>
      <c r="E21">
        <f t="shared" si="1"/>
        <v>399</v>
      </c>
      <c r="F21">
        <f t="shared" si="2"/>
        <v>335</v>
      </c>
      <c r="G21">
        <f t="shared" si="3"/>
        <v>466</v>
      </c>
      <c r="H21">
        <v>2013</v>
      </c>
      <c r="I21">
        <v>4</v>
      </c>
      <c r="J21">
        <v>19</v>
      </c>
      <c r="K21" t="s">
        <v>37</v>
      </c>
      <c r="L21">
        <v>92</v>
      </c>
      <c r="M21" t="s">
        <v>34</v>
      </c>
      <c r="N21">
        <v>125</v>
      </c>
      <c r="O21" t="s">
        <v>20</v>
      </c>
      <c r="P21">
        <f t="shared" si="4"/>
        <v>217</v>
      </c>
      <c r="Q21">
        <f t="shared" si="5"/>
        <v>33</v>
      </c>
      <c r="R21" t="str">
        <f t="shared" si="6"/>
        <v>Eric/Blake</v>
      </c>
      <c r="S21" t="str">
        <f t="shared" si="7"/>
        <v>Drew/Cam</v>
      </c>
      <c r="T21">
        <f t="shared" si="8"/>
        <v>125</v>
      </c>
      <c r="U21">
        <f t="shared" si="9"/>
        <v>92</v>
      </c>
    </row>
    <row r="22" spans="1:21" x14ac:dyDescent="0.3">
      <c r="A22">
        <v>21</v>
      </c>
      <c r="B22" t="str">
        <f>H22&amp;R22&amp;I22</f>
        <v>2013Pat/Tucker5</v>
      </c>
      <c r="C22" t="str">
        <f>H22&amp;S22&amp;I22</f>
        <v>2013Dave/Nolan5</v>
      </c>
      <c r="D22">
        <f t="shared" si="0"/>
        <v>351</v>
      </c>
      <c r="E22">
        <f t="shared" si="1"/>
        <v>250</v>
      </c>
      <c r="F22">
        <f t="shared" si="2"/>
        <v>247</v>
      </c>
      <c r="G22">
        <f t="shared" si="3"/>
        <v>250</v>
      </c>
      <c r="H22">
        <v>2013</v>
      </c>
      <c r="I22">
        <v>5</v>
      </c>
      <c r="J22">
        <v>20</v>
      </c>
      <c r="K22" t="s">
        <v>30</v>
      </c>
      <c r="L22">
        <v>104</v>
      </c>
      <c r="M22" t="s">
        <v>31</v>
      </c>
      <c r="N22">
        <v>130.5</v>
      </c>
      <c r="O22" t="s">
        <v>20</v>
      </c>
      <c r="P22">
        <f t="shared" si="4"/>
        <v>234.5</v>
      </c>
      <c r="Q22">
        <f t="shared" si="5"/>
        <v>26.5</v>
      </c>
      <c r="R22" t="str">
        <f t="shared" si="6"/>
        <v>Pat/Tucker</v>
      </c>
      <c r="S22" t="str">
        <f t="shared" si="7"/>
        <v>Dave/Nolan</v>
      </c>
      <c r="T22">
        <f t="shared" si="8"/>
        <v>130.5</v>
      </c>
      <c r="U22">
        <f t="shared" si="9"/>
        <v>104</v>
      </c>
    </row>
    <row r="23" spans="1:21" x14ac:dyDescent="0.3">
      <c r="A23">
        <v>22</v>
      </c>
      <c r="B23" t="str">
        <f>H23&amp;R23&amp;I23</f>
        <v>2013Graham/Michael5</v>
      </c>
      <c r="C23" t="str">
        <f>H23&amp;S23&amp;I23</f>
        <v>2013Brian/Travis5</v>
      </c>
      <c r="D23">
        <f t="shared" si="0"/>
        <v>438</v>
      </c>
      <c r="E23">
        <f t="shared" si="1"/>
        <v>128</v>
      </c>
      <c r="F23">
        <f t="shared" si="2"/>
        <v>176</v>
      </c>
      <c r="G23">
        <f t="shared" si="3"/>
        <v>127</v>
      </c>
      <c r="H23">
        <v>2013</v>
      </c>
      <c r="I23">
        <v>5</v>
      </c>
      <c r="J23">
        <v>21</v>
      </c>
      <c r="K23" t="s">
        <v>32</v>
      </c>
      <c r="L23">
        <v>115</v>
      </c>
      <c r="M23" t="s">
        <v>29</v>
      </c>
      <c r="N23">
        <v>136.5</v>
      </c>
      <c r="O23" t="s">
        <v>20</v>
      </c>
      <c r="P23">
        <f t="shared" si="4"/>
        <v>251.5</v>
      </c>
      <c r="Q23">
        <f t="shared" si="5"/>
        <v>21.5</v>
      </c>
      <c r="R23" t="str">
        <f t="shared" si="6"/>
        <v>Graham/Michael</v>
      </c>
      <c r="S23" t="str">
        <f t="shared" si="7"/>
        <v>Brian/Travis</v>
      </c>
      <c r="T23">
        <f t="shared" si="8"/>
        <v>136.5</v>
      </c>
      <c r="U23">
        <f t="shared" si="9"/>
        <v>115</v>
      </c>
    </row>
    <row r="24" spans="1:21" x14ac:dyDescent="0.3">
      <c r="A24">
        <v>23</v>
      </c>
      <c r="B24" t="str">
        <f>H24&amp;R24&amp;I24</f>
        <v>2013Trent/Colin5</v>
      </c>
      <c r="C24" t="str">
        <f>H24&amp;S24&amp;I24</f>
        <v>2013Drew/Cam5</v>
      </c>
      <c r="D24">
        <f t="shared" si="0"/>
        <v>748</v>
      </c>
      <c r="E24">
        <f t="shared" si="1"/>
        <v>340</v>
      </c>
      <c r="F24">
        <f t="shared" si="2"/>
        <v>509</v>
      </c>
      <c r="G24">
        <f t="shared" si="3"/>
        <v>193</v>
      </c>
      <c r="H24">
        <v>2013</v>
      </c>
      <c r="I24">
        <v>5</v>
      </c>
      <c r="J24">
        <v>22</v>
      </c>
      <c r="K24" t="s">
        <v>33</v>
      </c>
      <c r="L24">
        <v>115</v>
      </c>
      <c r="M24" t="s">
        <v>37</v>
      </c>
      <c r="N24">
        <v>109</v>
      </c>
      <c r="O24" t="s">
        <v>20</v>
      </c>
      <c r="P24">
        <f t="shared" si="4"/>
        <v>224</v>
      </c>
      <c r="Q24">
        <f t="shared" si="5"/>
        <v>6</v>
      </c>
      <c r="R24" t="str">
        <f t="shared" si="6"/>
        <v>Trent/Colin</v>
      </c>
      <c r="S24" t="str">
        <f t="shared" si="7"/>
        <v>Drew/Cam</v>
      </c>
      <c r="T24">
        <f t="shared" si="8"/>
        <v>115</v>
      </c>
      <c r="U24">
        <f t="shared" si="9"/>
        <v>109</v>
      </c>
    </row>
    <row r="25" spans="1:21" x14ac:dyDescent="0.3">
      <c r="A25">
        <v>24</v>
      </c>
      <c r="B25" t="str">
        <f>H25&amp;R25&amp;I25</f>
        <v>2013Walker/Cory5</v>
      </c>
      <c r="C25" t="str">
        <f>H25&amp;S25&amp;I25</f>
        <v>2013Clay/Ryan5</v>
      </c>
      <c r="D25">
        <f t="shared" si="0"/>
        <v>696</v>
      </c>
      <c r="E25">
        <f t="shared" si="1"/>
        <v>666</v>
      </c>
      <c r="F25">
        <f t="shared" si="2"/>
        <v>736</v>
      </c>
      <c r="G25">
        <f t="shared" si="3"/>
        <v>501</v>
      </c>
      <c r="H25">
        <v>2013</v>
      </c>
      <c r="I25">
        <v>5</v>
      </c>
      <c r="J25">
        <v>23</v>
      </c>
      <c r="K25" t="s">
        <v>35</v>
      </c>
      <c r="L25">
        <v>90</v>
      </c>
      <c r="M25" t="s">
        <v>36</v>
      </c>
      <c r="N25">
        <v>98</v>
      </c>
      <c r="O25" t="s">
        <v>20</v>
      </c>
      <c r="P25">
        <f t="shared" si="4"/>
        <v>188</v>
      </c>
      <c r="Q25">
        <f t="shared" si="5"/>
        <v>8</v>
      </c>
      <c r="R25" t="str">
        <f t="shared" si="6"/>
        <v>Walker/Cory</v>
      </c>
      <c r="S25" t="str">
        <f t="shared" si="7"/>
        <v>Clay/Ryan</v>
      </c>
      <c r="T25">
        <f t="shared" si="8"/>
        <v>98</v>
      </c>
      <c r="U25">
        <f t="shared" si="9"/>
        <v>90</v>
      </c>
    </row>
    <row r="26" spans="1:21" x14ac:dyDescent="0.3">
      <c r="A26">
        <v>25</v>
      </c>
      <c r="B26" t="str">
        <f>H26&amp;R26&amp;I26</f>
        <v>2013Eric/Blake5</v>
      </c>
      <c r="C26" t="str">
        <f>H26&amp;S26&amp;I26</f>
        <v>2013David/Marshall5</v>
      </c>
      <c r="D26">
        <f t="shared" si="0"/>
        <v>277</v>
      </c>
      <c r="E26">
        <f t="shared" si="1"/>
        <v>804</v>
      </c>
      <c r="F26">
        <f t="shared" si="2"/>
        <v>724</v>
      </c>
      <c r="G26">
        <f t="shared" si="3"/>
        <v>816</v>
      </c>
      <c r="H26">
        <v>2013</v>
      </c>
      <c r="I26">
        <v>5</v>
      </c>
      <c r="J26">
        <v>24</v>
      </c>
      <c r="K26" t="s">
        <v>38</v>
      </c>
      <c r="L26">
        <v>66.5</v>
      </c>
      <c r="M26" t="s">
        <v>34</v>
      </c>
      <c r="N26">
        <v>98.5</v>
      </c>
      <c r="O26" t="s">
        <v>20</v>
      </c>
      <c r="P26">
        <f t="shared" si="4"/>
        <v>165</v>
      </c>
      <c r="Q26">
        <f t="shared" si="5"/>
        <v>32</v>
      </c>
      <c r="R26" t="str">
        <f t="shared" si="6"/>
        <v>Eric/Blake</v>
      </c>
      <c r="S26" t="str">
        <f t="shared" si="7"/>
        <v>David/Marshall</v>
      </c>
      <c r="T26">
        <f t="shared" si="8"/>
        <v>98.5</v>
      </c>
      <c r="U26">
        <f t="shared" si="9"/>
        <v>66.5</v>
      </c>
    </row>
    <row r="27" spans="1:21" x14ac:dyDescent="0.3">
      <c r="A27">
        <v>26</v>
      </c>
      <c r="B27" t="str">
        <f>H27&amp;R27&amp;I27</f>
        <v>2013Walker/Cory6</v>
      </c>
      <c r="C27" t="str">
        <f>H27&amp;S27&amp;I27</f>
        <v>2013Drew/Cam6</v>
      </c>
      <c r="D27">
        <f t="shared" si="0"/>
        <v>359</v>
      </c>
      <c r="E27">
        <f t="shared" si="1"/>
        <v>809</v>
      </c>
      <c r="F27">
        <f t="shared" si="2"/>
        <v>773</v>
      </c>
      <c r="G27">
        <f t="shared" si="3"/>
        <v>806</v>
      </c>
      <c r="H27">
        <v>2013</v>
      </c>
      <c r="I27">
        <v>6</v>
      </c>
      <c r="J27">
        <v>25</v>
      </c>
      <c r="K27" t="s">
        <v>37</v>
      </c>
      <c r="L27">
        <v>68.5</v>
      </c>
      <c r="M27" t="s">
        <v>36</v>
      </c>
      <c r="N27">
        <v>94.5</v>
      </c>
      <c r="O27" t="s">
        <v>20</v>
      </c>
      <c r="P27">
        <f t="shared" si="4"/>
        <v>163</v>
      </c>
      <c r="Q27">
        <f t="shared" si="5"/>
        <v>26</v>
      </c>
      <c r="R27" t="str">
        <f t="shared" si="6"/>
        <v>Walker/Cory</v>
      </c>
      <c r="S27" t="str">
        <f t="shared" si="7"/>
        <v>Drew/Cam</v>
      </c>
      <c r="T27">
        <f t="shared" si="8"/>
        <v>94.5</v>
      </c>
      <c r="U27">
        <f t="shared" si="9"/>
        <v>68.5</v>
      </c>
    </row>
    <row r="28" spans="1:21" x14ac:dyDescent="0.3">
      <c r="A28">
        <v>27</v>
      </c>
      <c r="B28" t="str">
        <f>H28&amp;R28&amp;I28</f>
        <v>2013Clay/Ryan6</v>
      </c>
      <c r="C28" t="str">
        <f>H28&amp;S28&amp;I28</f>
        <v>2013Eric/Blake6</v>
      </c>
      <c r="D28">
        <f t="shared" si="0"/>
        <v>110</v>
      </c>
      <c r="E28">
        <f t="shared" si="1"/>
        <v>294</v>
      </c>
      <c r="F28">
        <f t="shared" si="2"/>
        <v>152</v>
      </c>
      <c r="G28">
        <f t="shared" si="3"/>
        <v>501</v>
      </c>
      <c r="H28">
        <v>2013</v>
      </c>
      <c r="I28">
        <v>6</v>
      </c>
      <c r="J28">
        <v>26</v>
      </c>
      <c r="K28" t="s">
        <v>34</v>
      </c>
      <c r="L28">
        <v>90</v>
      </c>
      <c r="M28" t="s">
        <v>35</v>
      </c>
      <c r="N28">
        <v>138.5</v>
      </c>
      <c r="O28" t="s">
        <v>20</v>
      </c>
      <c r="P28">
        <f t="shared" si="4"/>
        <v>228.5</v>
      </c>
      <c r="Q28">
        <f t="shared" si="5"/>
        <v>48.5</v>
      </c>
      <c r="R28" t="str">
        <f t="shared" si="6"/>
        <v>Clay/Ryan</v>
      </c>
      <c r="S28" t="str">
        <f t="shared" si="7"/>
        <v>Eric/Blake</v>
      </c>
      <c r="T28">
        <f t="shared" si="8"/>
        <v>138.5</v>
      </c>
      <c r="U28">
        <f t="shared" si="9"/>
        <v>90</v>
      </c>
    </row>
    <row r="29" spans="1:21" x14ac:dyDescent="0.3">
      <c r="A29">
        <v>28</v>
      </c>
      <c r="B29" t="str">
        <f>H29&amp;R29&amp;I29</f>
        <v>2013Brian/Travis6</v>
      </c>
      <c r="C29" t="str">
        <f>H29&amp;S29&amp;I29</f>
        <v>2013David/Marshall6</v>
      </c>
      <c r="D29">
        <f t="shared" si="0"/>
        <v>674</v>
      </c>
      <c r="E29">
        <f t="shared" si="1"/>
        <v>849</v>
      </c>
      <c r="F29">
        <f t="shared" si="2"/>
        <v>854</v>
      </c>
      <c r="G29">
        <f t="shared" si="3"/>
        <v>784</v>
      </c>
      <c r="H29">
        <v>2013</v>
      </c>
      <c r="I29">
        <v>6</v>
      </c>
      <c r="J29">
        <v>27</v>
      </c>
      <c r="K29" t="s">
        <v>38</v>
      </c>
      <c r="L29">
        <v>71</v>
      </c>
      <c r="M29" t="s">
        <v>32</v>
      </c>
      <c r="N29">
        <v>80</v>
      </c>
      <c r="O29" t="s">
        <v>20</v>
      </c>
      <c r="P29">
        <f t="shared" si="4"/>
        <v>151</v>
      </c>
      <c r="Q29">
        <f t="shared" si="5"/>
        <v>9</v>
      </c>
      <c r="R29" t="str">
        <f t="shared" si="6"/>
        <v>Brian/Travis</v>
      </c>
      <c r="S29" t="str">
        <f t="shared" si="7"/>
        <v>David/Marshall</v>
      </c>
      <c r="T29">
        <f t="shared" si="8"/>
        <v>80</v>
      </c>
      <c r="U29">
        <f t="shared" si="9"/>
        <v>71</v>
      </c>
    </row>
    <row r="30" spans="1:21" x14ac:dyDescent="0.3">
      <c r="A30">
        <v>29</v>
      </c>
      <c r="B30" t="str">
        <f>H30&amp;R30&amp;I30</f>
        <v>2013Trent/Colin6</v>
      </c>
      <c r="C30" t="str">
        <f>H30&amp;S30&amp;I30</f>
        <v>2013Dave/Nolan6</v>
      </c>
      <c r="D30">
        <f t="shared" si="0"/>
        <v>653</v>
      </c>
      <c r="E30">
        <f t="shared" si="1"/>
        <v>666</v>
      </c>
      <c r="F30">
        <f t="shared" si="2"/>
        <v>717</v>
      </c>
      <c r="G30">
        <f t="shared" si="3"/>
        <v>526</v>
      </c>
      <c r="H30">
        <v>2013</v>
      </c>
      <c r="I30">
        <v>6</v>
      </c>
      <c r="J30">
        <v>28</v>
      </c>
      <c r="K30" t="s">
        <v>33</v>
      </c>
      <c r="L30">
        <v>99</v>
      </c>
      <c r="M30" t="s">
        <v>30</v>
      </c>
      <c r="N30">
        <v>89</v>
      </c>
      <c r="O30" t="s">
        <v>20</v>
      </c>
      <c r="P30">
        <f t="shared" si="4"/>
        <v>188</v>
      </c>
      <c r="Q30">
        <f t="shared" si="5"/>
        <v>10</v>
      </c>
      <c r="R30" t="str">
        <f t="shared" si="6"/>
        <v>Trent/Colin</v>
      </c>
      <c r="S30" t="str">
        <f t="shared" si="7"/>
        <v>Dave/Nolan</v>
      </c>
      <c r="T30">
        <f t="shared" si="8"/>
        <v>99</v>
      </c>
      <c r="U30">
        <f t="shared" si="9"/>
        <v>89</v>
      </c>
    </row>
    <row r="31" spans="1:21" x14ac:dyDescent="0.3">
      <c r="A31">
        <v>30</v>
      </c>
      <c r="B31" t="str">
        <f>H31&amp;R31&amp;I31</f>
        <v>2013Pat/Tucker6</v>
      </c>
      <c r="C31" t="str">
        <f>H31&amp;S31&amp;I31</f>
        <v>2013Graham/Michael6</v>
      </c>
      <c r="D31">
        <f t="shared" si="0"/>
        <v>330</v>
      </c>
      <c r="E31">
        <f t="shared" si="1"/>
        <v>246</v>
      </c>
      <c r="F31">
        <f t="shared" si="2"/>
        <v>231</v>
      </c>
      <c r="G31">
        <f t="shared" si="3"/>
        <v>263</v>
      </c>
      <c r="H31">
        <v>2013</v>
      </c>
      <c r="I31">
        <v>6</v>
      </c>
      <c r="J31">
        <v>29</v>
      </c>
      <c r="K31" t="s">
        <v>31</v>
      </c>
      <c r="L31">
        <v>131.5</v>
      </c>
      <c r="M31" t="s">
        <v>29</v>
      </c>
      <c r="N31">
        <v>103.5</v>
      </c>
      <c r="O31" t="s">
        <v>20</v>
      </c>
      <c r="P31">
        <f t="shared" si="4"/>
        <v>235</v>
      </c>
      <c r="Q31">
        <f t="shared" si="5"/>
        <v>28</v>
      </c>
      <c r="R31" t="str">
        <f t="shared" si="6"/>
        <v>Pat/Tucker</v>
      </c>
      <c r="S31" t="str">
        <f t="shared" si="7"/>
        <v>Graham/Michael</v>
      </c>
      <c r="T31">
        <f t="shared" si="8"/>
        <v>131.5</v>
      </c>
      <c r="U31">
        <f t="shared" si="9"/>
        <v>103.5</v>
      </c>
    </row>
    <row r="32" spans="1:21" x14ac:dyDescent="0.3">
      <c r="A32">
        <v>31</v>
      </c>
      <c r="B32" t="str">
        <f>H32&amp;R32&amp;I32</f>
        <v>2013Clay/Ryan7</v>
      </c>
      <c r="C32" t="str">
        <f>H32&amp;S32&amp;I32</f>
        <v>2013Drew/Cam7</v>
      </c>
      <c r="D32">
        <f t="shared" si="0"/>
        <v>215</v>
      </c>
      <c r="E32">
        <f t="shared" si="1"/>
        <v>192</v>
      </c>
      <c r="F32">
        <f t="shared" si="2"/>
        <v>142</v>
      </c>
      <c r="G32">
        <f t="shared" si="3"/>
        <v>286</v>
      </c>
      <c r="H32">
        <v>2013</v>
      </c>
      <c r="I32">
        <v>7</v>
      </c>
      <c r="J32">
        <v>30</v>
      </c>
      <c r="K32" t="s">
        <v>35</v>
      </c>
      <c r="L32">
        <v>139.5</v>
      </c>
      <c r="M32" t="s">
        <v>37</v>
      </c>
      <c r="N32">
        <v>102</v>
      </c>
      <c r="O32" t="s">
        <v>20</v>
      </c>
      <c r="P32">
        <f t="shared" si="4"/>
        <v>241.5</v>
      </c>
      <c r="Q32">
        <f t="shared" si="5"/>
        <v>37.5</v>
      </c>
      <c r="R32" t="str">
        <f t="shared" si="6"/>
        <v>Clay/Ryan</v>
      </c>
      <c r="S32" t="str">
        <f t="shared" si="7"/>
        <v>Drew/Cam</v>
      </c>
      <c r="T32">
        <f t="shared" si="8"/>
        <v>139.5</v>
      </c>
      <c r="U32">
        <f t="shared" si="9"/>
        <v>102</v>
      </c>
    </row>
    <row r="33" spans="1:21" x14ac:dyDescent="0.3">
      <c r="A33">
        <v>32</v>
      </c>
      <c r="B33" t="str">
        <f>H33&amp;R33&amp;I33</f>
        <v>2013Eric/Blake7</v>
      </c>
      <c r="C33" t="str">
        <f>H33&amp;S33&amp;I33</f>
        <v>2013Brian/Travis7</v>
      </c>
      <c r="D33">
        <f t="shared" si="0"/>
        <v>857</v>
      </c>
      <c r="E33">
        <f t="shared" si="1"/>
        <v>346</v>
      </c>
      <c r="F33">
        <f t="shared" si="2"/>
        <v>551</v>
      </c>
      <c r="G33">
        <f t="shared" si="3"/>
        <v>164</v>
      </c>
      <c r="H33">
        <v>2013</v>
      </c>
      <c r="I33">
        <v>7</v>
      </c>
      <c r="J33">
        <v>31</v>
      </c>
      <c r="K33" t="s">
        <v>32</v>
      </c>
      <c r="L33">
        <v>111.5</v>
      </c>
      <c r="M33" t="s">
        <v>34</v>
      </c>
      <c r="N33">
        <v>112</v>
      </c>
      <c r="O33" t="s">
        <v>20</v>
      </c>
      <c r="P33">
        <f t="shared" si="4"/>
        <v>223.5</v>
      </c>
      <c r="Q33">
        <f t="shared" si="5"/>
        <v>0.5</v>
      </c>
      <c r="R33" t="str">
        <f t="shared" si="6"/>
        <v>Eric/Blake</v>
      </c>
      <c r="S33" t="str">
        <f t="shared" si="7"/>
        <v>Brian/Travis</v>
      </c>
      <c r="T33">
        <f t="shared" si="8"/>
        <v>112</v>
      </c>
      <c r="U33">
        <f t="shared" si="9"/>
        <v>111.5</v>
      </c>
    </row>
    <row r="34" spans="1:21" x14ac:dyDescent="0.3">
      <c r="A34">
        <v>33</v>
      </c>
      <c r="B34" t="str">
        <f>H34&amp;R34&amp;I34</f>
        <v>2013Dave/Nolan7</v>
      </c>
      <c r="C34" t="str">
        <f>H34&amp;S34&amp;I34</f>
        <v>2013David/Marshall7</v>
      </c>
      <c r="D34">
        <f t="shared" si="0"/>
        <v>285</v>
      </c>
      <c r="E34">
        <f t="shared" si="1"/>
        <v>851</v>
      </c>
      <c r="F34">
        <f t="shared" si="2"/>
        <v>808</v>
      </c>
      <c r="G34">
        <f t="shared" si="3"/>
        <v>849</v>
      </c>
      <c r="H34">
        <v>2013</v>
      </c>
      <c r="I34">
        <v>7</v>
      </c>
      <c r="J34">
        <v>32</v>
      </c>
      <c r="K34" t="s">
        <v>30</v>
      </c>
      <c r="L34">
        <v>91</v>
      </c>
      <c r="M34" t="s">
        <v>38</v>
      </c>
      <c r="N34">
        <v>59.5</v>
      </c>
      <c r="O34" t="s">
        <v>20</v>
      </c>
      <c r="P34">
        <f t="shared" si="4"/>
        <v>150.5</v>
      </c>
      <c r="Q34">
        <f t="shared" si="5"/>
        <v>31.5</v>
      </c>
      <c r="R34" t="str">
        <f t="shared" si="6"/>
        <v>Dave/Nolan</v>
      </c>
      <c r="S34" t="str">
        <f t="shared" si="7"/>
        <v>David/Marshall</v>
      </c>
      <c r="T34">
        <f t="shared" si="8"/>
        <v>91</v>
      </c>
      <c r="U34">
        <f t="shared" si="9"/>
        <v>59.5</v>
      </c>
    </row>
    <row r="35" spans="1:21" x14ac:dyDescent="0.3">
      <c r="A35">
        <v>34</v>
      </c>
      <c r="B35" t="str">
        <f>H35&amp;R35&amp;I35</f>
        <v>2013Graham/Michael7</v>
      </c>
      <c r="C35" t="str">
        <f>H35&amp;S35&amp;I35</f>
        <v>2013Trent/Colin7</v>
      </c>
      <c r="D35">
        <f t="shared" si="0"/>
        <v>836</v>
      </c>
      <c r="E35">
        <f t="shared" si="1"/>
        <v>821</v>
      </c>
      <c r="F35">
        <f t="shared" si="2"/>
        <v>852</v>
      </c>
      <c r="G35">
        <f t="shared" si="3"/>
        <v>685</v>
      </c>
      <c r="H35">
        <v>2013</v>
      </c>
      <c r="I35">
        <v>7</v>
      </c>
      <c r="J35">
        <v>33</v>
      </c>
      <c r="K35" t="s">
        <v>29</v>
      </c>
      <c r="L35">
        <v>81</v>
      </c>
      <c r="M35" t="s">
        <v>33</v>
      </c>
      <c r="N35">
        <v>79.5</v>
      </c>
      <c r="O35" t="s">
        <v>20</v>
      </c>
      <c r="P35">
        <f t="shared" si="4"/>
        <v>160.5</v>
      </c>
      <c r="Q35">
        <f t="shared" si="5"/>
        <v>1.5</v>
      </c>
      <c r="R35" t="str">
        <f t="shared" si="6"/>
        <v>Graham/Michael</v>
      </c>
      <c r="S35" t="str">
        <f t="shared" si="7"/>
        <v>Trent/Colin</v>
      </c>
      <c r="T35">
        <f t="shared" si="8"/>
        <v>81</v>
      </c>
      <c r="U35">
        <f t="shared" si="9"/>
        <v>79.5</v>
      </c>
    </row>
    <row r="36" spans="1:21" x14ac:dyDescent="0.3">
      <c r="A36">
        <v>35</v>
      </c>
      <c r="B36" t="str">
        <f>H36&amp;R36&amp;I36</f>
        <v>2013Walker/Cory7</v>
      </c>
      <c r="C36" t="str">
        <f>H36&amp;S36&amp;I36</f>
        <v>2013Pat/Tucker7</v>
      </c>
      <c r="D36">
        <f t="shared" si="0"/>
        <v>295</v>
      </c>
      <c r="E36">
        <f t="shared" si="1"/>
        <v>294</v>
      </c>
      <c r="F36">
        <f t="shared" si="2"/>
        <v>264</v>
      </c>
      <c r="G36">
        <f t="shared" si="3"/>
        <v>349</v>
      </c>
      <c r="H36">
        <v>2013</v>
      </c>
      <c r="I36">
        <v>7</v>
      </c>
      <c r="J36">
        <v>34</v>
      </c>
      <c r="K36" t="s">
        <v>36</v>
      </c>
      <c r="L36">
        <v>129.5</v>
      </c>
      <c r="M36" t="s">
        <v>31</v>
      </c>
      <c r="N36">
        <v>99</v>
      </c>
      <c r="O36" t="s">
        <v>20</v>
      </c>
      <c r="P36">
        <f t="shared" si="4"/>
        <v>228.5</v>
      </c>
      <c r="Q36">
        <f t="shared" si="5"/>
        <v>30.5</v>
      </c>
      <c r="R36" t="str">
        <f t="shared" si="6"/>
        <v>Walker/Cory</v>
      </c>
      <c r="S36" t="str">
        <f t="shared" si="7"/>
        <v>Pat/Tucker</v>
      </c>
      <c r="T36">
        <f t="shared" si="8"/>
        <v>129.5</v>
      </c>
      <c r="U36">
        <f t="shared" si="9"/>
        <v>99</v>
      </c>
    </row>
    <row r="37" spans="1:21" x14ac:dyDescent="0.3">
      <c r="A37">
        <v>36</v>
      </c>
      <c r="B37" t="str">
        <f>H37&amp;R37&amp;I37</f>
        <v>2013Brian/Travis8</v>
      </c>
      <c r="C37" t="str">
        <f>H37&amp;S37&amp;I37</f>
        <v>2013Drew/Cam8</v>
      </c>
      <c r="D37">
        <f t="shared" si="0"/>
        <v>309</v>
      </c>
      <c r="E37">
        <f t="shared" si="1"/>
        <v>378</v>
      </c>
      <c r="F37">
        <f t="shared" si="2"/>
        <v>335</v>
      </c>
      <c r="G37">
        <f t="shared" si="3"/>
        <v>410</v>
      </c>
      <c r="H37">
        <v>2013</v>
      </c>
      <c r="I37">
        <v>8</v>
      </c>
      <c r="J37">
        <v>35</v>
      </c>
      <c r="K37" t="s">
        <v>37</v>
      </c>
      <c r="L37">
        <v>95.5</v>
      </c>
      <c r="M37" t="s">
        <v>32</v>
      </c>
      <c r="N37">
        <v>125</v>
      </c>
      <c r="O37" t="s">
        <v>20</v>
      </c>
      <c r="P37">
        <f t="shared" si="4"/>
        <v>220.5</v>
      </c>
      <c r="Q37">
        <f t="shared" si="5"/>
        <v>29.5</v>
      </c>
      <c r="R37" t="str">
        <f t="shared" si="6"/>
        <v>Brian/Travis</v>
      </c>
      <c r="S37" t="str">
        <f t="shared" si="7"/>
        <v>Drew/Cam</v>
      </c>
      <c r="T37">
        <f t="shared" si="8"/>
        <v>125</v>
      </c>
      <c r="U37">
        <f t="shared" si="9"/>
        <v>95.5</v>
      </c>
    </row>
    <row r="38" spans="1:21" x14ac:dyDescent="0.3">
      <c r="A38">
        <v>37</v>
      </c>
      <c r="B38" t="str">
        <f>H38&amp;R38&amp;I38</f>
        <v>2013Dave/Nolan8</v>
      </c>
      <c r="C38" t="str">
        <f>H38&amp;S38&amp;I38</f>
        <v>2013Eric/Blake8</v>
      </c>
      <c r="D38">
        <f t="shared" si="0"/>
        <v>249</v>
      </c>
      <c r="E38">
        <f t="shared" si="1"/>
        <v>482</v>
      </c>
      <c r="F38">
        <f t="shared" si="2"/>
        <v>405</v>
      </c>
      <c r="G38">
        <f t="shared" si="3"/>
        <v>574</v>
      </c>
      <c r="H38">
        <v>2013</v>
      </c>
      <c r="I38">
        <v>8</v>
      </c>
      <c r="J38">
        <v>36</v>
      </c>
      <c r="K38" t="s">
        <v>34</v>
      </c>
      <c r="L38">
        <v>87</v>
      </c>
      <c r="M38" t="s">
        <v>30</v>
      </c>
      <c r="N38">
        <v>121.5</v>
      </c>
      <c r="O38" t="s">
        <v>20</v>
      </c>
      <c r="P38">
        <f t="shared" si="4"/>
        <v>208.5</v>
      </c>
      <c r="Q38">
        <f t="shared" si="5"/>
        <v>34.5</v>
      </c>
      <c r="R38" t="str">
        <f t="shared" si="6"/>
        <v>Dave/Nolan</v>
      </c>
      <c r="S38" t="str">
        <f t="shared" si="7"/>
        <v>Eric/Blake</v>
      </c>
      <c r="T38">
        <f t="shared" si="8"/>
        <v>121.5</v>
      </c>
      <c r="U38">
        <f t="shared" si="9"/>
        <v>87</v>
      </c>
    </row>
    <row r="39" spans="1:21" x14ac:dyDescent="0.3">
      <c r="A39">
        <v>38</v>
      </c>
      <c r="B39" t="str">
        <f>H39&amp;R39&amp;I39</f>
        <v>2013Graham/Michael8</v>
      </c>
      <c r="C39" t="str">
        <f>H39&amp;S39&amp;I39</f>
        <v>2013David/Marshall8</v>
      </c>
      <c r="D39">
        <f t="shared" si="0"/>
        <v>146</v>
      </c>
      <c r="E39">
        <f t="shared" si="1"/>
        <v>865</v>
      </c>
      <c r="F39">
        <f t="shared" si="2"/>
        <v>812</v>
      </c>
      <c r="G39">
        <f t="shared" si="3"/>
        <v>866</v>
      </c>
      <c r="H39">
        <v>2013</v>
      </c>
      <c r="I39">
        <v>8</v>
      </c>
      <c r="J39">
        <v>37</v>
      </c>
      <c r="K39" t="s">
        <v>38</v>
      </c>
      <c r="L39">
        <v>46.5</v>
      </c>
      <c r="M39" t="s">
        <v>29</v>
      </c>
      <c r="N39">
        <v>90.5</v>
      </c>
      <c r="O39" t="s">
        <v>20</v>
      </c>
      <c r="P39">
        <f t="shared" si="4"/>
        <v>137</v>
      </c>
      <c r="Q39">
        <f t="shared" si="5"/>
        <v>44</v>
      </c>
      <c r="R39" t="str">
        <f t="shared" si="6"/>
        <v>Graham/Michael</v>
      </c>
      <c r="S39" t="str">
        <f t="shared" si="7"/>
        <v>David/Marshall</v>
      </c>
      <c r="T39">
        <f t="shared" si="8"/>
        <v>90.5</v>
      </c>
      <c r="U39">
        <f t="shared" si="9"/>
        <v>46.5</v>
      </c>
    </row>
    <row r="40" spans="1:21" x14ac:dyDescent="0.3">
      <c r="A40">
        <v>39</v>
      </c>
      <c r="B40" t="str">
        <f>H40&amp;R40&amp;I40</f>
        <v>2013Walker/Cory8</v>
      </c>
      <c r="C40" t="str">
        <f>H40&amp;S40&amp;I40</f>
        <v>2013Trent/Colin8</v>
      </c>
      <c r="D40">
        <f t="shared" si="0"/>
        <v>626</v>
      </c>
      <c r="E40">
        <f t="shared" si="1"/>
        <v>277</v>
      </c>
      <c r="F40">
        <f t="shared" si="2"/>
        <v>422</v>
      </c>
      <c r="G40">
        <f t="shared" si="3"/>
        <v>187</v>
      </c>
      <c r="H40">
        <v>2013</v>
      </c>
      <c r="I40">
        <v>8</v>
      </c>
      <c r="J40">
        <v>38</v>
      </c>
      <c r="K40" t="s">
        <v>33</v>
      </c>
      <c r="L40">
        <v>109.5</v>
      </c>
      <c r="M40" t="s">
        <v>36</v>
      </c>
      <c r="N40">
        <v>120.5</v>
      </c>
      <c r="O40" t="s">
        <v>20</v>
      </c>
      <c r="P40">
        <f t="shared" si="4"/>
        <v>230</v>
      </c>
      <c r="Q40">
        <f t="shared" si="5"/>
        <v>11</v>
      </c>
      <c r="R40" t="str">
        <f t="shared" si="6"/>
        <v>Walker/Cory</v>
      </c>
      <c r="S40" t="str">
        <f t="shared" si="7"/>
        <v>Trent/Colin</v>
      </c>
      <c r="T40">
        <f t="shared" si="8"/>
        <v>120.5</v>
      </c>
      <c r="U40">
        <f t="shared" si="9"/>
        <v>109.5</v>
      </c>
    </row>
    <row r="41" spans="1:21" x14ac:dyDescent="0.3">
      <c r="A41">
        <v>40</v>
      </c>
      <c r="B41" t="str">
        <f>H41&amp;R41&amp;I41</f>
        <v>2013Pat/Tucker8</v>
      </c>
      <c r="C41" t="str">
        <f>H41&amp;S41&amp;I41</f>
        <v>2013Clay/Ryan8</v>
      </c>
      <c r="D41">
        <f t="shared" si="0"/>
        <v>146</v>
      </c>
      <c r="E41">
        <f t="shared" si="1"/>
        <v>636</v>
      </c>
      <c r="F41">
        <f t="shared" si="2"/>
        <v>456</v>
      </c>
      <c r="G41">
        <f t="shared" si="3"/>
        <v>743</v>
      </c>
      <c r="H41">
        <v>2013</v>
      </c>
      <c r="I41">
        <v>8</v>
      </c>
      <c r="J41">
        <v>39</v>
      </c>
      <c r="K41" t="s">
        <v>31</v>
      </c>
      <c r="L41">
        <v>118</v>
      </c>
      <c r="M41" t="s">
        <v>35</v>
      </c>
      <c r="N41">
        <v>74</v>
      </c>
      <c r="O41" t="s">
        <v>20</v>
      </c>
      <c r="P41">
        <f t="shared" si="4"/>
        <v>192</v>
      </c>
      <c r="Q41">
        <f t="shared" si="5"/>
        <v>44</v>
      </c>
      <c r="R41" t="str">
        <f t="shared" si="6"/>
        <v>Pat/Tucker</v>
      </c>
      <c r="S41" t="str">
        <f t="shared" si="7"/>
        <v>Clay/Ryan</v>
      </c>
      <c r="T41">
        <f t="shared" si="8"/>
        <v>118</v>
      </c>
      <c r="U41">
        <f t="shared" si="9"/>
        <v>74</v>
      </c>
    </row>
    <row r="42" spans="1:21" x14ac:dyDescent="0.3">
      <c r="A42">
        <v>41</v>
      </c>
      <c r="B42" t="str">
        <f>H42&amp;R42&amp;I42</f>
        <v>2013Drew/Cam9</v>
      </c>
      <c r="C42" t="str">
        <f>H42&amp;S42&amp;I42</f>
        <v>2013Dave/Nolan9</v>
      </c>
      <c r="D42">
        <f t="shared" si="0"/>
        <v>313</v>
      </c>
      <c r="E42">
        <f t="shared" si="1"/>
        <v>616</v>
      </c>
      <c r="F42">
        <f t="shared" si="2"/>
        <v>563</v>
      </c>
      <c r="G42">
        <f t="shared" si="3"/>
        <v>653</v>
      </c>
      <c r="H42">
        <v>2013</v>
      </c>
      <c r="I42">
        <v>9</v>
      </c>
      <c r="J42">
        <v>40</v>
      </c>
      <c r="K42" t="s">
        <v>30</v>
      </c>
      <c r="L42">
        <v>82.5</v>
      </c>
      <c r="M42" t="s">
        <v>37</v>
      </c>
      <c r="N42">
        <v>111.5</v>
      </c>
      <c r="O42" t="s">
        <v>20</v>
      </c>
      <c r="P42">
        <f t="shared" si="4"/>
        <v>194</v>
      </c>
      <c r="Q42">
        <f t="shared" si="5"/>
        <v>29</v>
      </c>
      <c r="R42" t="str">
        <f t="shared" si="6"/>
        <v>Drew/Cam</v>
      </c>
      <c r="S42" t="str">
        <f t="shared" si="7"/>
        <v>Dave/Nolan</v>
      </c>
      <c r="T42">
        <f t="shared" si="8"/>
        <v>111.5</v>
      </c>
      <c r="U42">
        <f t="shared" si="9"/>
        <v>82.5</v>
      </c>
    </row>
    <row r="43" spans="1:21" x14ac:dyDescent="0.3">
      <c r="A43">
        <v>42</v>
      </c>
      <c r="B43" t="str">
        <f>H43&amp;R43&amp;I43</f>
        <v>2013Graham/Michael9</v>
      </c>
      <c r="C43" t="str">
        <f>H43&amp;S43&amp;I43</f>
        <v>2013Brian/Travis9</v>
      </c>
      <c r="D43">
        <f t="shared" si="0"/>
        <v>4</v>
      </c>
      <c r="E43">
        <f t="shared" si="1"/>
        <v>205</v>
      </c>
      <c r="F43">
        <f t="shared" si="2"/>
        <v>21</v>
      </c>
      <c r="G43">
        <f t="shared" si="3"/>
        <v>743</v>
      </c>
      <c r="H43">
        <v>2013</v>
      </c>
      <c r="I43">
        <v>9</v>
      </c>
      <c r="J43">
        <v>41</v>
      </c>
      <c r="K43" t="s">
        <v>29</v>
      </c>
      <c r="L43">
        <v>166</v>
      </c>
      <c r="M43" t="s">
        <v>32</v>
      </c>
      <c r="N43">
        <v>74</v>
      </c>
      <c r="O43" t="s">
        <v>20</v>
      </c>
      <c r="P43">
        <f t="shared" si="4"/>
        <v>240</v>
      </c>
      <c r="Q43">
        <f t="shared" si="5"/>
        <v>92</v>
      </c>
      <c r="R43" t="str">
        <f t="shared" si="6"/>
        <v>Graham/Michael</v>
      </c>
      <c r="S43" t="str">
        <f t="shared" si="7"/>
        <v>Brian/Travis</v>
      </c>
      <c r="T43">
        <f t="shared" si="8"/>
        <v>166</v>
      </c>
      <c r="U43">
        <f t="shared" si="9"/>
        <v>74</v>
      </c>
    </row>
    <row r="44" spans="1:21" x14ac:dyDescent="0.3">
      <c r="A44">
        <v>43</v>
      </c>
      <c r="B44" t="str">
        <f>H44&amp;R44&amp;I44</f>
        <v>2013Eric/Blake9</v>
      </c>
      <c r="C44" t="str">
        <f>H44&amp;S44&amp;I44</f>
        <v>2013Pat/Tucker9</v>
      </c>
      <c r="D44">
        <f t="shared" si="0"/>
        <v>476</v>
      </c>
      <c r="E44">
        <f t="shared" si="1"/>
        <v>277</v>
      </c>
      <c r="F44">
        <f t="shared" si="2"/>
        <v>346</v>
      </c>
      <c r="G44">
        <f t="shared" si="3"/>
        <v>235</v>
      </c>
      <c r="H44">
        <v>2013</v>
      </c>
      <c r="I44">
        <v>9</v>
      </c>
      <c r="J44">
        <v>42</v>
      </c>
      <c r="K44" t="s">
        <v>34</v>
      </c>
      <c r="L44">
        <v>124.5</v>
      </c>
      <c r="M44" t="s">
        <v>31</v>
      </c>
      <c r="N44">
        <v>105.5</v>
      </c>
      <c r="O44" t="s">
        <v>20</v>
      </c>
      <c r="P44">
        <f t="shared" si="4"/>
        <v>230</v>
      </c>
      <c r="Q44">
        <f t="shared" si="5"/>
        <v>19</v>
      </c>
      <c r="R44" t="str">
        <f t="shared" si="6"/>
        <v>Eric/Blake</v>
      </c>
      <c r="S44" t="str">
        <f t="shared" si="7"/>
        <v>Pat/Tucker</v>
      </c>
      <c r="T44">
        <f t="shared" si="8"/>
        <v>124.5</v>
      </c>
      <c r="U44">
        <f t="shared" si="9"/>
        <v>105.5</v>
      </c>
    </row>
    <row r="45" spans="1:21" x14ac:dyDescent="0.3">
      <c r="A45">
        <v>44</v>
      </c>
      <c r="B45" t="str">
        <f>H45&amp;R45&amp;I45</f>
        <v>2013Walker/Cory9</v>
      </c>
      <c r="C45" t="str">
        <f>H45&amp;S45&amp;I45</f>
        <v>2013Clay/Ryan9</v>
      </c>
      <c r="D45">
        <f t="shared" si="0"/>
        <v>159</v>
      </c>
      <c r="E45">
        <f t="shared" si="1"/>
        <v>320</v>
      </c>
      <c r="F45">
        <f t="shared" si="2"/>
        <v>193</v>
      </c>
      <c r="G45">
        <f t="shared" si="3"/>
        <v>475</v>
      </c>
      <c r="H45">
        <v>2013</v>
      </c>
      <c r="I45">
        <v>9</v>
      </c>
      <c r="J45">
        <v>43</v>
      </c>
      <c r="K45" t="s">
        <v>36</v>
      </c>
      <c r="L45">
        <v>134.5</v>
      </c>
      <c r="M45" t="s">
        <v>35</v>
      </c>
      <c r="N45">
        <v>91.5</v>
      </c>
      <c r="O45" t="s">
        <v>20</v>
      </c>
      <c r="P45">
        <f t="shared" si="4"/>
        <v>226</v>
      </c>
      <c r="Q45">
        <f t="shared" si="5"/>
        <v>43</v>
      </c>
      <c r="R45" t="str">
        <f t="shared" si="6"/>
        <v>Walker/Cory</v>
      </c>
      <c r="S45" t="str">
        <f t="shared" si="7"/>
        <v>Clay/Ryan</v>
      </c>
      <c r="T45">
        <f t="shared" si="8"/>
        <v>134.5</v>
      </c>
      <c r="U45">
        <f t="shared" si="9"/>
        <v>91.5</v>
      </c>
    </row>
    <row r="46" spans="1:21" x14ac:dyDescent="0.3">
      <c r="A46">
        <v>45</v>
      </c>
      <c r="B46" t="str">
        <f>H46&amp;R46&amp;I46</f>
        <v>2013David/Marshall9</v>
      </c>
      <c r="C46" t="str">
        <f>H46&amp;S46&amp;I46</f>
        <v>2013Trent/Colin9</v>
      </c>
      <c r="D46">
        <f t="shared" si="0"/>
        <v>51</v>
      </c>
      <c r="E46">
        <f t="shared" si="1"/>
        <v>562</v>
      </c>
      <c r="F46">
        <f t="shared" si="2"/>
        <v>264</v>
      </c>
      <c r="G46">
        <f t="shared" si="3"/>
        <v>793</v>
      </c>
      <c r="H46">
        <v>2013</v>
      </c>
      <c r="I46">
        <v>9</v>
      </c>
      <c r="J46">
        <v>44</v>
      </c>
      <c r="K46" t="s">
        <v>38</v>
      </c>
      <c r="L46">
        <v>129.5</v>
      </c>
      <c r="M46" t="s">
        <v>33</v>
      </c>
      <c r="N46">
        <v>70.5</v>
      </c>
      <c r="O46" t="s">
        <v>20</v>
      </c>
      <c r="P46">
        <f t="shared" si="4"/>
        <v>200</v>
      </c>
      <c r="Q46">
        <f t="shared" si="5"/>
        <v>59</v>
      </c>
      <c r="R46" t="str">
        <f t="shared" si="6"/>
        <v>David/Marshall</v>
      </c>
      <c r="S46" t="str">
        <f t="shared" si="7"/>
        <v>Trent/Colin</v>
      </c>
      <c r="T46">
        <f t="shared" si="8"/>
        <v>129.5</v>
      </c>
      <c r="U46">
        <f t="shared" si="9"/>
        <v>70.5</v>
      </c>
    </row>
    <row r="47" spans="1:21" x14ac:dyDescent="0.3">
      <c r="A47">
        <v>46</v>
      </c>
      <c r="B47" t="str">
        <f>H47&amp;R47&amp;I47</f>
        <v>2013Eric/Blake10</v>
      </c>
      <c r="C47" t="str">
        <f>H47&amp;S47&amp;I47</f>
        <v>2013Graham/Michael10</v>
      </c>
      <c r="D47">
        <f t="shared" si="0"/>
        <v>103</v>
      </c>
      <c r="E47">
        <f t="shared" si="1"/>
        <v>602</v>
      </c>
      <c r="F47">
        <f t="shared" si="2"/>
        <v>388</v>
      </c>
      <c r="G47">
        <f t="shared" si="3"/>
        <v>765</v>
      </c>
      <c r="H47">
        <v>2013</v>
      </c>
      <c r="I47">
        <v>10</v>
      </c>
      <c r="J47">
        <v>45</v>
      </c>
      <c r="K47" t="s">
        <v>29</v>
      </c>
      <c r="L47">
        <v>73</v>
      </c>
      <c r="M47" t="s">
        <v>34</v>
      </c>
      <c r="N47">
        <v>122.5</v>
      </c>
      <c r="O47" t="s">
        <v>20</v>
      </c>
      <c r="P47">
        <f t="shared" si="4"/>
        <v>195.5</v>
      </c>
      <c r="Q47">
        <f t="shared" si="5"/>
        <v>49.5</v>
      </c>
      <c r="R47" t="str">
        <f t="shared" si="6"/>
        <v>Eric/Blake</v>
      </c>
      <c r="S47" t="str">
        <f t="shared" si="7"/>
        <v>Graham/Michael</v>
      </c>
      <c r="T47">
        <f t="shared" si="8"/>
        <v>122.5</v>
      </c>
      <c r="U47">
        <f t="shared" si="9"/>
        <v>73</v>
      </c>
    </row>
    <row r="48" spans="1:21" x14ac:dyDescent="0.3">
      <c r="A48">
        <v>47</v>
      </c>
      <c r="B48" t="str">
        <f>H48&amp;R48&amp;I48</f>
        <v>2013Dave/Nolan10</v>
      </c>
      <c r="C48" t="str">
        <f>H48&amp;S48&amp;I48</f>
        <v>2013Walker/Cory10</v>
      </c>
      <c r="D48">
        <f t="shared" si="0"/>
        <v>264</v>
      </c>
      <c r="E48">
        <f t="shared" si="1"/>
        <v>100</v>
      </c>
      <c r="F48">
        <f t="shared" si="2"/>
        <v>108</v>
      </c>
      <c r="G48">
        <f t="shared" si="3"/>
        <v>164</v>
      </c>
      <c r="H48">
        <v>2013</v>
      </c>
      <c r="I48">
        <v>10</v>
      </c>
      <c r="J48">
        <v>46</v>
      </c>
      <c r="K48" t="s">
        <v>36</v>
      </c>
      <c r="L48">
        <v>111.5</v>
      </c>
      <c r="M48" t="s">
        <v>30</v>
      </c>
      <c r="N48">
        <v>144.5</v>
      </c>
      <c r="O48" t="s">
        <v>20</v>
      </c>
      <c r="P48">
        <f t="shared" si="4"/>
        <v>256</v>
      </c>
      <c r="Q48">
        <f t="shared" si="5"/>
        <v>33</v>
      </c>
      <c r="R48" t="str">
        <f t="shared" si="6"/>
        <v>Dave/Nolan</v>
      </c>
      <c r="S48" t="str">
        <f t="shared" si="7"/>
        <v>Walker/Cory</v>
      </c>
      <c r="T48">
        <f t="shared" si="8"/>
        <v>144.5</v>
      </c>
      <c r="U48">
        <f t="shared" si="9"/>
        <v>111.5</v>
      </c>
    </row>
    <row r="49" spans="1:21" x14ac:dyDescent="0.3">
      <c r="A49">
        <v>48</v>
      </c>
      <c r="B49" t="str">
        <f>H49&amp;R49&amp;I49</f>
        <v>2013Drew/Cam10</v>
      </c>
      <c r="C49" t="str">
        <f>H49&amp;S49&amp;I49</f>
        <v>2013David/Marshall10</v>
      </c>
      <c r="D49">
        <f t="shared" si="0"/>
        <v>402</v>
      </c>
      <c r="E49">
        <f t="shared" si="1"/>
        <v>779</v>
      </c>
      <c r="F49">
        <f t="shared" si="2"/>
        <v>745</v>
      </c>
      <c r="G49">
        <f t="shared" si="3"/>
        <v>743</v>
      </c>
      <c r="H49">
        <v>2013</v>
      </c>
      <c r="I49">
        <v>10</v>
      </c>
      <c r="J49">
        <v>47</v>
      </c>
      <c r="K49" t="s">
        <v>37</v>
      </c>
      <c r="L49">
        <v>97</v>
      </c>
      <c r="M49" t="s">
        <v>38</v>
      </c>
      <c r="N49">
        <v>74</v>
      </c>
      <c r="O49" t="s">
        <v>20</v>
      </c>
      <c r="P49">
        <f t="shared" si="4"/>
        <v>171</v>
      </c>
      <c r="Q49">
        <f t="shared" si="5"/>
        <v>23</v>
      </c>
      <c r="R49" t="str">
        <f t="shared" si="6"/>
        <v>Drew/Cam</v>
      </c>
      <c r="S49" t="str">
        <f t="shared" si="7"/>
        <v>David/Marshall</v>
      </c>
      <c r="T49">
        <f t="shared" si="8"/>
        <v>97</v>
      </c>
      <c r="U49">
        <f t="shared" si="9"/>
        <v>74</v>
      </c>
    </row>
    <row r="50" spans="1:21" x14ac:dyDescent="0.3">
      <c r="A50">
        <v>49</v>
      </c>
      <c r="B50" t="str">
        <f>H50&amp;R50&amp;I50</f>
        <v>2013Brian/Travis10</v>
      </c>
      <c r="C50" t="str">
        <f>H50&amp;S50&amp;I50</f>
        <v>2013Clay/Ryan10</v>
      </c>
      <c r="D50">
        <f t="shared" si="0"/>
        <v>162</v>
      </c>
      <c r="E50">
        <f t="shared" si="1"/>
        <v>711</v>
      </c>
      <c r="F50">
        <f t="shared" si="2"/>
        <v>533</v>
      </c>
      <c r="G50">
        <f t="shared" si="3"/>
        <v>793</v>
      </c>
      <c r="H50">
        <v>2013</v>
      </c>
      <c r="I50">
        <v>10</v>
      </c>
      <c r="J50">
        <v>48</v>
      </c>
      <c r="K50" t="s">
        <v>35</v>
      </c>
      <c r="L50">
        <v>70.5</v>
      </c>
      <c r="M50" t="s">
        <v>32</v>
      </c>
      <c r="N50">
        <v>113</v>
      </c>
      <c r="O50" t="s">
        <v>20</v>
      </c>
      <c r="P50">
        <f t="shared" si="4"/>
        <v>183.5</v>
      </c>
      <c r="Q50">
        <f t="shared" si="5"/>
        <v>42.5</v>
      </c>
      <c r="R50" t="str">
        <f t="shared" si="6"/>
        <v>Brian/Travis</v>
      </c>
      <c r="S50" t="str">
        <f t="shared" si="7"/>
        <v>Clay/Ryan</v>
      </c>
      <c r="T50">
        <f t="shared" si="8"/>
        <v>113</v>
      </c>
      <c r="U50">
        <f t="shared" si="9"/>
        <v>70.5</v>
      </c>
    </row>
    <row r="51" spans="1:21" x14ac:dyDescent="0.3">
      <c r="A51">
        <v>50</v>
      </c>
      <c r="B51" t="str">
        <f>H51&amp;R51&amp;I51</f>
        <v>2013Trent/Colin10</v>
      </c>
      <c r="C51" t="str">
        <f>H51&amp;S51&amp;I51</f>
        <v>2013Pat/Tucker10</v>
      </c>
      <c r="D51">
        <f t="shared" si="0"/>
        <v>711</v>
      </c>
      <c r="E51">
        <f t="shared" si="1"/>
        <v>768</v>
      </c>
      <c r="F51">
        <f t="shared" si="2"/>
        <v>812</v>
      </c>
      <c r="G51">
        <f t="shared" si="3"/>
        <v>647</v>
      </c>
      <c r="H51">
        <v>2013</v>
      </c>
      <c r="I51">
        <v>10</v>
      </c>
      <c r="J51">
        <v>49</v>
      </c>
      <c r="K51" t="s">
        <v>31</v>
      </c>
      <c r="L51">
        <v>83</v>
      </c>
      <c r="M51" t="s">
        <v>33</v>
      </c>
      <c r="N51">
        <v>90.5</v>
      </c>
      <c r="O51" t="s">
        <v>20</v>
      </c>
      <c r="P51">
        <f t="shared" si="4"/>
        <v>173.5</v>
      </c>
      <c r="Q51">
        <f t="shared" si="5"/>
        <v>7.5</v>
      </c>
      <c r="R51" t="str">
        <f t="shared" si="6"/>
        <v>Trent/Colin</v>
      </c>
      <c r="S51" t="str">
        <f t="shared" si="7"/>
        <v>Pat/Tucker</v>
      </c>
      <c r="T51">
        <f t="shared" si="8"/>
        <v>90.5</v>
      </c>
      <c r="U51">
        <f t="shared" si="9"/>
        <v>83</v>
      </c>
    </row>
    <row r="52" spans="1:21" x14ac:dyDescent="0.3">
      <c r="A52">
        <v>51</v>
      </c>
      <c r="B52" t="str">
        <f>H52&amp;R52&amp;I52</f>
        <v>2013David/Marshall11</v>
      </c>
      <c r="C52" t="str">
        <f>H52&amp;S52&amp;I52</f>
        <v>2013Walker/Cory11</v>
      </c>
      <c r="D52">
        <f t="shared" si="0"/>
        <v>285</v>
      </c>
      <c r="E52">
        <f t="shared" si="1"/>
        <v>569</v>
      </c>
      <c r="F52">
        <f t="shared" si="2"/>
        <v>500</v>
      </c>
      <c r="G52">
        <f t="shared" si="3"/>
        <v>628</v>
      </c>
      <c r="H52">
        <v>2013</v>
      </c>
      <c r="I52">
        <v>11</v>
      </c>
      <c r="J52">
        <v>50</v>
      </c>
      <c r="K52" t="s">
        <v>36</v>
      </c>
      <c r="L52">
        <v>84</v>
      </c>
      <c r="M52" t="s">
        <v>38</v>
      </c>
      <c r="N52">
        <v>115.5</v>
      </c>
      <c r="O52" t="s">
        <v>20</v>
      </c>
      <c r="P52">
        <f t="shared" si="4"/>
        <v>199.5</v>
      </c>
      <c r="Q52">
        <f t="shared" si="5"/>
        <v>31.5</v>
      </c>
      <c r="R52" t="str">
        <f t="shared" si="6"/>
        <v>David/Marshall</v>
      </c>
      <c r="S52" t="str">
        <f t="shared" si="7"/>
        <v>Walker/Cory</v>
      </c>
      <c r="T52">
        <f t="shared" si="8"/>
        <v>115.5</v>
      </c>
      <c r="U52">
        <f t="shared" si="9"/>
        <v>84</v>
      </c>
    </row>
    <row r="53" spans="1:21" x14ac:dyDescent="0.3">
      <c r="A53">
        <v>52</v>
      </c>
      <c r="B53" t="str">
        <f>H53&amp;R53&amp;I53</f>
        <v>2013Clay/Ryan11</v>
      </c>
      <c r="C53" t="str">
        <f>H53&amp;S53&amp;I53</f>
        <v>2013Graham/Michael11</v>
      </c>
      <c r="D53">
        <f t="shared" si="0"/>
        <v>313</v>
      </c>
      <c r="E53">
        <f t="shared" si="1"/>
        <v>113</v>
      </c>
      <c r="F53">
        <f t="shared" si="2"/>
        <v>124</v>
      </c>
      <c r="G53">
        <f t="shared" si="3"/>
        <v>153</v>
      </c>
      <c r="H53">
        <v>2013</v>
      </c>
      <c r="I53">
        <v>11</v>
      </c>
      <c r="J53">
        <v>51</v>
      </c>
      <c r="K53" t="s">
        <v>29</v>
      </c>
      <c r="L53">
        <v>112.5</v>
      </c>
      <c r="M53" t="s">
        <v>35</v>
      </c>
      <c r="N53">
        <v>141.5</v>
      </c>
      <c r="O53" t="s">
        <v>20</v>
      </c>
      <c r="P53">
        <f t="shared" si="4"/>
        <v>254</v>
      </c>
      <c r="Q53">
        <f t="shared" si="5"/>
        <v>29</v>
      </c>
      <c r="R53" t="str">
        <f t="shared" si="6"/>
        <v>Clay/Ryan</v>
      </c>
      <c r="S53" t="str">
        <f t="shared" si="7"/>
        <v>Graham/Michael</v>
      </c>
      <c r="T53">
        <f t="shared" si="8"/>
        <v>141.5</v>
      </c>
      <c r="U53">
        <f t="shared" si="9"/>
        <v>112.5</v>
      </c>
    </row>
    <row r="54" spans="1:21" x14ac:dyDescent="0.3">
      <c r="A54">
        <v>53</v>
      </c>
      <c r="B54" t="str">
        <f>H54&amp;R54&amp;I54</f>
        <v>2013Trent/Colin11</v>
      </c>
      <c r="C54" t="str">
        <f>H54&amp;S54&amp;I54</f>
        <v>2013Eric/Blake11</v>
      </c>
      <c r="D54">
        <f t="shared" si="0"/>
        <v>605</v>
      </c>
      <c r="E54">
        <f t="shared" si="1"/>
        <v>749</v>
      </c>
      <c r="F54">
        <f t="shared" si="2"/>
        <v>769</v>
      </c>
      <c r="G54">
        <f t="shared" si="3"/>
        <v>647</v>
      </c>
      <c r="H54">
        <v>2013</v>
      </c>
      <c r="I54">
        <v>11</v>
      </c>
      <c r="J54">
        <v>52</v>
      </c>
      <c r="K54" t="s">
        <v>33</v>
      </c>
      <c r="L54">
        <v>95</v>
      </c>
      <c r="M54" t="s">
        <v>34</v>
      </c>
      <c r="N54">
        <v>83</v>
      </c>
      <c r="O54" t="s">
        <v>20</v>
      </c>
      <c r="P54">
        <f t="shared" si="4"/>
        <v>178</v>
      </c>
      <c r="Q54">
        <f t="shared" si="5"/>
        <v>12</v>
      </c>
      <c r="R54" t="str">
        <f t="shared" si="6"/>
        <v>Trent/Colin</v>
      </c>
      <c r="S54" t="str">
        <f t="shared" si="7"/>
        <v>Eric/Blake</v>
      </c>
      <c r="T54">
        <f t="shared" si="8"/>
        <v>95</v>
      </c>
      <c r="U54">
        <f t="shared" si="9"/>
        <v>83</v>
      </c>
    </row>
    <row r="55" spans="1:21" x14ac:dyDescent="0.3">
      <c r="A55">
        <v>54</v>
      </c>
      <c r="B55" t="str">
        <f>H55&amp;R55&amp;I55</f>
        <v>2013Brian/Travis11</v>
      </c>
      <c r="C55" t="str">
        <f>H55&amp;S55&amp;I55</f>
        <v>2013Dave/Nolan11</v>
      </c>
      <c r="D55">
        <f t="shared" si="0"/>
        <v>696</v>
      </c>
      <c r="E55">
        <f t="shared" si="1"/>
        <v>146</v>
      </c>
      <c r="F55">
        <f t="shared" si="2"/>
        <v>286</v>
      </c>
      <c r="G55">
        <f t="shared" si="3"/>
        <v>74</v>
      </c>
      <c r="H55">
        <v>2013</v>
      </c>
      <c r="I55">
        <v>11</v>
      </c>
      <c r="J55">
        <v>53</v>
      </c>
      <c r="K55" t="s">
        <v>30</v>
      </c>
      <c r="L55">
        <v>120</v>
      </c>
      <c r="M55" t="s">
        <v>32</v>
      </c>
      <c r="N55">
        <v>128</v>
      </c>
      <c r="O55" t="s">
        <v>20</v>
      </c>
      <c r="P55">
        <f t="shared" si="4"/>
        <v>248</v>
      </c>
      <c r="Q55">
        <f t="shared" si="5"/>
        <v>8</v>
      </c>
      <c r="R55" t="str">
        <f t="shared" si="6"/>
        <v>Brian/Travis</v>
      </c>
      <c r="S55" t="str">
        <f t="shared" si="7"/>
        <v>Dave/Nolan</v>
      </c>
      <c r="T55">
        <f t="shared" si="8"/>
        <v>128</v>
      </c>
      <c r="U55">
        <f t="shared" si="9"/>
        <v>120</v>
      </c>
    </row>
    <row r="56" spans="1:21" x14ac:dyDescent="0.3">
      <c r="A56">
        <v>55</v>
      </c>
      <c r="B56" t="str">
        <f>H56&amp;R56&amp;I56</f>
        <v>2013Pat/Tucker11</v>
      </c>
      <c r="C56" t="str">
        <f>H56&amp;S56&amp;I56</f>
        <v>2013Drew/Cam11</v>
      </c>
      <c r="D56">
        <f t="shared" si="0"/>
        <v>375</v>
      </c>
      <c r="E56">
        <f t="shared" si="1"/>
        <v>836</v>
      </c>
      <c r="F56">
        <f t="shared" si="2"/>
        <v>831</v>
      </c>
      <c r="G56">
        <f t="shared" si="3"/>
        <v>827</v>
      </c>
      <c r="H56">
        <v>2013</v>
      </c>
      <c r="I56">
        <v>11</v>
      </c>
      <c r="J56">
        <v>54</v>
      </c>
      <c r="K56" t="s">
        <v>31</v>
      </c>
      <c r="L56">
        <v>89</v>
      </c>
      <c r="M56" t="s">
        <v>37</v>
      </c>
      <c r="N56">
        <v>64.5</v>
      </c>
      <c r="O56" t="s">
        <v>20</v>
      </c>
      <c r="P56">
        <f t="shared" si="4"/>
        <v>153.5</v>
      </c>
      <c r="Q56">
        <f t="shared" si="5"/>
        <v>24.5</v>
      </c>
      <c r="R56" t="str">
        <f t="shared" si="6"/>
        <v>Pat/Tucker</v>
      </c>
      <c r="S56" t="str">
        <f t="shared" si="7"/>
        <v>Drew/Cam</v>
      </c>
      <c r="T56">
        <f t="shared" si="8"/>
        <v>89</v>
      </c>
      <c r="U56">
        <f t="shared" si="9"/>
        <v>64.5</v>
      </c>
    </row>
    <row r="57" spans="1:21" x14ac:dyDescent="0.3">
      <c r="A57">
        <v>56</v>
      </c>
      <c r="B57" t="str">
        <f>H57&amp;R57&amp;I57</f>
        <v>2013Trent/Colin12</v>
      </c>
      <c r="C57" t="str">
        <f>H57&amp;S57&amp;I57</f>
        <v>2013Clay/Ryan12</v>
      </c>
      <c r="D57">
        <f t="shared" si="0"/>
        <v>202</v>
      </c>
      <c r="E57">
        <f t="shared" si="1"/>
        <v>482</v>
      </c>
      <c r="F57">
        <f t="shared" si="2"/>
        <v>363</v>
      </c>
      <c r="G57">
        <f t="shared" si="3"/>
        <v>615</v>
      </c>
      <c r="H57">
        <v>2013</v>
      </c>
      <c r="I57">
        <v>12</v>
      </c>
      <c r="J57">
        <v>55</v>
      </c>
      <c r="K57" t="s">
        <v>35</v>
      </c>
      <c r="L57">
        <v>85</v>
      </c>
      <c r="M57" t="s">
        <v>33</v>
      </c>
      <c r="N57">
        <v>123.5</v>
      </c>
      <c r="O57" t="s">
        <v>20</v>
      </c>
      <c r="P57">
        <f t="shared" si="4"/>
        <v>208.5</v>
      </c>
      <c r="Q57">
        <f t="shared" si="5"/>
        <v>38.5</v>
      </c>
      <c r="R57" t="str">
        <f t="shared" si="6"/>
        <v>Trent/Colin</v>
      </c>
      <c r="S57" t="str">
        <f t="shared" si="7"/>
        <v>Clay/Ryan</v>
      </c>
      <c r="T57">
        <f t="shared" si="8"/>
        <v>123.5</v>
      </c>
      <c r="U57">
        <f t="shared" si="9"/>
        <v>85</v>
      </c>
    </row>
    <row r="58" spans="1:21" x14ac:dyDescent="0.3">
      <c r="A58">
        <v>57</v>
      </c>
      <c r="B58" t="str">
        <f>H58&amp;R58&amp;I58</f>
        <v>2013Walker/Cory12</v>
      </c>
      <c r="C58" t="str">
        <f>H58&amp;S58&amp;I58</f>
        <v>2013Brian/Travis12</v>
      </c>
      <c r="D58">
        <f t="shared" si="0"/>
        <v>188</v>
      </c>
      <c r="E58">
        <f t="shared" si="1"/>
        <v>859</v>
      </c>
      <c r="F58">
        <f t="shared" si="2"/>
        <v>797</v>
      </c>
      <c r="G58">
        <f t="shared" si="3"/>
        <v>862</v>
      </c>
      <c r="H58">
        <v>2013</v>
      </c>
      <c r="I58">
        <v>12</v>
      </c>
      <c r="J58">
        <v>56</v>
      </c>
      <c r="K58" t="s">
        <v>32</v>
      </c>
      <c r="L58">
        <v>52</v>
      </c>
      <c r="M58" t="s">
        <v>36</v>
      </c>
      <c r="N58">
        <v>92.5</v>
      </c>
      <c r="O58" t="s">
        <v>20</v>
      </c>
      <c r="P58">
        <f t="shared" si="4"/>
        <v>144.5</v>
      </c>
      <c r="Q58">
        <f t="shared" si="5"/>
        <v>40.5</v>
      </c>
      <c r="R58" t="str">
        <f t="shared" si="6"/>
        <v>Walker/Cory</v>
      </c>
      <c r="S58" t="str">
        <f t="shared" si="7"/>
        <v>Brian/Travis</v>
      </c>
      <c r="T58">
        <f t="shared" si="8"/>
        <v>92.5</v>
      </c>
      <c r="U58">
        <f t="shared" si="9"/>
        <v>52</v>
      </c>
    </row>
    <row r="59" spans="1:21" x14ac:dyDescent="0.3">
      <c r="A59">
        <v>58</v>
      </c>
      <c r="B59" t="str">
        <f>H59&amp;R59&amp;I59</f>
        <v>2013Pat/Tucker12</v>
      </c>
      <c r="C59" t="str">
        <f>H59&amp;S59&amp;I59</f>
        <v>2013David/Marshall12</v>
      </c>
      <c r="D59">
        <f t="shared" si="0"/>
        <v>476</v>
      </c>
      <c r="E59">
        <f t="shared" si="1"/>
        <v>788</v>
      </c>
      <c r="F59">
        <f t="shared" si="2"/>
        <v>773</v>
      </c>
      <c r="G59">
        <f t="shared" si="3"/>
        <v>724</v>
      </c>
      <c r="H59">
        <v>2013</v>
      </c>
      <c r="I59">
        <v>12</v>
      </c>
      <c r="J59">
        <v>57</v>
      </c>
      <c r="K59" t="s">
        <v>38</v>
      </c>
      <c r="L59">
        <v>75.5</v>
      </c>
      <c r="M59" t="s">
        <v>31</v>
      </c>
      <c r="N59">
        <v>94.5</v>
      </c>
      <c r="O59" t="s">
        <v>20</v>
      </c>
      <c r="P59">
        <f t="shared" si="4"/>
        <v>170</v>
      </c>
      <c r="Q59">
        <f t="shared" si="5"/>
        <v>19</v>
      </c>
      <c r="R59" t="str">
        <f t="shared" si="6"/>
        <v>Pat/Tucker</v>
      </c>
      <c r="S59" t="str">
        <f t="shared" si="7"/>
        <v>David/Marshall</v>
      </c>
      <c r="T59">
        <f t="shared" si="8"/>
        <v>94.5</v>
      </c>
      <c r="U59">
        <f t="shared" si="9"/>
        <v>75.5</v>
      </c>
    </row>
    <row r="60" spans="1:21" x14ac:dyDescent="0.3">
      <c r="A60">
        <v>59</v>
      </c>
      <c r="B60" t="str">
        <f>H60&amp;R60&amp;I60</f>
        <v>2013Dave/Nolan12</v>
      </c>
      <c r="C60" t="str">
        <f>H60&amp;S60&amp;I60</f>
        <v>2013Graham/Michael12</v>
      </c>
      <c r="D60">
        <f t="shared" si="0"/>
        <v>836</v>
      </c>
      <c r="E60">
        <f t="shared" si="1"/>
        <v>647</v>
      </c>
      <c r="F60">
        <f t="shared" si="2"/>
        <v>759</v>
      </c>
      <c r="G60">
        <f t="shared" si="3"/>
        <v>421</v>
      </c>
      <c r="H60">
        <v>2013</v>
      </c>
      <c r="I60">
        <v>12</v>
      </c>
      <c r="J60">
        <v>58</v>
      </c>
      <c r="K60" t="s">
        <v>30</v>
      </c>
      <c r="L60">
        <v>96</v>
      </c>
      <c r="M60" t="s">
        <v>29</v>
      </c>
      <c r="N60">
        <v>94.5</v>
      </c>
      <c r="O60" t="s">
        <v>20</v>
      </c>
      <c r="P60">
        <f t="shared" si="4"/>
        <v>190.5</v>
      </c>
      <c r="Q60">
        <f t="shared" si="5"/>
        <v>1.5</v>
      </c>
      <c r="R60" t="str">
        <f t="shared" si="6"/>
        <v>Dave/Nolan</v>
      </c>
      <c r="S60" t="str">
        <f t="shared" si="7"/>
        <v>Graham/Michael</v>
      </c>
      <c r="T60">
        <f t="shared" si="8"/>
        <v>96</v>
      </c>
      <c r="U60">
        <f t="shared" si="9"/>
        <v>94.5</v>
      </c>
    </row>
    <row r="61" spans="1:21" x14ac:dyDescent="0.3">
      <c r="A61">
        <v>60</v>
      </c>
      <c r="B61" t="str">
        <f>H61&amp;R61&amp;I61</f>
        <v>2013Drew/Cam12</v>
      </c>
      <c r="C61" t="str">
        <f>H61&amp;S61&amp;I61</f>
        <v>2013Eric/Blake12</v>
      </c>
      <c r="D61">
        <f t="shared" si="0"/>
        <v>210</v>
      </c>
      <c r="E61">
        <f t="shared" si="1"/>
        <v>693</v>
      </c>
      <c r="F61">
        <f t="shared" si="2"/>
        <v>563</v>
      </c>
      <c r="G61">
        <f t="shared" si="3"/>
        <v>756</v>
      </c>
      <c r="H61">
        <v>2013</v>
      </c>
      <c r="I61">
        <v>12</v>
      </c>
      <c r="J61">
        <v>59</v>
      </c>
      <c r="K61" t="s">
        <v>34</v>
      </c>
      <c r="L61">
        <v>73.5</v>
      </c>
      <c r="M61" t="s">
        <v>37</v>
      </c>
      <c r="N61">
        <v>111.5</v>
      </c>
      <c r="O61" t="s">
        <v>20</v>
      </c>
      <c r="P61">
        <f t="shared" si="4"/>
        <v>185</v>
      </c>
      <c r="Q61">
        <f t="shared" si="5"/>
        <v>38</v>
      </c>
      <c r="R61" t="str">
        <f t="shared" si="6"/>
        <v>Drew/Cam</v>
      </c>
      <c r="S61" t="str">
        <f t="shared" si="7"/>
        <v>Eric/Blake</v>
      </c>
      <c r="T61">
        <f t="shared" si="8"/>
        <v>111.5</v>
      </c>
      <c r="U61">
        <f t="shared" si="9"/>
        <v>73.5</v>
      </c>
    </row>
    <row r="62" spans="1:21" x14ac:dyDescent="0.3">
      <c r="A62">
        <v>61</v>
      </c>
      <c r="B62" t="str">
        <f>H62&amp;R62&amp;I62</f>
        <v>2013Pat/Tucker13</v>
      </c>
      <c r="C62" t="str">
        <f>H62&amp;S62&amp;I62</f>
        <v>2013Brian/Travis13</v>
      </c>
      <c r="D62">
        <f t="shared" si="0"/>
        <v>402</v>
      </c>
      <c r="E62">
        <f t="shared" si="1"/>
        <v>107</v>
      </c>
      <c r="F62">
        <f t="shared" si="2"/>
        <v>147</v>
      </c>
      <c r="G62">
        <f t="shared" si="3"/>
        <v>117</v>
      </c>
      <c r="H62">
        <v>2013</v>
      </c>
      <c r="I62">
        <v>13</v>
      </c>
      <c r="J62">
        <v>60</v>
      </c>
      <c r="K62" t="s">
        <v>32</v>
      </c>
      <c r="L62">
        <v>116</v>
      </c>
      <c r="M62" t="s">
        <v>31</v>
      </c>
      <c r="N62">
        <v>139</v>
      </c>
      <c r="O62" t="s">
        <v>20</v>
      </c>
      <c r="P62">
        <f t="shared" si="4"/>
        <v>255</v>
      </c>
      <c r="Q62">
        <f t="shared" si="5"/>
        <v>23</v>
      </c>
      <c r="R62" t="str">
        <f t="shared" si="6"/>
        <v>Pat/Tucker</v>
      </c>
      <c r="S62" t="str">
        <f t="shared" si="7"/>
        <v>Brian/Travis</v>
      </c>
      <c r="T62">
        <f t="shared" si="8"/>
        <v>139</v>
      </c>
      <c r="U62">
        <f t="shared" si="9"/>
        <v>116</v>
      </c>
    </row>
    <row r="63" spans="1:21" x14ac:dyDescent="0.3">
      <c r="A63">
        <v>62</v>
      </c>
      <c r="B63" t="str">
        <f>H63&amp;R63&amp;I63</f>
        <v>2013Clay/Ryan13</v>
      </c>
      <c r="C63" t="str">
        <f>H63&amp;S63&amp;I63</f>
        <v>2013Dave/Nolan13</v>
      </c>
      <c r="D63">
        <f t="shared" si="0"/>
        <v>258</v>
      </c>
      <c r="E63">
        <f t="shared" si="1"/>
        <v>855</v>
      </c>
      <c r="F63">
        <f t="shared" si="2"/>
        <v>819</v>
      </c>
      <c r="G63">
        <f t="shared" si="3"/>
        <v>854</v>
      </c>
      <c r="H63">
        <v>2013</v>
      </c>
      <c r="I63">
        <v>13</v>
      </c>
      <c r="J63">
        <v>61</v>
      </c>
      <c r="K63" t="s">
        <v>35</v>
      </c>
      <c r="L63">
        <v>90</v>
      </c>
      <c r="M63" t="s">
        <v>30</v>
      </c>
      <c r="N63">
        <v>56.5</v>
      </c>
      <c r="O63" t="s">
        <v>20</v>
      </c>
      <c r="P63">
        <f t="shared" si="4"/>
        <v>146.5</v>
      </c>
      <c r="Q63">
        <f t="shared" si="5"/>
        <v>33.5</v>
      </c>
      <c r="R63" t="str">
        <f t="shared" si="6"/>
        <v>Clay/Ryan</v>
      </c>
      <c r="S63" t="str">
        <f t="shared" si="7"/>
        <v>Dave/Nolan</v>
      </c>
      <c r="T63">
        <f t="shared" si="8"/>
        <v>90</v>
      </c>
      <c r="U63">
        <f t="shared" si="9"/>
        <v>56.5</v>
      </c>
    </row>
    <row r="64" spans="1:21" x14ac:dyDescent="0.3">
      <c r="A64">
        <v>63</v>
      </c>
      <c r="B64" t="str">
        <f>H64&amp;R64&amp;I64</f>
        <v>2013Trent/Colin13</v>
      </c>
      <c r="C64" t="str">
        <f>H64&amp;S64&amp;I64</f>
        <v>2013Drew/Cam13</v>
      </c>
      <c r="D64">
        <f t="shared" si="0"/>
        <v>232</v>
      </c>
      <c r="E64">
        <f t="shared" si="1"/>
        <v>149</v>
      </c>
      <c r="F64">
        <f t="shared" si="2"/>
        <v>121</v>
      </c>
      <c r="G64">
        <f t="shared" si="3"/>
        <v>235</v>
      </c>
      <c r="H64">
        <v>2013</v>
      </c>
      <c r="I64">
        <v>13</v>
      </c>
      <c r="J64">
        <v>62</v>
      </c>
      <c r="K64" t="s">
        <v>37</v>
      </c>
      <c r="L64">
        <v>105.5</v>
      </c>
      <c r="M64" t="s">
        <v>33</v>
      </c>
      <c r="N64">
        <v>142</v>
      </c>
      <c r="O64" t="s">
        <v>20</v>
      </c>
      <c r="P64">
        <f t="shared" si="4"/>
        <v>247.5</v>
      </c>
      <c r="Q64">
        <f t="shared" si="5"/>
        <v>36.5</v>
      </c>
      <c r="R64" t="str">
        <f t="shared" si="6"/>
        <v>Trent/Colin</v>
      </c>
      <c r="S64" t="str">
        <f t="shared" si="7"/>
        <v>Drew/Cam</v>
      </c>
      <c r="T64">
        <f t="shared" si="8"/>
        <v>142</v>
      </c>
      <c r="U64">
        <f t="shared" si="9"/>
        <v>105.5</v>
      </c>
    </row>
    <row r="65" spans="1:21" x14ac:dyDescent="0.3">
      <c r="A65">
        <v>64</v>
      </c>
      <c r="B65" t="str">
        <f>H65&amp;R65&amp;I65</f>
        <v>2013Walker/Cory13</v>
      </c>
      <c r="C65" t="str">
        <f>H65&amp;S65&amp;I65</f>
        <v>2013Graham/Michael13</v>
      </c>
      <c r="D65">
        <f t="shared" si="0"/>
        <v>470</v>
      </c>
      <c r="E65">
        <f t="shared" si="1"/>
        <v>602</v>
      </c>
      <c r="F65">
        <f t="shared" si="2"/>
        <v>613</v>
      </c>
      <c r="G65">
        <f t="shared" si="3"/>
        <v>544</v>
      </c>
      <c r="H65">
        <v>2013</v>
      </c>
      <c r="I65">
        <v>13</v>
      </c>
      <c r="J65">
        <v>63</v>
      </c>
      <c r="K65" t="s">
        <v>36</v>
      </c>
      <c r="L65">
        <v>107.5</v>
      </c>
      <c r="M65" t="s">
        <v>29</v>
      </c>
      <c r="N65">
        <v>88</v>
      </c>
      <c r="O65" t="s">
        <v>20</v>
      </c>
      <c r="P65">
        <f t="shared" si="4"/>
        <v>195.5</v>
      </c>
      <c r="Q65">
        <f t="shared" si="5"/>
        <v>19.5</v>
      </c>
      <c r="R65" t="str">
        <f t="shared" si="6"/>
        <v>Walker/Cory</v>
      </c>
      <c r="S65" t="str">
        <f t="shared" si="7"/>
        <v>Graham/Michael</v>
      </c>
      <c r="T65">
        <f t="shared" si="8"/>
        <v>107.5</v>
      </c>
      <c r="U65">
        <f t="shared" si="9"/>
        <v>88</v>
      </c>
    </row>
    <row r="66" spans="1:21" x14ac:dyDescent="0.3">
      <c r="A66">
        <v>65</v>
      </c>
      <c r="B66" t="str">
        <f>H66&amp;R66&amp;I66</f>
        <v>2013Eric/Blake13</v>
      </c>
      <c r="C66" t="str">
        <f>H66&amp;S66&amp;I66</f>
        <v>2013David/Marshall13</v>
      </c>
      <c r="D66">
        <f t="shared" ref="D66:D129" si="10">RANK(Q66,Q:Q)</f>
        <v>465</v>
      </c>
      <c r="E66">
        <f t="shared" ref="E66:E129" si="11">RANK(P66,P:P)</f>
        <v>755</v>
      </c>
      <c r="F66">
        <f t="shared" ref="F66:F129" si="12">RANK(T66,T:T)</f>
        <v>724</v>
      </c>
      <c r="G66">
        <f t="shared" ref="G66:G129" si="13">RANK(U66,U:U)</f>
        <v>691</v>
      </c>
      <c r="H66">
        <v>2013</v>
      </c>
      <c r="I66">
        <v>13</v>
      </c>
      <c r="J66">
        <v>64</v>
      </c>
      <c r="K66" t="s">
        <v>34</v>
      </c>
      <c r="L66">
        <v>98.5</v>
      </c>
      <c r="M66" t="s">
        <v>38</v>
      </c>
      <c r="N66">
        <v>78.5</v>
      </c>
      <c r="O66" t="s">
        <v>20</v>
      </c>
      <c r="P66">
        <f t="shared" ref="P66:P129" si="14">SUM(L66,N66)</f>
        <v>177</v>
      </c>
      <c r="Q66">
        <f t="shared" ref="Q66:Q129" si="15">ABS(L66-N66)</f>
        <v>20</v>
      </c>
      <c r="R66" t="str">
        <f t="shared" ref="R66:R129" si="16">IF(L66&gt;N66,K66,M66)</f>
        <v>Eric/Blake</v>
      </c>
      <c r="S66" t="str">
        <f t="shared" ref="S66:S129" si="17">IF(L66&gt;N66,M66,K66)</f>
        <v>David/Marshall</v>
      </c>
      <c r="T66">
        <f t="shared" ref="T66:T129" si="18">IF(L66&gt;N66,L66,N66)</f>
        <v>98.5</v>
      </c>
      <c r="U66">
        <f t="shared" ref="U66:U129" si="19">IF(L66&gt;N66,N66,L66)</f>
        <v>78.5</v>
      </c>
    </row>
    <row r="67" spans="1:21" x14ac:dyDescent="0.3">
      <c r="A67">
        <v>66</v>
      </c>
      <c r="B67" t="str">
        <f>H67&amp;R67&amp;I67</f>
        <v>2014Dave/Nolan1</v>
      </c>
      <c r="C67" t="str">
        <f>H67&amp;S67&amp;I67</f>
        <v>2014Graham/Michael1</v>
      </c>
      <c r="D67">
        <f t="shared" si="10"/>
        <v>720</v>
      </c>
      <c r="E67">
        <f t="shared" si="11"/>
        <v>330</v>
      </c>
      <c r="F67">
        <f t="shared" si="12"/>
        <v>490</v>
      </c>
      <c r="G67">
        <f t="shared" si="13"/>
        <v>193</v>
      </c>
      <c r="H67">
        <v>2014</v>
      </c>
      <c r="I67">
        <v>1</v>
      </c>
      <c r="J67">
        <v>0</v>
      </c>
      <c r="K67" t="s">
        <v>29</v>
      </c>
      <c r="L67">
        <v>109</v>
      </c>
      <c r="M67" t="s">
        <v>30</v>
      </c>
      <c r="N67">
        <v>116</v>
      </c>
      <c r="O67" t="s">
        <v>20</v>
      </c>
      <c r="P67">
        <f t="shared" si="14"/>
        <v>225</v>
      </c>
      <c r="Q67">
        <f t="shared" si="15"/>
        <v>7</v>
      </c>
      <c r="R67" t="str">
        <f t="shared" si="16"/>
        <v>Dave/Nolan</v>
      </c>
      <c r="S67" t="str">
        <f t="shared" si="17"/>
        <v>Graham/Michael</v>
      </c>
      <c r="T67">
        <f t="shared" si="18"/>
        <v>116</v>
      </c>
      <c r="U67">
        <f t="shared" si="19"/>
        <v>109</v>
      </c>
    </row>
    <row r="68" spans="1:21" x14ac:dyDescent="0.3">
      <c r="A68">
        <v>67</v>
      </c>
      <c r="B68" t="str">
        <f>H68&amp;R68&amp;I68</f>
        <v>2014Pat/Tucker1</v>
      </c>
      <c r="C68" t="str">
        <f>H68&amp;S68&amp;I68</f>
        <v>2014Brian/Travis1</v>
      </c>
      <c r="D68">
        <f t="shared" si="10"/>
        <v>662</v>
      </c>
      <c r="E68">
        <f t="shared" si="11"/>
        <v>700</v>
      </c>
      <c r="F68">
        <f t="shared" si="12"/>
        <v>745</v>
      </c>
      <c r="G68">
        <f t="shared" si="13"/>
        <v>560</v>
      </c>
      <c r="H68">
        <v>2014</v>
      </c>
      <c r="I68">
        <v>1</v>
      </c>
      <c r="J68">
        <v>1</v>
      </c>
      <c r="K68" t="s">
        <v>32</v>
      </c>
      <c r="L68">
        <v>87.5</v>
      </c>
      <c r="M68" t="s">
        <v>31</v>
      </c>
      <c r="N68">
        <v>97</v>
      </c>
      <c r="O68" t="s">
        <v>20</v>
      </c>
      <c r="P68">
        <f t="shared" si="14"/>
        <v>184.5</v>
      </c>
      <c r="Q68">
        <f t="shared" si="15"/>
        <v>9.5</v>
      </c>
      <c r="R68" t="str">
        <f t="shared" si="16"/>
        <v>Pat/Tucker</v>
      </c>
      <c r="S68" t="str">
        <f t="shared" si="17"/>
        <v>Brian/Travis</v>
      </c>
      <c r="T68">
        <f t="shared" si="18"/>
        <v>97</v>
      </c>
      <c r="U68">
        <f t="shared" si="19"/>
        <v>87.5</v>
      </c>
    </row>
    <row r="69" spans="1:21" x14ac:dyDescent="0.3">
      <c r="A69">
        <v>68</v>
      </c>
      <c r="B69" t="str">
        <f>H69&amp;R69&amp;I69</f>
        <v>2014David/Marshall1</v>
      </c>
      <c r="C69" t="str">
        <f>H69&amp;S69&amp;I69</f>
        <v>2014Walker/Cory1</v>
      </c>
      <c r="D69">
        <f t="shared" si="10"/>
        <v>382</v>
      </c>
      <c r="E69">
        <f t="shared" si="11"/>
        <v>431</v>
      </c>
      <c r="F69">
        <f t="shared" si="12"/>
        <v>449</v>
      </c>
      <c r="G69">
        <f t="shared" si="13"/>
        <v>421</v>
      </c>
      <c r="H69">
        <v>2014</v>
      </c>
      <c r="I69">
        <v>1</v>
      </c>
      <c r="J69">
        <v>2</v>
      </c>
      <c r="K69" t="s">
        <v>36</v>
      </c>
      <c r="L69">
        <v>94.5</v>
      </c>
      <c r="M69" t="s">
        <v>38</v>
      </c>
      <c r="N69">
        <v>118.5</v>
      </c>
      <c r="O69" t="s">
        <v>20</v>
      </c>
      <c r="P69">
        <f t="shared" si="14"/>
        <v>213</v>
      </c>
      <c r="Q69">
        <f t="shared" si="15"/>
        <v>24</v>
      </c>
      <c r="R69" t="str">
        <f t="shared" si="16"/>
        <v>David/Marshall</v>
      </c>
      <c r="S69" t="str">
        <f t="shared" si="17"/>
        <v>Walker/Cory</v>
      </c>
      <c r="T69">
        <f t="shared" si="18"/>
        <v>118.5</v>
      </c>
      <c r="U69">
        <f t="shared" si="19"/>
        <v>94.5</v>
      </c>
    </row>
    <row r="70" spans="1:21" x14ac:dyDescent="0.3">
      <c r="A70">
        <v>69</v>
      </c>
      <c r="B70" t="str">
        <f>H70&amp;R70&amp;I70</f>
        <v>2014Clay/Ryan1</v>
      </c>
      <c r="C70" t="str">
        <f>H70&amp;S70&amp;I70</f>
        <v>2014Drew/Cam1</v>
      </c>
      <c r="D70">
        <f t="shared" si="10"/>
        <v>103</v>
      </c>
      <c r="E70">
        <f t="shared" si="11"/>
        <v>711</v>
      </c>
      <c r="F70">
        <f t="shared" si="12"/>
        <v>485</v>
      </c>
      <c r="G70">
        <f t="shared" si="13"/>
        <v>811</v>
      </c>
      <c r="H70">
        <v>2014</v>
      </c>
      <c r="I70">
        <v>1</v>
      </c>
      <c r="J70">
        <v>3</v>
      </c>
      <c r="K70" t="s">
        <v>37</v>
      </c>
      <c r="L70">
        <v>67</v>
      </c>
      <c r="M70" t="s">
        <v>35</v>
      </c>
      <c r="N70">
        <v>116.5</v>
      </c>
      <c r="O70" t="s">
        <v>20</v>
      </c>
      <c r="P70">
        <f t="shared" si="14"/>
        <v>183.5</v>
      </c>
      <c r="Q70">
        <f t="shared" si="15"/>
        <v>49.5</v>
      </c>
      <c r="R70" t="str">
        <f t="shared" si="16"/>
        <v>Clay/Ryan</v>
      </c>
      <c r="S70" t="str">
        <f t="shared" si="17"/>
        <v>Drew/Cam</v>
      </c>
      <c r="T70">
        <f t="shared" si="18"/>
        <v>116.5</v>
      </c>
      <c r="U70">
        <f t="shared" si="19"/>
        <v>67</v>
      </c>
    </row>
    <row r="71" spans="1:21" x14ac:dyDescent="0.3">
      <c r="A71">
        <v>70</v>
      </c>
      <c r="B71" t="str">
        <f>H71&amp;R71&amp;I71</f>
        <v>2014Trent/Colin1</v>
      </c>
      <c r="C71" t="str">
        <f>H71&amp;S71&amp;I71</f>
        <v>2014Eric/Blake1</v>
      </c>
      <c r="D71">
        <f t="shared" si="10"/>
        <v>738</v>
      </c>
      <c r="E71">
        <f t="shared" si="11"/>
        <v>369</v>
      </c>
      <c r="F71">
        <f t="shared" si="12"/>
        <v>519</v>
      </c>
      <c r="G71">
        <f t="shared" si="13"/>
        <v>215</v>
      </c>
      <c r="H71">
        <v>2014</v>
      </c>
      <c r="I71">
        <v>1</v>
      </c>
      <c r="J71">
        <v>4</v>
      </c>
      <c r="K71" t="s">
        <v>33</v>
      </c>
      <c r="L71">
        <v>114</v>
      </c>
      <c r="M71" t="s">
        <v>34</v>
      </c>
      <c r="N71">
        <v>107.5</v>
      </c>
      <c r="O71" t="s">
        <v>20</v>
      </c>
      <c r="P71">
        <f t="shared" si="14"/>
        <v>221.5</v>
      </c>
      <c r="Q71">
        <f t="shared" si="15"/>
        <v>6.5</v>
      </c>
      <c r="R71" t="str">
        <f t="shared" si="16"/>
        <v>Trent/Colin</v>
      </c>
      <c r="S71" t="str">
        <f t="shared" si="17"/>
        <v>Eric/Blake</v>
      </c>
      <c r="T71">
        <f t="shared" si="18"/>
        <v>114</v>
      </c>
      <c r="U71">
        <f t="shared" si="19"/>
        <v>107.5</v>
      </c>
    </row>
    <row r="72" spans="1:21" x14ac:dyDescent="0.3">
      <c r="A72">
        <v>71</v>
      </c>
      <c r="B72" t="str">
        <f>H72&amp;R72&amp;I72</f>
        <v>2014Trent/Colin2</v>
      </c>
      <c r="C72" t="str">
        <f>H72&amp;S72&amp;I72</f>
        <v>2014Clay/Ryan2</v>
      </c>
      <c r="D72">
        <f t="shared" si="10"/>
        <v>653</v>
      </c>
      <c r="E72">
        <f t="shared" si="11"/>
        <v>693</v>
      </c>
      <c r="F72">
        <f t="shared" si="12"/>
        <v>739</v>
      </c>
      <c r="G72">
        <f t="shared" si="13"/>
        <v>560</v>
      </c>
      <c r="H72">
        <v>2014</v>
      </c>
      <c r="I72">
        <v>2</v>
      </c>
      <c r="J72">
        <v>5</v>
      </c>
      <c r="K72" t="s">
        <v>35</v>
      </c>
      <c r="L72">
        <v>87.5</v>
      </c>
      <c r="M72" t="s">
        <v>33</v>
      </c>
      <c r="N72">
        <v>97.5</v>
      </c>
      <c r="O72" t="s">
        <v>20</v>
      </c>
      <c r="P72">
        <f t="shared" si="14"/>
        <v>185</v>
      </c>
      <c r="Q72">
        <f t="shared" si="15"/>
        <v>10</v>
      </c>
      <c r="R72" t="str">
        <f t="shared" si="16"/>
        <v>Trent/Colin</v>
      </c>
      <c r="S72" t="str">
        <f t="shared" si="17"/>
        <v>Clay/Ryan</v>
      </c>
      <c r="T72">
        <f t="shared" si="18"/>
        <v>97.5</v>
      </c>
      <c r="U72">
        <f t="shared" si="19"/>
        <v>87.5</v>
      </c>
    </row>
    <row r="73" spans="1:21" x14ac:dyDescent="0.3">
      <c r="A73">
        <v>72</v>
      </c>
      <c r="B73" t="str">
        <f>H73&amp;R73&amp;I73</f>
        <v>2014Drew/Cam2</v>
      </c>
      <c r="C73" t="str">
        <f>H73&amp;S73&amp;I73</f>
        <v>2014Graham/Michael2</v>
      </c>
      <c r="D73">
        <f t="shared" si="10"/>
        <v>428</v>
      </c>
      <c r="E73">
        <f t="shared" si="11"/>
        <v>763</v>
      </c>
      <c r="F73">
        <f t="shared" si="12"/>
        <v>724</v>
      </c>
      <c r="G73">
        <f t="shared" si="13"/>
        <v>713</v>
      </c>
      <c r="H73">
        <v>2014</v>
      </c>
      <c r="I73">
        <v>2</v>
      </c>
      <c r="J73">
        <v>6</v>
      </c>
      <c r="K73" t="s">
        <v>37</v>
      </c>
      <c r="L73">
        <v>98.5</v>
      </c>
      <c r="M73" t="s">
        <v>29</v>
      </c>
      <c r="N73">
        <v>76.5</v>
      </c>
      <c r="O73" t="s">
        <v>20</v>
      </c>
      <c r="P73">
        <f t="shared" si="14"/>
        <v>175</v>
      </c>
      <c r="Q73">
        <f t="shared" si="15"/>
        <v>22</v>
      </c>
      <c r="R73" t="str">
        <f t="shared" si="16"/>
        <v>Drew/Cam</v>
      </c>
      <c r="S73" t="str">
        <f t="shared" si="17"/>
        <v>Graham/Michael</v>
      </c>
      <c r="T73">
        <f t="shared" si="18"/>
        <v>98.5</v>
      </c>
      <c r="U73">
        <f t="shared" si="19"/>
        <v>76.5</v>
      </c>
    </row>
    <row r="74" spans="1:21" x14ac:dyDescent="0.3">
      <c r="A74">
        <v>73</v>
      </c>
      <c r="B74" t="str">
        <f>H74&amp;R74&amp;I74</f>
        <v>2014Brian/Travis2</v>
      </c>
      <c r="C74" t="str">
        <f>H74&amp;S74&amp;I74</f>
        <v>2014David/Marshall2</v>
      </c>
      <c r="D74">
        <f t="shared" si="10"/>
        <v>662</v>
      </c>
      <c r="E74">
        <f t="shared" si="11"/>
        <v>482</v>
      </c>
      <c r="F74">
        <f t="shared" si="12"/>
        <v>596</v>
      </c>
      <c r="G74">
        <f t="shared" si="13"/>
        <v>337</v>
      </c>
      <c r="H74">
        <v>2014</v>
      </c>
      <c r="I74">
        <v>2</v>
      </c>
      <c r="J74">
        <v>7</v>
      </c>
      <c r="K74" t="s">
        <v>38</v>
      </c>
      <c r="L74">
        <v>99.5</v>
      </c>
      <c r="M74" t="s">
        <v>32</v>
      </c>
      <c r="N74">
        <v>109</v>
      </c>
      <c r="O74" t="s">
        <v>20</v>
      </c>
      <c r="P74">
        <f t="shared" si="14"/>
        <v>208.5</v>
      </c>
      <c r="Q74">
        <f t="shared" si="15"/>
        <v>9.5</v>
      </c>
      <c r="R74" t="str">
        <f t="shared" si="16"/>
        <v>Brian/Travis</v>
      </c>
      <c r="S74" t="str">
        <f t="shared" si="17"/>
        <v>David/Marshall</v>
      </c>
      <c r="T74">
        <f t="shared" si="18"/>
        <v>109</v>
      </c>
      <c r="U74">
        <f t="shared" si="19"/>
        <v>99.5</v>
      </c>
    </row>
    <row r="75" spans="1:21" x14ac:dyDescent="0.3">
      <c r="A75">
        <v>74</v>
      </c>
      <c r="B75" t="str">
        <f>H75&amp;R75&amp;I75</f>
        <v>2014Walker/Cory2</v>
      </c>
      <c r="C75" t="str">
        <f>H75&amp;S75&amp;I75</f>
        <v>2014Dave/Nolan2</v>
      </c>
      <c r="D75">
        <f t="shared" si="10"/>
        <v>720</v>
      </c>
      <c r="E75">
        <f t="shared" si="11"/>
        <v>654</v>
      </c>
      <c r="F75">
        <f t="shared" si="12"/>
        <v>724</v>
      </c>
      <c r="G75">
        <f t="shared" si="13"/>
        <v>475</v>
      </c>
      <c r="H75">
        <v>2014</v>
      </c>
      <c r="I75">
        <v>2</v>
      </c>
      <c r="J75">
        <v>8</v>
      </c>
      <c r="K75" t="s">
        <v>30</v>
      </c>
      <c r="L75">
        <v>91.5</v>
      </c>
      <c r="M75" t="s">
        <v>36</v>
      </c>
      <c r="N75">
        <v>98.5</v>
      </c>
      <c r="O75" t="s">
        <v>20</v>
      </c>
      <c r="P75">
        <f t="shared" si="14"/>
        <v>190</v>
      </c>
      <c r="Q75">
        <f t="shared" si="15"/>
        <v>7</v>
      </c>
      <c r="R75" t="str">
        <f t="shared" si="16"/>
        <v>Walker/Cory</v>
      </c>
      <c r="S75" t="str">
        <f t="shared" si="17"/>
        <v>Dave/Nolan</v>
      </c>
      <c r="T75">
        <f t="shared" si="18"/>
        <v>98.5</v>
      </c>
      <c r="U75">
        <f t="shared" si="19"/>
        <v>91.5</v>
      </c>
    </row>
    <row r="76" spans="1:21" x14ac:dyDescent="0.3">
      <c r="A76">
        <v>75</v>
      </c>
      <c r="B76" t="str">
        <f>H76&amp;R76&amp;I76</f>
        <v>2014Eric/Blake2</v>
      </c>
      <c r="C76" t="str">
        <f>H76&amp;S76&amp;I76</f>
        <v>2014Pat/Tucker2</v>
      </c>
      <c r="D76">
        <f t="shared" si="10"/>
        <v>87</v>
      </c>
      <c r="E76">
        <f t="shared" si="11"/>
        <v>307</v>
      </c>
      <c r="F76">
        <f t="shared" si="12"/>
        <v>136</v>
      </c>
      <c r="G76">
        <f t="shared" si="13"/>
        <v>560</v>
      </c>
      <c r="H76">
        <v>2014</v>
      </c>
      <c r="I76">
        <v>2</v>
      </c>
      <c r="J76">
        <v>9</v>
      </c>
      <c r="K76" t="s">
        <v>34</v>
      </c>
      <c r="L76">
        <v>140</v>
      </c>
      <c r="M76" t="s">
        <v>31</v>
      </c>
      <c r="N76">
        <v>87.5</v>
      </c>
      <c r="O76" t="s">
        <v>20</v>
      </c>
      <c r="P76">
        <f t="shared" si="14"/>
        <v>227.5</v>
      </c>
      <c r="Q76">
        <f t="shared" si="15"/>
        <v>52.5</v>
      </c>
      <c r="R76" t="str">
        <f t="shared" si="16"/>
        <v>Eric/Blake</v>
      </c>
      <c r="S76" t="str">
        <f t="shared" si="17"/>
        <v>Pat/Tucker</v>
      </c>
      <c r="T76">
        <f t="shared" si="18"/>
        <v>140</v>
      </c>
      <c r="U76">
        <f t="shared" si="19"/>
        <v>87.5</v>
      </c>
    </row>
    <row r="77" spans="1:21" x14ac:dyDescent="0.3">
      <c r="A77">
        <v>76</v>
      </c>
      <c r="B77" t="str">
        <f>H77&amp;R77&amp;I77</f>
        <v>2014Trent/Colin3</v>
      </c>
      <c r="C77" t="str">
        <f>H77&amp;S77&amp;I77</f>
        <v>2014Brian/Travis3</v>
      </c>
      <c r="D77">
        <f t="shared" si="10"/>
        <v>640</v>
      </c>
      <c r="E77">
        <f t="shared" si="11"/>
        <v>830</v>
      </c>
      <c r="F77">
        <f t="shared" si="12"/>
        <v>841</v>
      </c>
      <c r="G77">
        <f t="shared" si="13"/>
        <v>743</v>
      </c>
      <c r="H77">
        <v>2014</v>
      </c>
      <c r="I77">
        <v>3</v>
      </c>
      <c r="J77">
        <v>10</v>
      </c>
      <c r="K77" t="s">
        <v>33</v>
      </c>
      <c r="L77">
        <v>84.5</v>
      </c>
      <c r="M77" t="s">
        <v>32</v>
      </c>
      <c r="N77">
        <v>74</v>
      </c>
      <c r="O77" t="s">
        <v>20</v>
      </c>
      <c r="P77">
        <f t="shared" si="14"/>
        <v>158.5</v>
      </c>
      <c r="Q77">
        <f t="shared" si="15"/>
        <v>10.5</v>
      </c>
      <c r="R77" t="str">
        <f t="shared" si="16"/>
        <v>Trent/Colin</v>
      </c>
      <c r="S77" t="str">
        <f t="shared" si="17"/>
        <v>Brian/Travis</v>
      </c>
      <c r="T77">
        <f t="shared" si="18"/>
        <v>84.5</v>
      </c>
      <c r="U77">
        <f t="shared" si="19"/>
        <v>74</v>
      </c>
    </row>
    <row r="78" spans="1:21" x14ac:dyDescent="0.3">
      <c r="A78">
        <v>77</v>
      </c>
      <c r="B78" t="str">
        <f>H78&amp;R78&amp;I78</f>
        <v>2014Drew/Cam3</v>
      </c>
      <c r="C78" t="str">
        <f>H78&amp;S78&amp;I78</f>
        <v>2014Walker/Cory3</v>
      </c>
      <c r="D78">
        <f t="shared" si="10"/>
        <v>313</v>
      </c>
      <c r="E78">
        <f t="shared" si="11"/>
        <v>705</v>
      </c>
      <c r="F78">
        <f t="shared" si="12"/>
        <v>629</v>
      </c>
      <c r="G78">
        <f t="shared" si="13"/>
        <v>702</v>
      </c>
      <c r="H78">
        <v>2014</v>
      </c>
      <c r="I78">
        <v>3</v>
      </c>
      <c r="J78">
        <v>11</v>
      </c>
      <c r="K78" t="s">
        <v>36</v>
      </c>
      <c r="L78">
        <v>77.5</v>
      </c>
      <c r="M78" t="s">
        <v>37</v>
      </c>
      <c r="N78">
        <v>106.5</v>
      </c>
      <c r="O78" t="s">
        <v>20</v>
      </c>
      <c r="P78">
        <f t="shared" si="14"/>
        <v>184</v>
      </c>
      <c r="Q78">
        <f t="shared" si="15"/>
        <v>29</v>
      </c>
      <c r="R78" t="str">
        <f t="shared" si="16"/>
        <v>Drew/Cam</v>
      </c>
      <c r="S78" t="str">
        <f t="shared" si="17"/>
        <v>Walker/Cory</v>
      </c>
      <c r="T78">
        <f t="shared" si="18"/>
        <v>106.5</v>
      </c>
      <c r="U78">
        <f t="shared" si="19"/>
        <v>77.5</v>
      </c>
    </row>
    <row r="79" spans="1:21" x14ac:dyDescent="0.3">
      <c r="A79">
        <v>78</v>
      </c>
      <c r="B79" t="str">
        <f>H79&amp;R79&amp;I79</f>
        <v>2014Eric/Blake3</v>
      </c>
      <c r="C79" t="str">
        <f>H79&amp;S79&amp;I79</f>
        <v>2014Dave/Nolan3</v>
      </c>
      <c r="D79">
        <f t="shared" si="10"/>
        <v>626</v>
      </c>
      <c r="E79">
        <f t="shared" si="11"/>
        <v>562</v>
      </c>
      <c r="F79">
        <f t="shared" si="12"/>
        <v>642</v>
      </c>
      <c r="G79">
        <f t="shared" si="13"/>
        <v>421</v>
      </c>
      <c r="H79">
        <v>2014</v>
      </c>
      <c r="I79">
        <v>3</v>
      </c>
      <c r="J79">
        <v>12</v>
      </c>
      <c r="K79" t="s">
        <v>34</v>
      </c>
      <c r="L79">
        <v>105.5</v>
      </c>
      <c r="M79" t="s">
        <v>30</v>
      </c>
      <c r="N79">
        <v>94.5</v>
      </c>
      <c r="O79" t="s">
        <v>20</v>
      </c>
      <c r="P79">
        <f t="shared" si="14"/>
        <v>200</v>
      </c>
      <c r="Q79">
        <f t="shared" si="15"/>
        <v>11</v>
      </c>
      <c r="R79" t="str">
        <f t="shared" si="16"/>
        <v>Eric/Blake</v>
      </c>
      <c r="S79" t="str">
        <f t="shared" si="17"/>
        <v>Dave/Nolan</v>
      </c>
      <c r="T79">
        <f t="shared" si="18"/>
        <v>105.5</v>
      </c>
      <c r="U79">
        <f t="shared" si="19"/>
        <v>94.5</v>
      </c>
    </row>
    <row r="80" spans="1:21" x14ac:dyDescent="0.3">
      <c r="A80">
        <v>79</v>
      </c>
      <c r="B80" t="str">
        <f>H80&amp;R80&amp;I80</f>
        <v>2014Graham/Michael3</v>
      </c>
      <c r="C80" t="str">
        <f>H80&amp;S80&amp;I80</f>
        <v>2014Clay/Ryan3</v>
      </c>
      <c r="D80">
        <f t="shared" si="10"/>
        <v>195</v>
      </c>
      <c r="E80">
        <f t="shared" si="11"/>
        <v>502</v>
      </c>
      <c r="F80">
        <f t="shared" si="12"/>
        <v>379</v>
      </c>
      <c r="G80">
        <f t="shared" si="13"/>
        <v>637</v>
      </c>
      <c r="H80">
        <v>2014</v>
      </c>
      <c r="I80">
        <v>3</v>
      </c>
      <c r="J80">
        <v>13</v>
      </c>
      <c r="K80" t="s">
        <v>29</v>
      </c>
      <c r="L80">
        <v>123</v>
      </c>
      <c r="M80" t="s">
        <v>35</v>
      </c>
      <c r="N80">
        <v>83.5</v>
      </c>
      <c r="O80" t="s">
        <v>20</v>
      </c>
      <c r="P80">
        <f t="shared" si="14"/>
        <v>206.5</v>
      </c>
      <c r="Q80">
        <f t="shared" si="15"/>
        <v>39.5</v>
      </c>
      <c r="R80" t="str">
        <f t="shared" si="16"/>
        <v>Graham/Michael</v>
      </c>
      <c r="S80" t="str">
        <f t="shared" si="17"/>
        <v>Clay/Ryan</v>
      </c>
      <c r="T80">
        <f t="shared" si="18"/>
        <v>123</v>
      </c>
      <c r="U80">
        <f t="shared" si="19"/>
        <v>83.5</v>
      </c>
    </row>
    <row r="81" spans="1:21" x14ac:dyDescent="0.3">
      <c r="A81">
        <v>80</v>
      </c>
      <c r="B81" t="str">
        <f>H81&amp;R81&amp;I81</f>
        <v>2014Pat/Tucker3</v>
      </c>
      <c r="C81" t="str">
        <f>H81&amp;S81&amp;I81</f>
        <v>2014David/Marshall3</v>
      </c>
      <c r="D81">
        <f t="shared" si="10"/>
        <v>869</v>
      </c>
      <c r="E81">
        <f t="shared" si="11"/>
        <v>732</v>
      </c>
      <c r="F81">
        <f t="shared" si="12"/>
        <v>819</v>
      </c>
      <c r="G81">
        <f t="shared" si="13"/>
        <v>501</v>
      </c>
      <c r="H81">
        <v>2014</v>
      </c>
      <c r="I81">
        <v>3</v>
      </c>
      <c r="J81">
        <v>14</v>
      </c>
      <c r="K81" t="s">
        <v>38</v>
      </c>
      <c r="L81">
        <v>90</v>
      </c>
      <c r="M81" t="s">
        <v>31</v>
      </c>
      <c r="N81">
        <v>90</v>
      </c>
      <c r="O81" t="s">
        <v>20</v>
      </c>
      <c r="P81">
        <f t="shared" si="14"/>
        <v>180</v>
      </c>
      <c r="Q81">
        <f t="shared" si="15"/>
        <v>0</v>
      </c>
      <c r="R81" t="str">
        <f t="shared" si="16"/>
        <v>Pat/Tucker</v>
      </c>
      <c r="S81" t="str">
        <f t="shared" si="17"/>
        <v>David/Marshall</v>
      </c>
      <c r="T81">
        <f t="shared" si="18"/>
        <v>90</v>
      </c>
      <c r="U81">
        <f t="shared" si="19"/>
        <v>90</v>
      </c>
    </row>
    <row r="82" spans="1:21" x14ac:dyDescent="0.3">
      <c r="A82">
        <v>81</v>
      </c>
      <c r="B82" t="str">
        <f>H82&amp;R82&amp;I82</f>
        <v>2014Trent/Colin4</v>
      </c>
      <c r="C82" t="str">
        <f>H82&amp;S82&amp;I82</f>
        <v>2014David/Marshall4</v>
      </c>
      <c r="D82">
        <f t="shared" si="10"/>
        <v>136</v>
      </c>
      <c r="E82">
        <f t="shared" si="11"/>
        <v>266</v>
      </c>
      <c r="F82">
        <f t="shared" si="12"/>
        <v>147</v>
      </c>
      <c r="G82">
        <f t="shared" si="13"/>
        <v>446</v>
      </c>
      <c r="H82">
        <v>2014</v>
      </c>
      <c r="I82">
        <v>4</v>
      </c>
      <c r="J82">
        <v>15</v>
      </c>
      <c r="K82" t="s">
        <v>38</v>
      </c>
      <c r="L82">
        <v>93.5</v>
      </c>
      <c r="M82" t="s">
        <v>33</v>
      </c>
      <c r="N82">
        <v>139</v>
      </c>
      <c r="O82" t="s">
        <v>20</v>
      </c>
      <c r="P82">
        <f t="shared" si="14"/>
        <v>232.5</v>
      </c>
      <c r="Q82">
        <f t="shared" si="15"/>
        <v>45.5</v>
      </c>
      <c r="R82" t="str">
        <f t="shared" si="16"/>
        <v>Trent/Colin</v>
      </c>
      <c r="S82" t="str">
        <f t="shared" si="17"/>
        <v>David/Marshall</v>
      </c>
      <c r="T82">
        <f t="shared" si="18"/>
        <v>139</v>
      </c>
      <c r="U82">
        <f t="shared" si="19"/>
        <v>93.5</v>
      </c>
    </row>
    <row r="83" spans="1:21" x14ac:dyDescent="0.3">
      <c r="A83">
        <v>82</v>
      </c>
      <c r="B83" t="str">
        <f>H83&amp;R83&amp;I83</f>
        <v>2014Dave/Nolan4</v>
      </c>
      <c r="C83" t="str">
        <f>H83&amp;S83&amp;I83</f>
        <v>2014Clay/Ryan4</v>
      </c>
      <c r="D83">
        <f t="shared" si="10"/>
        <v>793</v>
      </c>
      <c r="E83">
        <f t="shared" si="11"/>
        <v>491</v>
      </c>
      <c r="F83">
        <f t="shared" si="12"/>
        <v>637</v>
      </c>
      <c r="G83">
        <f t="shared" si="13"/>
        <v>286</v>
      </c>
      <c r="H83">
        <v>2014</v>
      </c>
      <c r="I83">
        <v>4</v>
      </c>
      <c r="J83">
        <v>16</v>
      </c>
      <c r="K83" t="s">
        <v>30</v>
      </c>
      <c r="L83">
        <v>106</v>
      </c>
      <c r="M83" t="s">
        <v>35</v>
      </c>
      <c r="N83">
        <v>102</v>
      </c>
      <c r="O83" t="s">
        <v>20</v>
      </c>
      <c r="P83">
        <f t="shared" si="14"/>
        <v>208</v>
      </c>
      <c r="Q83">
        <f t="shared" si="15"/>
        <v>4</v>
      </c>
      <c r="R83" t="str">
        <f t="shared" si="16"/>
        <v>Dave/Nolan</v>
      </c>
      <c r="S83" t="str">
        <f t="shared" si="17"/>
        <v>Clay/Ryan</v>
      </c>
      <c r="T83">
        <f t="shared" si="18"/>
        <v>106</v>
      </c>
      <c r="U83">
        <f t="shared" si="19"/>
        <v>102</v>
      </c>
    </row>
    <row r="84" spans="1:21" x14ac:dyDescent="0.3">
      <c r="A84">
        <v>83</v>
      </c>
      <c r="B84" t="str">
        <f>H84&amp;R84&amp;I84</f>
        <v>2014Pat/Tucker4</v>
      </c>
      <c r="C84" t="str">
        <f>H84&amp;S84&amp;I84</f>
        <v>2014Drew/Cam4</v>
      </c>
      <c r="D84">
        <f t="shared" si="10"/>
        <v>196</v>
      </c>
      <c r="E84">
        <f t="shared" si="11"/>
        <v>676</v>
      </c>
      <c r="F84">
        <f t="shared" si="12"/>
        <v>533</v>
      </c>
      <c r="G84">
        <f t="shared" si="13"/>
        <v>743</v>
      </c>
      <c r="H84">
        <v>2014</v>
      </c>
      <c r="I84">
        <v>4</v>
      </c>
      <c r="J84">
        <v>17</v>
      </c>
      <c r="K84" t="s">
        <v>31</v>
      </c>
      <c r="L84">
        <v>113</v>
      </c>
      <c r="M84" t="s">
        <v>37</v>
      </c>
      <c r="N84">
        <v>74</v>
      </c>
      <c r="O84" t="s">
        <v>20</v>
      </c>
      <c r="P84">
        <f t="shared" si="14"/>
        <v>187</v>
      </c>
      <c r="Q84">
        <f t="shared" si="15"/>
        <v>39</v>
      </c>
      <c r="R84" t="str">
        <f t="shared" si="16"/>
        <v>Pat/Tucker</v>
      </c>
      <c r="S84" t="str">
        <f t="shared" si="17"/>
        <v>Drew/Cam</v>
      </c>
      <c r="T84">
        <f t="shared" si="18"/>
        <v>113</v>
      </c>
      <c r="U84">
        <f t="shared" si="19"/>
        <v>74</v>
      </c>
    </row>
    <row r="85" spans="1:21" x14ac:dyDescent="0.3">
      <c r="A85">
        <v>84</v>
      </c>
      <c r="B85" t="str">
        <f>H85&amp;R85&amp;I85</f>
        <v>2014Walker/Cory4</v>
      </c>
      <c r="C85" t="str">
        <f>H85&amp;S85&amp;I85</f>
        <v>2014Graham/Michael4</v>
      </c>
      <c r="D85">
        <f t="shared" si="10"/>
        <v>759</v>
      </c>
      <c r="E85">
        <f t="shared" si="11"/>
        <v>143</v>
      </c>
      <c r="F85">
        <f t="shared" si="12"/>
        <v>305</v>
      </c>
      <c r="G85">
        <f t="shared" si="13"/>
        <v>63</v>
      </c>
      <c r="H85">
        <v>2014</v>
      </c>
      <c r="I85">
        <v>4</v>
      </c>
      <c r="J85">
        <v>18</v>
      </c>
      <c r="K85" t="s">
        <v>29</v>
      </c>
      <c r="L85">
        <v>121.5</v>
      </c>
      <c r="M85" t="s">
        <v>36</v>
      </c>
      <c r="N85">
        <v>127</v>
      </c>
      <c r="O85" t="s">
        <v>20</v>
      </c>
      <c r="P85">
        <f t="shared" si="14"/>
        <v>248.5</v>
      </c>
      <c r="Q85">
        <f t="shared" si="15"/>
        <v>5.5</v>
      </c>
      <c r="R85" t="str">
        <f t="shared" si="16"/>
        <v>Walker/Cory</v>
      </c>
      <c r="S85" t="str">
        <f t="shared" si="17"/>
        <v>Graham/Michael</v>
      </c>
      <c r="T85">
        <f t="shared" si="18"/>
        <v>127</v>
      </c>
      <c r="U85">
        <f t="shared" si="19"/>
        <v>121.5</v>
      </c>
    </row>
    <row r="86" spans="1:21" x14ac:dyDescent="0.3">
      <c r="A86">
        <v>85</v>
      </c>
      <c r="B86" t="str">
        <f>H86&amp;R86&amp;I86</f>
        <v>2014Eric/Blake4</v>
      </c>
      <c r="C86" t="str">
        <f>H86&amp;S86&amp;I86</f>
        <v>2014Brian/Travis4</v>
      </c>
      <c r="D86">
        <f t="shared" si="10"/>
        <v>662</v>
      </c>
      <c r="E86">
        <f t="shared" si="11"/>
        <v>623</v>
      </c>
      <c r="F86">
        <f t="shared" si="12"/>
        <v>695</v>
      </c>
      <c r="G86">
        <f t="shared" si="13"/>
        <v>466</v>
      </c>
      <c r="H86">
        <v>2014</v>
      </c>
      <c r="I86">
        <v>4</v>
      </c>
      <c r="J86">
        <v>19</v>
      </c>
      <c r="K86" t="s">
        <v>32</v>
      </c>
      <c r="L86">
        <v>92</v>
      </c>
      <c r="M86" t="s">
        <v>34</v>
      </c>
      <c r="N86">
        <v>101.5</v>
      </c>
      <c r="O86" t="s">
        <v>20</v>
      </c>
      <c r="P86">
        <f t="shared" si="14"/>
        <v>193.5</v>
      </c>
      <c r="Q86">
        <f t="shared" si="15"/>
        <v>9.5</v>
      </c>
      <c r="R86" t="str">
        <f t="shared" si="16"/>
        <v>Eric/Blake</v>
      </c>
      <c r="S86" t="str">
        <f t="shared" si="17"/>
        <v>Brian/Travis</v>
      </c>
      <c r="T86">
        <f t="shared" si="18"/>
        <v>101.5</v>
      </c>
      <c r="U86">
        <f t="shared" si="19"/>
        <v>92</v>
      </c>
    </row>
    <row r="87" spans="1:21" x14ac:dyDescent="0.3">
      <c r="A87">
        <v>86</v>
      </c>
      <c r="B87" t="str">
        <f>H87&amp;R87&amp;I87</f>
        <v>2014Dave/Nolan5</v>
      </c>
      <c r="C87" t="str">
        <f>H87&amp;S87&amp;I87</f>
        <v>2014Drew/Cam5</v>
      </c>
      <c r="D87">
        <f t="shared" si="10"/>
        <v>196</v>
      </c>
      <c r="E87">
        <f t="shared" si="11"/>
        <v>688</v>
      </c>
      <c r="F87">
        <f t="shared" si="12"/>
        <v>543</v>
      </c>
      <c r="G87">
        <f t="shared" si="13"/>
        <v>756</v>
      </c>
      <c r="H87">
        <v>2014</v>
      </c>
      <c r="I87">
        <v>5</v>
      </c>
      <c r="J87">
        <v>20</v>
      </c>
      <c r="K87" t="s">
        <v>37</v>
      </c>
      <c r="L87">
        <v>73.5</v>
      </c>
      <c r="M87" t="s">
        <v>30</v>
      </c>
      <c r="N87">
        <v>112.5</v>
      </c>
      <c r="O87" t="s">
        <v>20</v>
      </c>
      <c r="P87">
        <f t="shared" si="14"/>
        <v>186</v>
      </c>
      <c r="Q87">
        <f t="shared" si="15"/>
        <v>39</v>
      </c>
      <c r="R87" t="str">
        <f t="shared" si="16"/>
        <v>Dave/Nolan</v>
      </c>
      <c r="S87" t="str">
        <f t="shared" si="17"/>
        <v>Drew/Cam</v>
      </c>
      <c r="T87">
        <f t="shared" si="18"/>
        <v>112.5</v>
      </c>
      <c r="U87">
        <f t="shared" si="19"/>
        <v>73.5</v>
      </c>
    </row>
    <row r="88" spans="1:21" x14ac:dyDescent="0.3">
      <c r="A88">
        <v>87</v>
      </c>
      <c r="B88" t="str">
        <f>H88&amp;R88&amp;I88</f>
        <v>2014Pat/Tucker5</v>
      </c>
      <c r="C88" t="str">
        <f>H88&amp;S88&amp;I88</f>
        <v>2014Trent/Colin5</v>
      </c>
      <c r="D88">
        <f t="shared" si="10"/>
        <v>551</v>
      </c>
      <c r="E88">
        <f t="shared" si="11"/>
        <v>807</v>
      </c>
      <c r="F88">
        <f t="shared" si="12"/>
        <v>831</v>
      </c>
      <c r="G88">
        <f t="shared" si="13"/>
        <v>736</v>
      </c>
      <c r="H88">
        <v>2014</v>
      </c>
      <c r="I88">
        <v>5</v>
      </c>
      <c r="J88">
        <v>21</v>
      </c>
      <c r="K88" t="s">
        <v>31</v>
      </c>
      <c r="L88">
        <v>89</v>
      </c>
      <c r="M88" t="s">
        <v>33</v>
      </c>
      <c r="N88">
        <v>74.5</v>
      </c>
      <c r="O88" t="s">
        <v>20</v>
      </c>
      <c r="P88">
        <f t="shared" si="14"/>
        <v>163.5</v>
      </c>
      <c r="Q88">
        <f t="shared" si="15"/>
        <v>14.5</v>
      </c>
      <c r="R88" t="str">
        <f t="shared" si="16"/>
        <v>Pat/Tucker</v>
      </c>
      <c r="S88" t="str">
        <f t="shared" si="17"/>
        <v>Trent/Colin</v>
      </c>
      <c r="T88">
        <f t="shared" si="18"/>
        <v>89</v>
      </c>
      <c r="U88">
        <f t="shared" si="19"/>
        <v>74.5</v>
      </c>
    </row>
    <row r="89" spans="1:21" x14ac:dyDescent="0.3">
      <c r="A89">
        <v>88</v>
      </c>
      <c r="B89" t="str">
        <f>H89&amp;R89&amp;I89</f>
        <v>2014Graham/Michael5</v>
      </c>
      <c r="C89" t="str">
        <f>H89&amp;S89&amp;I89</f>
        <v>2014Brian/Travis5</v>
      </c>
      <c r="D89">
        <f t="shared" si="10"/>
        <v>605</v>
      </c>
      <c r="E89">
        <f t="shared" si="11"/>
        <v>57</v>
      </c>
      <c r="F89">
        <f t="shared" si="12"/>
        <v>136</v>
      </c>
      <c r="G89">
        <f t="shared" si="13"/>
        <v>32</v>
      </c>
      <c r="H89">
        <v>2014</v>
      </c>
      <c r="I89">
        <v>5</v>
      </c>
      <c r="J89">
        <v>22</v>
      </c>
      <c r="K89" t="s">
        <v>29</v>
      </c>
      <c r="L89">
        <v>140</v>
      </c>
      <c r="M89" t="s">
        <v>32</v>
      </c>
      <c r="N89">
        <v>128</v>
      </c>
      <c r="O89" t="s">
        <v>20</v>
      </c>
      <c r="P89">
        <f t="shared" si="14"/>
        <v>268</v>
      </c>
      <c r="Q89">
        <f t="shared" si="15"/>
        <v>12</v>
      </c>
      <c r="R89" t="str">
        <f t="shared" si="16"/>
        <v>Graham/Michael</v>
      </c>
      <c r="S89" t="str">
        <f t="shared" si="17"/>
        <v>Brian/Travis</v>
      </c>
      <c r="T89">
        <f t="shared" si="18"/>
        <v>140</v>
      </c>
      <c r="U89">
        <f t="shared" si="19"/>
        <v>128</v>
      </c>
    </row>
    <row r="90" spans="1:21" x14ac:dyDescent="0.3">
      <c r="A90">
        <v>89</v>
      </c>
      <c r="B90" t="str">
        <f>H90&amp;R90&amp;I90</f>
        <v>2014Walker/Cory5</v>
      </c>
      <c r="C90" t="str">
        <f>H90&amp;S90&amp;I90</f>
        <v>2014Clay/Ryan5</v>
      </c>
      <c r="D90">
        <f t="shared" si="10"/>
        <v>494</v>
      </c>
      <c r="E90">
        <f t="shared" si="11"/>
        <v>763</v>
      </c>
      <c r="F90">
        <f t="shared" si="12"/>
        <v>755</v>
      </c>
      <c r="G90">
        <f t="shared" si="13"/>
        <v>691</v>
      </c>
      <c r="H90">
        <v>2014</v>
      </c>
      <c r="I90">
        <v>5</v>
      </c>
      <c r="J90">
        <v>23</v>
      </c>
      <c r="K90" t="s">
        <v>35</v>
      </c>
      <c r="L90">
        <v>78.5</v>
      </c>
      <c r="M90" t="s">
        <v>36</v>
      </c>
      <c r="N90">
        <v>96.5</v>
      </c>
      <c r="O90" t="s">
        <v>20</v>
      </c>
      <c r="P90">
        <f t="shared" si="14"/>
        <v>175</v>
      </c>
      <c r="Q90">
        <f t="shared" si="15"/>
        <v>18</v>
      </c>
      <c r="R90" t="str">
        <f t="shared" si="16"/>
        <v>Walker/Cory</v>
      </c>
      <c r="S90" t="str">
        <f t="shared" si="17"/>
        <v>Clay/Ryan</v>
      </c>
      <c r="T90">
        <f t="shared" si="18"/>
        <v>96.5</v>
      </c>
      <c r="U90">
        <f t="shared" si="19"/>
        <v>78.5</v>
      </c>
    </row>
    <row r="91" spans="1:21" x14ac:dyDescent="0.3">
      <c r="A91">
        <v>90</v>
      </c>
      <c r="B91" t="str">
        <f>H91&amp;R91&amp;I91</f>
        <v>2014Eric/Blake5</v>
      </c>
      <c r="C91" t="str">
        <f>H91&amp;S91&amp;I91</f>
        <v>2014David/Marshall5</v>
      </c>
      <c r="D91">
        <f t="shared" si="10"/>
        <v>115</v>
      </c>
      <c r="E91">
        <f t="shared" si="11"/>
        <v>474</v>
      </c>
      <c r="F91">
        <f t="shared" si="12"/>
        <v>277</v>
      </c>
      <c r="G91">
        <f t="shared" si="13"/>
        <v>678</v>
      </c>
      <c r="H91">
        <v>2014</v>
      </c>
      <c r="I91">
        <v>5</v>
      </c>
      <c r="J91">
        <v>24</v>
      </c>
      <c r="K91" t="s">
        <v>38</v>
      </c>
      <c r="L91">
        <v>80.5</v>
      </c>
      <c r="M91" t="s">
        <v>34</v>
      </c>
      <c r="N91">
        <v>128.5</v>
      </c>
      <c r="O91" t="s">
        <v>20</v>
      </c>
      <c r="P91">
        <f t="shared" si="14"/>
        <v>209</v>
      </c>
      <c r="Q91">
        <f t="shared" si="15"/>
        <v>48</v>
      </c>
      <c r="R91" t="str">
        <f t="shared" si="16"/>
        <v>Eric/Blake</v>
      </c>
      <c r="S91" t="str">
        <f t="shared" si="17"/>
        <v>David/Marshall</v>
      </c>
      <c r="T91">
        <f t="shared" si="18"/>
        <v>128.5</v>
      </c>
      <c r="U91">
        <f t="shared" si="19"/>
        <v>80.5</v>
      </c>
    </row>
    <row r="92" spans="1:21" x14ac:dyDescent="0.3">
      <c r="A92">
        <v>91</v>
      </c>
      <c r="B92" t="str">
        <f>H92&amp;R92&amp;I92</f>
        <v>2014Pat/Tucker6</v>
      </c>
      <c r="C92" t="str">
        <f>H92&amp;S92&amp;I92</f>
        <v>2014Eric/Blake6</v>
      </c>
      <c r="D92">
        <f t="shared" si="10"/>
        <v>181</v>
      </c>
      <c r="E92">
        <f t="shared" si="11"/>
        <v>5</v>
      </c>
      <c r="F92">
        <f t="shared" si="12"/>
        <v>9</v>
      </c>
      <c r="G92">
        <f t="shared" si="13"/>
        <v>21</v>
      </c>
      <c r="H92">
        <v>2014</v>
      </c>
      <c r="I92">
        <v>6</v>
      </c>
      <c r="J92">
        <v>25</v>
      </c>
      <c r="K92" t="s">
        <v>34</v>
      </c>
      <c r="L92">
        <v>131</v>
      </c>
      <c r="M92" t="s">
        <v>31</v>
      </c>
      <c r="N92">
        <v>172.5</v>
      </c>
      <c r="O92" t="s">
        <v>20</v>
      </c>
      <c r="P92">
        <f t="shared" si="14"/>
        <v>303.5</v>
      </c>
      <c r="Q92">
        <f t="shared" si="15"/>
        <v>41.5</v>
      </c>
      <c r="R92" t="str">
        <f t="shared" si="16"/>
        <v>Pat/Tucker</v>
      </c>
      <c r="S92" t="str">
        <f t="shared" si="17"/>
        <v>Eric/Blake</v>
      </c>
      <c r="T92">
        <f t="shared" si="18"/>
        <v>172.5</v>
      </c>
      <c r="U92">
        <f t="shared" si="19"/>
        <v>131</v>
      </c>
    </row>
    <row r="93" spans="1:21" x14ac:dyDescent="0.3">
      <c r="A93">
        <v>92</v>
      </c>
      <c r="B93" t="str">
        <f>H93&amp;R93&amp;I93</f>
        <v>2014David/Marshall6</v>
      </c>
      <c r="C93" t="str">
        <f>H93&amp;S93&amp;I93</f>
        <v>2014Clay/Ryan6</v>
      </c>
      <c r="D93">
        <f t="shared" si="10"/>
        <v>103</v>
      </c>
      <c r="E93">
        <f t="shared" si="11"/>
        <v>405</v>
      </c>
      <c r="F93">
        <f t="shared" si="12"/>
        <v>219</v>
      </c>
      <c r="G93">
        <f t="shared" si="13"/>
        <v>637</v>
      </c>
      <c r="H93">
        <v>2014</v>
      </c>
      <c r="I93">
        <v>6</v>
      </c>
      <c r="J93">
        <v>26</v>
      </c>
      <c r="K93" t="s">
        <v>35</v>
      </c>
      <c r="L93">
        <v>83.5</v>
      </c>
      <c r="M93" t="s">
        <v>38</v>
      </c>
      <c r="N93">
        <v>133</v>
      </c>
      <c r="O93" t="s">
        <v>20</v>
      </c>
      <c r="P93">
        <f t="shared" si="14"/>
        <v>216.5</v>
      </c>
      <c r="Q93">
        <f t="shared" si="15"/>
        <v>49.5</v>
      </c>
      <c r="R93" t="str">
        <f t="shared" si="16"/>
        <v>David/Marshall</v>
      </c>
      <c r="S93" t="str">
        <f t="shared" si="17"/>
        <v>Clay/Ryan</v>
      </c>
      <c r="T93">
        <f t="shared" si="18"/>
        <v>133</v>
      </c>
      <c r="U93">
        <f t="shared" si="19"/>
        <v>83.5</v>
      </c>
    </row>
    <row r="94" spans="1:21" x14ac:dyDescent="0.3">
      <c r="A94">
        <v>93</v>
      </c>
      <c r="B94" t="str">
        <f>H94&amp;R94&amp;I94</f>
        <v>2014Brian/Travis6</v>
      </c>
      <c r="C94" t="str">
        <f>H94&amp;S94&amp;I94</f>
        <v>2014Trent/Colin6</v>
      </c>
      <c r="D94">
        <f t="shared" si="10"/>
        <v>485</v>
      </c>
      <c r="E94">
        <f t="shared" si="11"/>
        <v>862</v>
      </c>
      <c r="F94">
        <f t="shared" si="12"/>
        <v>854</v>
      </c>
      <c r="G94">
        <f t="shared" si="13"/>
        <v>840</v>
      </c>
      <c r="H94">
        <v>2014</v>
      </c>
      <c r="I94">
        <v>6</v>
      </c>
      <c r="J94">
        <v>27</v>
      </c>
      <c r="K94" t="s">
        <v>32</v>
      </c>
      <c r="L94">
        <v>80</v>
      </c>
      <c r="M94" t="s">
        <v>33</v>
      </c>
      <c r="N94">
        <v>61.5</v>
      </c>
      <c r="O94" t="s">
        <v>20</v>
      </c>
      <c r="P94">
        <f t="shared" si="14"/>
        <v>141.5</v>
      </c>
      <c r="Q94">
        <f t="shared" si="15"/>
        <v>18.5</v>
      </c>
      <c r="R94" t="str">
        <f t="shared" si="16"/>
        <v>Brian/Travis</v>
      </c>
      <c r="S94" t="str">
        <f t="shared" si="17"/>
        <v>Trent/Colin</v>
      </c>
      <c r="T94">
        <f t="shared" si="18"/>
        <v>80</v>
      </c>
      <c r="U94">
        <f t="shared" si="19"/>
        <v>61.5</v>
      </c>
    </row>
    <row r="95" spans="1:21" x14ac:dyDescent="0.3">
      <c r="A95">
        <v>94</v>
      </c>
      <c r="B95" t="str">
        <f>H95&amp;R95&amp;I95</f>
        <v>2014Walker/Cory6</v>
      </c>
      <c r="C95" t="str">
        <f>H95&amp;S95&amp;I95</f>
        <v>2014Drew/Cam6</v>
      </c>
      <c r="D95">
        <f t="shared" si="10"/>
        <v>322</v>
      </c>
      <c r="E95">
        <f t="shared" si="11"/>
        <v>846</v>
      </c>
      <c r="F95">
        <f t="shared" si="12"/>
        <v>819</v>
      </c>
      <c r="G95">
        <f t="shared" si="13"/>
        <v>840</v>
      </c>
      <c r="H95">
        <v>2014</v>
      </c>
      <c r="I95">
        <v>6</v>
      </c>
      <c r="J95">
        <v>28</v>
      </c>
      <c r="K95" t="s">
        <v>36</v>
      </c>
      <c r="L95">
        <v>90</v>
      </c>
      <c r="M95" t="s">
        <v>37</v>
      </c>
      <c r="N95">
        <v>61.5</v>
      </c>
      <c r="O95" t="s">
        <v>20</v>
      </c>
      <c r="P95">
        <f t="shared" si="14"/>
        <v>151.5</v>
      </c>
      <c r="Q95">
        <f t="shared" si="15"/>
        <v>28.5</v>
      </c>
      <c r="R95" t="str">
        <f t="shared" si="16"/>
        <v>Walker/Cory</v>
      </c>
      <c r="S95" t="str">
        <f t="shared" si="17"/>
        <v>Drew/Cam</v>
      </c>
      <c r="T95">
        <f t="shared" si="18"/>
        <v>90</v>
      </c>
      <c r="U95">
        <f t="shared" si="19"/>
        <v>61.5</v>
      </c>
    </row>
    <row r="96" spans="1:21" x14ac:dyDescent="0.3">
      <c r="A96">
        <v>95</v>
      </c>
      <c r="B96" t="str">
        <f>H96&amp;R96&amp;I96</f>
        <v>2014Graham/Michael6</v>
      </c>
      <c r="C96" t="str">
        <f>H96&amp;S96&amp;I96</f>
        <v>2014Dave/Nolan6</v>
      </c>
      <c r="D96">
        <f t="shared" si="10"/>
        <v>139</v>
      </c>
      <c r="E96">
        <f t="shared" si="11"/>
        <v>367</v>
      </c>
      <c r="F96">
        <f t="shared" si="12"/>
        <v>212</v>
      </c>
      <c r="G96">
        <f t="shared" si="13"/>
        <v>534</v>
      </c>
      <c r="H96">
        <v>2014</v>
      </c>
      <c r="I96">
        <v>6</v>
      </c>
      <c r="J96">
        <v>29</v>
      </c>
      <c r="K96" t="s">
        <v>30</v>
      </c>
      <c r="L96">
        <v>88.5</v>
      </c>
      <c r="M96" t="s">
        <v>29</v>
      </c>
      <c r="N96">
        <v>133.5</v>
      </c>
      <c r="O96" t="s">
        <v>20</v>
      </c>
      <c r="P96">
        <f t="shared" si="14"/>
        <v>222</v>
      </c>
      <c r="Q96">
        <f t="shared" si="15"/>
        <v>45</v>
      </c>
      <c r="R96" t="str">
        <f t="shared" si="16"/>
        <v>Graham/Michael</v>
      </c>
      <c r="S96" t="str">
        <f t="shared" si="17"/>
        <v>Dave/Nolan</v>
      </c>
      <c r="T96">
        <f t="shared" si="18"/>
        <v>133.5</v>
      </c>
      <c r="U96">
        <f t="shared" si="19"/>
        <v>88.5</v>
      </c>
    </row>
    <row r="97" spans="1:21" x14ac:dyDescent="0.3">
      <c r="A97">
        <v>96</v>
      </c>
      <c r="B97" t="str">
        <f>H97&amp;R97&amp;I97</f>
        <v>2014Pat/Tucker7</v>
      </c>
      <c r="C97" t="str">
        <f>H97&amp;S97&amp;I97</f>
        <v>2014Clay/Ryan7</v>
      </c>
      <c r="D97">
        <f t="shared" si="10"/>
        <v>720</v>
      </c>
      <c r="E97">
        <f t="shared" si="11"/>
        <v>423</v>
      </c>
      <c r="F97">
        <f t="shared" si="12"/>
        <v>580</v>
      </c>
      <c r="G97">
        <f t="shared" si="13"/>
        <v>263</v>
      </c>
      <c r="H97">
        <v>2014</v>
      </c>
      <c r="I97">
        <v>7</v>
      </c>
      <c r="J97">
        <v>30</v>
      </c>
      <c r="K97" t="s">
        <v>35</v>
      </c>
      <c r="L97">
        <v>103.5</v>
      </c>
      <c r="M97" t="s">
        <v>31</v>
      </c>
      <c r="N97">
        <v>110.5</v>
      </c>
      <c r="O97" t="s">
        <v>20</v>
      </c>
      <c r="P97">
        <f t="shared" si="14"/>
        <v>214</v>
      </c>
      <c r="Q97">
        <f t="shared" si="15"/>
        <v>7</v>
      </c>
      <c r="R97" t="str">
        <f t="shared" si="16"/>
        <v>Pat/Tucker</v>
      </c>
      <c r="S97" t="str">
        <f t="shared" si="17"/>
        <v>Clay/Ryan</v>
      </c>
      <c r="T97">
        <f t="shared" si="18"/>
        <v>110.5</v>
      </c>
      <c r="U97">
        <f t="shared" si="19"/>
        <v>103.5</v>
      </c>
    </row>
    <row r="98" spans="1:21" x14ac:dyDescent="0.3">
      <c r="A98">
        <v>97</v>
      </c>
      <c r="B98" t="str">
        <f>H98&amp;R98&amp;I98</f>
        <v>2014Walker/Cory7</v>
      </c>
      <c r="C98" t="str">
        <f>H98&amp;S98&amp;I98</f>
        <v>2014Dave/Nolan7</v>
      </c>
      <c r="D98">
        <f t="shared" si="10"/>
        <v>686</v>
      </c>
      <c r="E98">
        <f t="shared" si="11"/>
        <v>682</v>
      </c>
      <c r="F98">
        <f t="shared" si="12"/>
        <v>739</v>
      </c>
      <c r="G98">
        <f t="shared" si="13"/>
        <v>526</v>
      </c>
      <c r="H98">
        <v>2014</v>
      </c>
      <c r="I98">
        <v>7</v>
      </c>
      <c r="J98">
        <v>31</v>
      </c>
      <c r="K98" t="s">
        <v>30</v>
      </c>
      <c r="L98">
        <v>89</v>
      </c>
      <c r="M98" t="s">
        <v>36</v>
      </c>
      <c r="N98">
        <v>97.5</v>
      </c>
      <c r="O98" t="s">
        <v>20</v>
      </c>
      <c r="P98">
        <f t="shared" si="14"/>
        <v>186.5</v>
      </c>
      <c r="Q98">
        <f t="shared" si="15"/>
        <v>8.5</v>
      </c>
      <c r="R98" t="str">
        <f t="shared" si="16"/>
        <v>Walker/Cory</v>
      </c>
      <c r="S98" t="str">
        <f t="shared" si="17"/>
        <v>Dave/Nolan</v>
      </c>
      <c r="T98">
        <f t="shared" si="18"/>
        <v>97.5</v>
      </c>
      <c r="U98">
        <f t="shared" si="19"/>
        <v>89</v>
      </c>
    </row>
    <row r="99" spans="1:21" x14ac:dyDescent="0.3">
      <c r="A99">
        <v>98</v>
      </c>
      <c r="B99" t="str">
        <f>H99&amp;R99&amp;I99</f>
        <v>2014Trent/Colin7</v>
      </c>
      <c r="C99" t="str">
        <f>H99&amp;S99&amp;I99</f>
        <v>2014David/Marshall7</v>
      </c>
      <c r="D99">
        <f t="shared" si="10"/>
        <v>264</v>
      </c>
      <c r="E99">
        <f t="shared" si="11"/>
        <v>870</v>
      </c>
      <c r="F99">
        <f t="shared" si="12"/>
        <v>866</v>
      </c>
      <c r="G99">
        <f t="shared" si="13"/>
        <v>870</v>
      </c>
      <c r="H99">
        <v>2014</v>
      </c>
      <c r="I99">
        <v>7</v>
      </c>
      <c r="J99">
        <v>32</v>
      </c>
      <c r="K99" t="s">
        <v>33</v>
      </c>
      <c r="L99">
        <v>74</v>
      </c>
      <c r="M99" t="s">
        <v>38</v>
      </c>
      <c r="N99">
        <v>41</v>
      </c>
      <c r="O99" t="s">
        <v>20</v>
      </c>
      <c r="P99">
        <f t="shared" si="14"/>
        <v>115</v>
      </c>
      <c r="Q99">
        <f t="shared" si="15"/>
        <v>33</v>
      </c>
      <c r="R99" t="str">
        <f t="shared" si="16"/>
        <v>Trent/Colin</v>
      </c>
      <c r="S99" t="str">
        <f t="shared" si="17"/>
        <v>David/Marshall</v>
      </c>
      <c r="T99">
        <f t="shared" si="18"/>
        <v>74</v>
      </c>
      <c r="U99">
        <f t="shared" si="19"/>
        <v>41</v>
      </c>
    </row>
    <row r="100" spans="1:21" x14ac:dyDescent="0.3">
      <c r="A100">
        <v>99</v>
      </c>
      <c r="B100" t="str">
        <f>H100&amp;R100&amp;I100</f>
        <v>2014Graham/Michael7</v>
      </c>
      <c r="C100" t="str">
        <f>H100&amp;S100&amp;I100</f>
        <v>2014Drew/Cam7</v>
      </c>
      <c r="D100">
        <f t="shared" si="10"/>
        <v>14</v>
      </c>
      <c r="E100">
        <f t="shared" si="11"/>
        <v>586</v>
      </c>
      <c r="F100">
        <f t="shared" si="12"/>
        <v>163</v>
      </c>
      <c r="G100">
        <f t="shared" si="13"/>
        <v>845</v>
      </c>
      <c r="H100">
        <v>2014</v>
      </c>
      <c r="I100">
        <v>7</v>
      </c>
      <c r="J100">
        <v>33</v>
      </c>
      <c r="K100" t="s">
        <v>29</v>
      </c>
      <c r="L100">
        <v>137.5</v>
      </c>
      <c r="M100" t="s">
        <v>37</v>
      </c>
      <c r="N100">
        <v>60.5</v>
      </c>
      <c r="O100" t="s">
        <v>20</v>
      </c>
      <c r="P100">
        <f t="shared" si="14"/>
        <v>198</v>
      </c>
      <c r="Q100">
        <f t="shared" si="15"/>
        <v>77</v>
      </c>
      <c r="R100" t="str">
        <f t="shared" si="16"/>
        <v>Graham/Michael</v>
      </c>
      <c r="S100" t="str">
        <f t="shared" si="17"/>
        <v>Drew/Cam</v>
      </c>
      <c r="T100">
        <f t="shared" si="18"/>
        <v>137.5</v>
      </c>
      <c r="U100">
        <f t="shared" si="19"/>
        <v>60.5</v>
      </c>
    </row>
    <row r="101" spans="1:21" x14ac:dyDescent="0.3">
      <c r="A101">
        <v>100</v>
      </c>
      <c r="B101" t="str">
        <f>H101&amp;R101&amp;I101</f>
        <v>2014Brian/Travis7</v>
      </c>
      <c r="C101" t="str">
        <f>H101&amp;S101&amp;I101</f>
        <v>2014Eric/Blake7</v>
      </c>
      <c r="D101">
        <f t="shared" si="10"/>
        <v>369</v>
      </c>
      <c r="E101">
        <f t="shared" si="11"/>
        <v>340</v>
      </c>
      <c r="F101">
        <f t="shared" si="12"/>
        <v>346</v>
      </c>
      <c r="G101">
        <f t="shared" si="13"/>
        <v>337</v>
      </c>
      <c r="H101">
        <v>2014</v>
      </c>
      <c r="I101">
        <v>7</v>
      </c>
      <c r="J101">
        <v>34</v>
      </c>
      <c r="K101" t="s">
        <v>32</v>
      </c>
      <c r="L101">
        <v>124.5</v>
      </c>
      <c r="M101" t="s">
        <v>34</v>
      </c>
      <c r="N101">
        <v>99.5</v>
      </c>
      <c r="O101" t="s">
        <v>20</v>
      </c>
      <c r="P101">
        <f t="shared" si="14"/>
        <v>224</v>
      </c>
      <c r="Q101">
        <f t="shared" si="15"/>
        <v>25</v>
      </c>
      <c r="R101" t="str">
        <f t="shared" si="16"/>
        <v>Brian/Travis</v>
      </c>
      <c r="S101" t="str">
        <f t="shared" si="17"/>
        <v>Eric/Blake</v>
      </c>
      <c r="T101">
        <f t="shared" si="18"/>
        <v>124.5</v>
      </c>
      <c r="U101">
        <f t="shared" si="19"/>
        <v>99.5</v>
      </c>
    </row>
    <row r="102" spans="1:21" x14ac:dyDescent="0.3">
      <c r="A102">
        <v>101</v>
      </c>
      <c r="B102" t="str">
        <f>H102&amp;R102&amp;I102</f>
        <v>2014Trent/Colin8</v>
      </c>
      <c r="C102" t="str">
        <f>H102&amp;S102&amp;I102</f>
        <v>2014Dave/Nolan8</v>
      </c>
      <c r="D102">
        <f t="shared" si="10"/>
        <v>76</v>
      </c>
      <c r="E102">
        <f t="shared" si="11"/>
        <v>84</v>
      </c>
      <c r="F102">
        <f t="shared" si="12"/>
        <v>42</v>
      </c>
      <c r="G102">
        <f t="shared" si="13"/>
        <v>280</v>
      </c>
      <c r="H102">
        <v>2014</v>
      </c>
      <c r="I102">
        <v>8</v>
      </c>
      <c r="J102">
        <v>35</v>
      </c>
      <c r="K102" t="s">
        <v>33</v>
      </c>
      <c r="L102">
        <v>156.5</v>
      </c>
      <c r="M102" t="s">
        <v>30</v>
      </c>
      <c r="N102">
        <v>102.5</v>
      </c>
      <c r="O102" t="s">
        <v>20</v>
      </c>
      <c r="P102">
        <f t="shared" si="14"/>
        <v>259</v>
      </c>
      <c r="Q102">
        <f t="shared" si="15"/>
        <v>54</v>
      </c>
      <c r="R102" t="str">
        <f t="shared" si="16"/>
        <v>Trent/Colin</v>
      </c>
      <c r="S102" t="str">
        <f t="shared" si="17"/>
        <v>Dave/Nolan</v>
      </c>
      <c r="T102">
        <f t="shared" si="18"/>
        <v>156.5</v>
      </c>
      <c r="U102">
        <f t="shared" si="19"/>
        <v>102.5</v>
      </c>
    </row>
    <row r="103" spans="1:21" x14ac:dyDescent="0.3">
      <c r="A103">
        <v>102</v>
      </c>
      <c r="B103" t="str">
        <f>H103&amp;R103&amp;I103</f>
        <v>2014Clay/Ryan8</v>
      </c>
      <c r="C103" t="str">
        <f>H103&amp;S103&amp;I103</f>
        <v>2014Drew/Cam8</v>
      </c>
      <c r="D103">
        <f t="shared" si="10"/>
        <v>465</v>
      </c>
      <c r="E103">
        <f t="shared" si="11"/>
        <v>198</v>
      </c>
      <c r="F103">
        <f t="shared" si="12"/>
        <v>247</v>
      </c>
      <c r="G103">
        <f t="shared" si="13"/>
        <v>173</v>
      </c>
      <c r="H103">
        <v>2014</v>
      </c>
      <c r="I103">
        <v>8</v>
      </c>
      <c r="J103">
        <v>36</v>
      </c>
      <c r="K103" t="s">
        <v>35</v>
      </c>
      <c r="L103">
        <v>130.5</v>
      </c>
      <c r="M103" t="s">
        <v>37</v>
      </c>
      <c r="N103">
        <v>110.5</v>
      </c>
      <c r="O103" t="s">
        <v>20</v>
      </c>
      <c r="P103">
        <f t="shared" si="14"/>
        <v>241</v>
      </c>
      <c r="Q103">
        <f t="shared" si="15"/>
        <v>20</v>
      </c>
      <c r="R103" t="str">
        <f t="shared" si="16"/>
        <v>Clay/Ryan</v>
      </c>
      <c r="S103" t="str">
        <f t="shared" si="17"/>
        <v>Drew/Cam</v>
      </c>
      <c r="T103">
        <f t="shared" si="18"/>
        <v>130.5</v>
      </c>
      <c r="U103">
        <f t="shared" si="19"/>
        <v>110.5</v>
      </c>
    </row>
    <row r="104" spans="1:21" x14ac:dyDescent="0.3">
      <c r="A104">
        <v>103</v>
      </c>
      <c r="B104" t="str">
        <f>H104&amp;R104&amp;I104</f>
        <v>2014Graham/Michael8</v>
      </c>
      <c r="C104" t="str">
        <f>H104&amp;S104&amp;I104</f>
        <v>2014Walker/Cory8</v>
      </c>
      <c r="D104">
        <f t="shared" si="10"/>
        <v>277</v>
      </c>
      <c r="E104">
        <f t="shared" si="11"/>
        <v>52</v>
      </c>
      <c r="F104">
        <f t="shared" si="12"/>
        <v>62</v>
      </c>
      <c r="G104">
        <f t="shared" si="13"/>
        <v>80</v>
      </c>
      <c r="H104">
        <v>2014</v>
      </c>
      <c r="I104">
        <v>8</v>
      </c>
      <c r="J104">
        <v>37</v>
      </c>
      <c r="K104" t="s">
        <v>36</v>
      </c>
      <c r="L104">
        <v>119.5</v>
      </c>
      <c r="M104" t="s">
        <v>29</v>
      </c>
      <c r="N104">
        <v>151.5</v>
      </c>
      <c r="O104" t="s">
        <v>20</v>
      </c>
      <c r="P104">
        <f t="shared" si="14"/>
        <v>271</v>
      </c>
      <c r="Q104">
        <f t="shared" si="15"/>
        <v>32</v>
      </c>
      <c r="R104" t="str">
        <f t="shared" si="16"/>
        <v>Graham/Michael</v>
      </c>
      <c r="S104" t="str">
        <f t="shared" si="17"/>
        <v>Walker/Cory</v>
      </c>
      <c r="T104">
        <f t="shared" si="18"/>
        <v>151.5</v>
      </c>
      <c r="U104">
        <f t="shared" si="19"/>
        <v>119.5</v>
      </c>
    </row>
    <row r="105" spans="1:21" x14ac:dyDescent="0.3">
      <c r="A105">
        <v>104</v>
      </c>
      <c r="B105" t="str">
        <f>H105&amp;R105&amp;I105</f>
        <v>2014Pat/Tucker8</v>
      </c>
      <c r="C105" t="str">
        <f>H105&amp;S105&amp;I105</f>
        <v>2014Brian/Travis8</v>
      </c>
      <c r="D105">
        <f t="shared" si="10"/>
        <v>674</v>
      </c>
      <c r="E105">
        <f t="shared" si="11"/>
        <v>444</v>
      </c>
      <c r="F105">
        <f t="shared" si="12"/>
        <v>580</v>
      </c>
      <c r="G105">
        <f t="shared" si="13"/>
        <v>293</v>
      </c>
      <c r="H105">
        <v>2014</v>
      </c>
      <c r="I105">
        <v>8</v>
      </c>
      <c r="J105">
        <v>38</v>
      </c>
      <c r="K105" t="s">
        <v>32</v>
      </c>
      <c r="L105">
        <v>101.5</v>
      </c>
      <c r="M105" t="s">
        <v>31</v>
      </c>
      <c r="N105">
        <v>110.5</v>
      </c>
      <c r="O105" t="s">
        <v>20</v>
      </c>
      <c r="P105">
        <f t="shared" si="14"/>
        <v>212</v>
      </c>
      <c r="Q105">
        <f t="shared" si="15"/>
        <v>9</v>
      </c>
      <c r="R105" t="str">
        <f t="shared" si="16"/>
        <v>Pat/Tucker</v>
      </c>
      <c r="S105" t="str">
        <f t="shared" si="17"/>
        <v>Brian/Travis</v>
      </c>
      <c r="T105">
        <f t="shared" si="18"/>
        <v>110.5</v>
      </c>
      <c r="U105">
        <f t="shared" si="19"/>
        <v>101.5</v>
      </c>
    </row>
    <row r="106" spans="1:21" x14ac:dyDescent="0.3">
      <c r="A106">
        <v>105</v>
      </c>
      <c r="B106" t="str">
        <f>H106&amp;R106&amp;I106</f>
        <v>2014Eric/Blake8</v>
      </c>
      <c r="C106" t="str">
        <f>H106&amp;S106&amp;I106</f>
        <v>2014David/Marshall8</v>
      </c>
      <c r="D106">
        <f t="shared" si="10"/>
        <v>123</v>
      </c>
      <c r="E106">
        <f t="shared" si="11"/>
        <v>246</v>
      </c>
      <c r="F106">
        <f t="shared" si="12"/>
        <v>129</v>
      </c>
      <c r="G106">
        <f t="shared" si="13"/>
        <v>435</v>
      </c>
      <c r="H106">
        <v>2014</v>
      </c>
      <c r="I106">
        <v>8</v>
      </c>
      <c r="J106">
        <v>39</v>
      </c>
      <c r="K106" t="s">
        <v>38</v>
      </c>
      <c r="L106">
        <v>94</v>
      </c>
      <c r="M106" t="s">
        <v>34</v>
      </c>
      <c r="N106">
        <v>141</v>
      </c>
      <c r="O106" t="s">
        <v>20</v>
      </c>
      <c r="P106">
        <f t="shared" si="14"/>
        <v>235</v>
      </c>
      <c r="Q106">
        <f t="shared" si="15"/>
        <v>47</v>
      </c>
      <c r="R106" t="str">
        <f t="shared" si="16"/>
        <v>Eric/Blake</v>
      </c>
      <c r="S106" t="str">
        <f t="shared" si="17"/>
        <v>David/Marshall</v>
      </c>
      <c r="T106">
        <f t="shared" si="18"/>
        <v>141</v>
      </c>
      <c r="U106">
        <f t="shared" si="19"/>
        <v>94</v>
      </c>
    </row>
    <row r="107" spans="1:21" x14ac:dyDescent="0.3">
      <c r="A107">
        <v>106</v>
      </c>
      <c r="B107" t="str">
        <f>H107&amp;R107&amp;I107</f>
        <v>2014Brian/Travis9</v>
      </c>
      <c r="C107" t="str">
        <f>H107&amp;S107&amp;I107</f>
        <v>2014Walker/Cory9</v>
      </c>
      <c r="D107">
        <f t="shared" si="10"/>
        <v>445</v>
      </c>
      <c r="E107">
        <f t="shared" si="11"/>
        <v>809</v>
      </c>
      <c r="F107">
        <f t="shared" si="12"/>
        <v>802</v>
      </c>
      <c r="G107">
        <f t="shared" si="13"/>
        <v>784</v>
      </c>
      <c r="H107">
        <v>2014</v>
      </c>
      <c r="I107">
        <v>9</v>
      </c>
      <c r="J107">
        <v>40</v>
      </c>
      <c r="K107" t="s">
        <v>36</v>
      </c>
      <c r="L107">
        <v>71</v>
      </c>
      <c r="M107" t="s">
        <v>32</v>
      </c>
      <c r="N107">
        <v>92</v>
      </c>
      <c r="O107" t="s">
        <v>20</v>
      </c>
      <c r="P107">
        <f t="shared" si="14"/>
        <v>163</v>
      </c>
      <c r="Q107">
        <f t="shared" si="15"/>
        <v>21</v>
      </c>
      <c r="R107" t="str">
        <f t="shared" si="16"/>
        <v>Brian/Travis</v>
      </c>
      <c r="S107" t="str">
        <f t="shared" si="17"/>
        <v>Walker/Cory</v>
      </c>
      <c r="T107">
        <f t="shared" si="18"/>
        <v>92</v>
      </c>
      <c r="U107">
        <f t="shared" si="19"/>
        <v>71</v>
      </c>
    </row>
    <row r="108" spans="1:21" x14ac:dyDescent="0.3">
      <c r="A108">
        <v>107</v>
      </c>
      <c r="B108" t="str">
        <f>H108&amp;R108&amp;I108</f>
        <v>2014Drew/Cam9</v>
      </c>
      <c r="C108" t="str">
        <f>H108&amp;S108&amp;I108</f>
        <v>2014Dave/Nolan9</v>
      </c>
      <c r="D108">
        <f t="shared" si="10"/>
        <v>748</v>
      </c>
      <c r="E108">
        <f t="shared" si="11"/>
        <v>320</v>
      </c>
      <c r="F108">
        <f t="shared" si="12"/>
        <v>490</v>
      </c>
      <c r="G108">
        <f t="shared" si="13"/>
        <v>182</v>
      </c>
      <c r="H108">
        <v>2014</v>
      </c>
      <c r="I108">
        <v>9</v>
      </c>
      <c r="J108">
        <v>41</v>
      </c>
      <c r="K108" t="s">
        <v>37</v>
      </c>
      <c r="L108">
        <v>116</v>
      </c>
      <c r="M108" t="s">
        <v>30</v>
      </c>
      <c r="N108">
        <v>110</v>
      </c>
      <c r="O108" t="s">
        <v>20</v>
      </c>
      <c r="P108">
        <f t="shared" si="14"/>
        <v>226</v>
      </c>
      <c r="Q108">
        <f t="shared" si="15"/>
        <v>6</v>
      </c>
      <c r="R108" t="str">
        <f t="shared" si="16"/>
        <v>Drew/Cam</v>
      </c>
      <c r="S108" t="str">
        <f t="shared" si="17"/>
        <v>Dave/Nolan</v>
      </c>
      <c r="T108">
        <f t="shared" si="18"/>
        <v>116</v>
      </c>
      <c r="U108">
        <f t="shared" si="19"/>
        <v>110</v>
      </c>
    </row>
    <row r="109" spans="1:21" x14ac:dyDescent="0.3">
      <c r="A109">
        <v>108</v>
      </c>
      <c r="B109" t="str">
        <f>H109&amp;R109&amp;I109</f>
        <v>2014David/Marshall9</v>
      </c>
      <c r="C109" t="str">
        <f>H109&amp;S109&amp;I109</f>
        <v>2014Pat/Tucker9</v>
      </c>
      <c r="D109">
        <f t="shared" si="10"/>
        <v>322</v>
      </c>
      <c r="E109">
        <f t="shared" si="11"/>
        <v>729</v>
      </c>
      <c r="F109">
        <f t="shared" si="12"/>
        <v>656</v>
      </c>
      <c r="G109">
        <f t="shared" si="13"/>
        <v>719</v>
      </c>
      <c r="H109">
        <v>2014</v>
      </c>
      <c r="I109">
        <v>9</v>
      </c>
      <c r="J109">
        <v>42</v>
      </c>
      <c r="K109" t="s">
        <v>38</v>
      </c>
      <c r="L109">
        <v>104.5</v>
      </c>
      <c r="M109" t="s">
        <v>31</v>
      </c>
      <c r="N109">
        <v>76</v>
      </c>
      <c r="O109" t="s">
        <v>20</v>
      </c>
      <c r="P109">
        <f t="shared" si="14"/>
        <v>180.5</v>
      </c>
      <c r="Q109">
        <f t="shared" si="15"/>
        <v>28.5</v>
      </c>
      <c r="R109" t="str">
        <f t="shared" si="16"/>
        <v>David/Marshall</v>
      </c>
      <c r="S109" t="str">
        <f t="shared" si="17"/>
        <v>Pat/Tucker</v>
      </c>
      <c r="T109">
        <f t="shared" si="18"/>
        <v>104.5</v>
      </c>
      <c r="U109">
        <f t="shared" si="19"/>
        <v>76</v>
      </c>
    </row>
    <row r="110" spans="1:21" x14ac:dyDescent="0.3">
      <c r="A110">
        <v>109</v>
      </c>
      <c r="B110" t="str">
        <f>H110&amp;R110&amp;I110</f>
        <v>2014Clay/Ryan9</v>
      </c>
      <c r="C110" t="str">
        <f>H110&amp;S110&amp;I110</f>
        <v>2014Graham/Michael9</v>
      </c>
      <c r="D110">
        <f t="shared" si="10"/>
        <v>485</v>
      </c>
      <c r="E110">
        <f t="shared" si="11"/>
        <v>116</v>
      </c>
      <c r="F110">
        <f t="shared" si="12"/>
        <v>181</v>
      </c>
      <c r="G110">
        <f t="shared" si="13"/>
        <v>95</v>
      </c>
      <c r="H110">
        <v>2014</v>
      </c>
      <c r="I110">
        <v>9</v>
      </c>
      <c r="J110">
        <v>43</v>
      </c>
      <c r="K110" t="s">
        <v>29</v>
      </c>
      <c r="L110">
        <v>117.5</v>
      </c>
      <c r="M110" t="s">
        <v>35</v>
      </c>
      <c r="N110">
        <v>136</v>
      </c>
      <c r="O110" t="s">
        <v>20</v>
      </c>
      <c r="P110">
        <f t="shared" si="14"/>
        <v>253.5</v>
      </c>
      <c r="Q110">
        <f t="shared" si="15"/>
        <v>18.5</v>
      </c>
      <c r="R110" t="str">
        <f t="shared" si="16"/>
        <v>Clay/Ryan</v>
      </c>
      <c r="S110" t="str">
        <f t="shared" si="17"/>
        <v>Graham/Michael</v>
      </c>
      <c r="T110">
        <f t="shared" si="18"/>
        <v>136</v>
      </c>
      <c r="U110">
        <f t="shared" si="19"/>
        <v>117.5</v>
      </c>
    </row>
    <row r="111" spans="1:21" x14ac:dyDescent="0.3">
      <c r="A111">
        <v>110</v>
      </c>
      <c r="B111" t="str">
        <f>H111&amp;R111&amp;I111</f>
        <v>2014Eric/Blake9</v>
      </c>
      <c r="C111" t="str">
        <f>H111&amp;S111&amp;I111</f>
        <v>2014Trent/Colin9</v>
      </c>
      <c r="D111">
        <f t="shared" si="10"/>
        <v>720</v>
      </c>
      <c r="E111">
        <f t="shared" si="11"/>
        <v>550</v>
      </c>
      <c r="F111">
        <f t="shared" si="12"/>
        <v>656</v>
      </c>
      <c r="G111">
        <f t="shared" si="13"/>
        <v>373</v>
      </c>
      <c r="H111">
        <v>2014</v>
      </c>
      <c r="I111">
        <v>9</v>
      </c>
      <c r="J111">
        <v>44</v>
      </c>
      <c r="K111" t="s">
        <v>34</v>
      </c>
      <c r="L111">
        <v>104.5</v>
      </c>
      <c r="M111" t="s">
        <v>33</v>
      </c>
      <c r="N111">
        <v>97.5</v>
      </c>
      <c r="O111" t="s">
        <v>20</v>
      </c>
      <c r="P111">
        <f t="shared" si="14"/>
        <v>202</v>
      </c>
      <c r="Q111">
        <f t="shared" si="15"/>
        <v>7</v>
      </c>
      <c r="R111" t="str">
        <f t="shared" si="16"/>
        <v>Eric/Blake</v>
      </c>
      <c r="S111" t="str">
        <f t="shared" si="17"/>
        <v>Trent/Colin</v>
      </c>
      <c r="T111">
        <f t="shared" si="18"/>
        <v>104.5</v>
      </c>
      <c r="U111">
        <f t="shared" si="19"/>
        <v>97.5</v>
      </c>
    </row>
    <row r="112" spans="1:21" x14ac:dyDescent="0.3">
      <c r="A112">
        <v>111</v>
      </c>
      <c r="B112" t="str">
        <f>H112&amp;R112&amp;I112</f>
        <v>2014Clay/Ryan10</v>
      </c>
      <c r="C112" t="str">
        <f>H112&amp;S112&amp;I112</f>
        <v>2014Walker/Cory10</v>
      </c>
      <c r="D112">
        <f t="shared" si="10"/>
        <v>813</v>
      </c>
      <c r="E112">
        <f t="shared" si="11"/>
        <v>616</v>
      </c>
      <c r="F112">
        <f t="shared" si="12"/>
        <v>724</v>
      </c>
      <c r="G112">
        <f t="shared" si="13"/>
        <v>410</v>
      </c>
      <c r="H112">
        <v>2014</v>
      </c>
      <c r="I112">
        <v>10</v>
      </c>
      <c r="J112">
        <v>45</v>
      </c>
      <c r="K112" t="s">
        <v>36</v>
      </c>
      <c r="L112">
        <v>95.5</v>
      </c>
      <c r="M112" t="s">
        <v>35</v>
      </c>
      <c r="N112">
        <v>98.5</v>
      </c>
      <c r="O112" t="s">
        <v>20</v>
      </c>
      <c r="P112">
        <f t="shared" si="14"/>
        <v>194</v>
      </c>
      <c r="Q112">
        <f t="shared" si="15"/>
        <v>3</v>
      </c>
      <c r="R112" t="str">
        <f t="shared" si="16"/>
        <v>Clay/Ryan</v>
      </c>
      <c r="S112" t="str">
        <f t="shared" si="17"/>
        <v>Walker/Cory</v>
      </c>
      <c r="T112">
        <f t="shared" si="18"/>
        <v>98.5</v>
      </c>
      <c r="U112">
        <f t="shared" si="19"/>
        <v>95.5</v>
      </c>
    </row>
    <row r="113" spans="1:21" x14ac:dyDescent="0.3">
      <c r="A113">
        <v>112</v>
      </c>
      <c r="B113" t="str">
        <f>H113&amp;R113&amp;I113</f>
        <v>2014Eric/Blake10</v>
      </c>
      <c r="C113" t="str">
        <f>H113&amp;S113&amp;I113</f>
        <v>2014Graham/Michael10</v>
      </c>
      <c r="D113">
        <f t="shared" si="10"/>
        <v>49</v>
      </c>
      <c r="E113">
        <f t="shared" si="11"/>
        <v>226</v>
      </c>
      <c r="F113">
        <f t="shared" si="12"/>
        <v>81</v>
      </c>
      <c r="G113">
        <f t="shared" si="13"/>
        <v>526</v>
      </c>
      <c r="H113">
        <v>2014</v>
      </c>
      <c r="I113">
        <v>10</v>
      </c>
      <c r="J113">
        <v>46</v>
      </c>
      <c r="K113" t="s">
        <v>34</v>
      </c>
      <c r="L113">
        <v>148.5</v>
      </c>
      <c r="M113" t="s">
        <v>29</v>
      </c>
      <c r="N113">
        <v>89</v>
      </c>
      <c r="O113" t="s">
        <v>20</v>
      </c>
      <c r="P113">
        <f t="shared" si="14"/>
        <v>237.5</v>
      </c>
      <c r="Q113">
        <f t="shared" si="15"/>
        <v>59.5</v>
      </c>
      <c r="R113" t="str">
        <f t="shared" si="16"/>
        <v>Eric/Blake</v>
      </c>
      <c r="S113" t="str">
        <f t="shared" si="17"/>
        <v>Graham/Michael</v>
      </c>
      <c r="T113">
        <f t="shared" si="18"/>
        <v>148.5</v>
      </c>
      <c r="U113">
        <f t="shared" si="19"/>
        <v>89</v>
      </c>
    </row>
    <row r="114" spans="1:21" x14ac:dyDescent="0.3">
      <c r="A114">
        <v>113</v>
      </c>
      <c r="B114" t="str">
        <f>H114&amp;R114&amp;I114</f>
        <v>2014Brian/Travis10</v>
      </c>
      <c r="C114" t="str">
        <f>H114&amp;S114&amp;I114</f>
        <v>2014David/Marshall10</v>
      </c>
      <c r="D114">
        <f t="shared" si="10"/>
        <v>410</v>
      </c>
      <c r="E114">
        <f t="shared" si="11"/>
        <v>157</v>
      </c>
      <c r="F114">
        <f t="shared" si="12"/>
        <v>193</v>
      </c>
      <c r="G114">
        <f t="shared" si="13"/>
        <v>157</v>
      </c>
      <c r="H114">
        <v>2014</v>
      </c>
      <c r="I114">
        <v>10</v>
      </c>
      <c r="J114">
        <v>47</v>
      </c>
      <c r="K114" t="s">
        <v>32</v>
      </c>
      <c r="L114">
        <v>134.5</v>
      </c>
      <c r="M114" t="s">
        <v>38</v>
      </c>
      <c r="N114">
        <v>112</v>
      </c>
      <c r="O114" t="s">
        <v>20</v>
      </c>
      <c r="P114">
        <f t="shared" si="14"/>
        <v>246.5</v>
      </c>
      <c r="Q114">
        <f t="shared" si="15"/>
        <v>22.5</v>
      </c>
      <c r="R114" t="str">
        <f t="shared" si="16"/>
        <v>Brian/Travis</v>
      </c>
      <c r="S114" t="str">
        <f t="shared" si="17"/>
        <v>David/Marshall</v>
      </c>
      <c r="T114">
        <f t="shared" si="18"/>
        <v>134.5</v>
      </c>
      <c r="U114">
        <f t="shared" si="19"/>
        <v>112</v>
      </c>
    </row>
    <row r="115" spans="1:21" x14ac:dyDescent="0.3">
      <c r="A115">
        <v>114</v>
      </c>
      <c r="B115" t="str">
        <f>H115&amp;R115&amp;I115</f>
        <v>2014Dave/Nolan10</v>
      </c>
      <c r="C115" t="str">
        <f>H115&amp;S115&amp;I115</f>
        <v>2014Pat/Tucker10</v>
      </c>
      <c r="D115">
        <f t="shared" si="10"/>
        <v>455</v>
      </c>
      <c r="E115">
        <f t="shared" si="11"/>
        <v>275</v>
      </c>
      <c r="F115">
        <f t="shared" si="12"/>
        <v>330</v>
      </c>
      <c r="G115">
        <f t="shared" si="13"/>
        <v>241</v>
      </c>
      <c r="H115">
        <v>2014</v>
      </c>
      <c r="I115">
        <v>10</v>
      </c>
      <c r="J115">
        <v>48</v>
      </c>
      <c r="K115" t="s">
        <v>31</v>
      </c>
      <c r="L115">
        <v>105</v>
      </c>
      <c r="M115" t="s">
        <v>30</v>
      </c>
      <c r="N115">
        <v>125.5</v>
      </c>
      <c r="O115" t="s">
        <v>20</v>
      </c>
      <c r="P115">
        <f t="shared" si="14"/>
        <v>230.5</v>
      </c>
      <c r="Q115">
        <f t="shared" si="15"/>
        <v>20.5</v>
      </c>
      <c r="R115" t="str">
        <f t="shared" si="16"/>
        <v>Dave/Nolan</v>
      </c>
      <c r="S115" t="str">
        <f t="shared" si="17"/>
        <v>Pat/Tucker</v>
      </c>
      <c r="T115">
        <f t="shared" si="18"/>
        <v>125.5</v>
      </c>
      <c r="U115">
        <f t="shared" si="19"/>
        <v>105</v>
      </c>
    </row>
    <row r="116" spans="1:21" x14ac:dyDescent="0.3">
      <c r="A116">
        <v>115</v>
      </c>
      <c r="B116" t="str">
        <f>H116&amp;R116&amp;I116</f>
        <v>2014Trent/Colin10</v>
      </c>
      <c r="C116" t="str">
        <f>H116&amp;S116&amp;I116</f>
        <v>2014Drew/Cam10</v>
      </c>
      <c r="D116">
        <f t="shared" si="10"/>
        <v>720</v>
      </c>
      <c r="E116">
        <f t="shared" si="11"/>
        <v>725</v>
      </c>
      <c r="F116">
        <f t="shared" si="12"/>
        <v>781</v>
      </c>
      <c r="G116">
        <f t="shared" si="13"/>
        <v>574</v>
      </c>
      <c r="H116">
        <v>2014</v>
      </c>
      <c r="I116">
        <v>10</v>
      </c>
      <c r="J116">
        <v>49</v>
      </c>
      <c r="K116" t="s">
        <v>37</v>
      </c>
      <c r="L116">
        <v>87</v>
      </c>
      <c r="M116" t="s">
        <v>33</v>
      </c>
      <c r="N116">
        <v>94</v>
      </c>
      <c r="O116" t="s">
        <v>20</v>
      </c>
      <c r="P116">
        <f t="shared" si="14"/>
        <v>181</v>
      </c>
      <c r="Q116">
        <f t="shared" si="15"/>
        <v>7</v>
      </c>
      <c r="R116" t="str">
        <f t="shared" si="16"/>
        <v>Trent/Colin</v>
      </c>
      <c r="S116" t="str">
        <f t="shared" si="17"/>
        <v>Drew/Cam</v>
      </c>
      <c r="T116">
        <f t="shared" si="18"/>
        <v>94</v>
      </c>
      <c r="U116">
        <f t="shared" si="19"/>
        <v>87</v>
      </c>
    </row>
    <row r="117" spans="1:21" x14ac:dyDescent="0.3">
      <c r="A117">
        <v>116</v>
      </c>
      <c r="B117" t="str">
        <f>H117&amp;R117&amp;I117</f>
        <v>2014Pat/Tucker11</v>
      </c>
      <c r="C117" t="str">
        <f>H117&amp;S117&amp;I117</f>
        <v>2014Trent/Colin11</v>
      </c>
      <c r="D117">
        <f t="shared" si="10"/>
        <v>402</v>
      </c>
      <c r="E117">
        <f t="shared" si="11"/>
        <v>340</v>
      </c>
      <c r="F117">
        <f t="shared" si="12"/>
        <v>363</v>
      </c>
      <c r="G117">
        <f t="shared" si="13"/>
        <v>315</v>
      </c>
      <c r="H117">
        <v>2014</v>
      </c>
      <c r="I117">
        <v>11</v>
      </c>
      <c r="J117">
        <v>50</v>
      </c>
      <c r="K117" t="s">
        <v>33</v>
      </c>
      <c r="L117">
        <v>100.5</v>
      </c>
      <c r="M117" t="s">
        <v>31</v>
      </c>
      <c r="N117">
        <v>123.5</v>
      </c>
      <c r="O117" t="s">
        <v>20</v>
      </c>
      <c r="P117">
        <f t="shared" si="14"/>
        <v>224</v>
      </c>
      <c r="Q117">
        <f t="shared" si="15"/>
        <v>23</v>
      </c>
      <c r="R117" t="str">
        <f t="shared" si="16"/>
        <v>Pat/Tucker</v>
      </c>
      <c r="S117" t="str">
        <f t="shared" si="17"/>
        <v>Trent/Colin</v>
      </c>
      <c r="T117">
        <f t="shared" si="18"/>
        <v>123.5</v>
      </c>
      <c r="U117">
        <f t="shared" si="19"/>
        <v>100.5</v>
      </c>
    </row>
    <row r="118" spans="1:21" x14ac:dyDescent="0.3">
      <c r="A118">
        <v>117</v>
      </c>
      <c r="B118" t="str">
        <f>H118&amp;R118&amp;I118</f>
        <v>2014Brian/Travis11</v>
      </c>
      <c r="C118" t="str">
        <f>H118&amp;S118&amp;I118</f>
        <v>2014Drew/Cam11</v>
      </c>
      <c r="D118">
        <f t="shared" si="10"/>
        <v>455</v>
      </c>
      <c r="E118">
        <f t="shared" si="11"/>
        <v>772</v>
      </c>
      <c r="F118">
        <f t="shared" si="12"/>
        <v>755</v>
      </c>
      <c r="G118">
        <f t="shared" si="13"/>
        <v>719</v>
      </c>
      <c r="H118">
        <v>2014</v>
      </c>
      <c r="I118">
        <v>11</v>
      </c>
      <c r="J118">
        <v>51</v>
      </c>
      <c r="K118" t="s">
        <v>32</v>
      </c>
      <c r="L118">
        <v>96.5</v>
      </c>
      <c r="M118" t="s">
        <v>37</v>
      </c>
      <c r="N118">
        <v>76</v>
      </c>
      <c r="O118" t="s">
        <v>20</v>
      </c>
      <c r="P118">
        <f t="shared" si="14"/>
        <v>172.5</v>
      </c>
      <c r="Q118">
        <f t="shared" si="15"/>
        <v>20.5</v>
      </c>
      <c r="R118" t="str">
        <f t="shared" si="16"/>
        <v>Brian/Travis</v>
      </c>
      <c r="S118" t="str">
        <f t="shared" si="17"/>
        <v>Drew/Cam</v>
      </c>
      <c r="T118">
        <f t="shared" si="18"/>
        <v>96.5</v>
      </c>
      <c r="U118">
        <f t="shared" si="19"/>
        <v>76</v>
      </c>
    </row>
    <row r="119" spans="1:21" x14ac:dyDescent="0.3">
      <c r="A119">
        <v>118</v>
      </c>
      <c r="B119" t="str">
        <f>H119&amp;R119&amp;I119</f>
        <v>2014Eric/Blake11</v>
      </c>
      <c r="C119" t="str">
        <f>H119&amp;S119&amp;I119</f>
        <v>2014Walker/Cory11</v>
      </c>
      <c r="D119">
        <f t="shared" si="10"/>
        <v>748</v>
      </c>
      <c r="E119">
        <f t="shared" si="11"/>
        <v>640</v>
      </c>
      <c r="F119">
        <f t="shared" si="12"/>
        <v>724</v>
      </c>
      <c r="G119">
        <f t="shared" si="13"/>
        <v>457</v>
      </c>
      <c r="H119">
        <v>2014</v>
      </c>
      <c r="I119">
        <v>11</v>
      </c>
      <c r="J119">
        <v>52</v>
      </c>
      <c r="K119" t="s">
        <v>36</v>
      </c>
      <c r="L119">
        <v>92.5</v>
      </c>
      <c r="M119" t="s">
        <v>34</v>
      </c>
      <c r="N119">
        <v>98.5</v>
      </c>
      <c r="O119" t="s">
        <v>20</v>
      </c>
      <c r="P119">
        <f t="shared" si="14"/>
        <v>191</v>
      </c>
      <c r="Q119">
        <f t="shared" si="15"/>
        <v>6</v>
      </c>
      <c r="R119" t="str">
        <f t="shared" si="16"/>
        <v>Eric/Blake</v>
      </c>
      <c r="S119" t="str">
        <f t="shared" si="17"/>
        <v>Walker/Cory</v>
      </c>
      <c r="T119">
        <f t="shared" si="18"/>
        <v>98.5</v>
      </c>
      <c r="U119">
        <f t="shared" si="19"/>
        <v>92.5</v>
      </c>
    </row>
    <row r="120" spans="1:21" x14ac:dyDescent="0.3">
      <c r="A120">
        <v>119</v>
      </c>
      <c r="B120" t="str">
        <f>H120&amp;R120&amp;I120</f>
        <v>2014Clay/Ryan11</v>
      </c>
      <c r="C120" t="str">
        <f>H120&amp;S120&amp;I120</f>
        <v>2014Dave/Nolan11</v>
      </c>
      <c r="D120">
        <f t="shared" si="10"/>
        <v>84</v>
      </c>
      <c r="E120">
        <f t="shared" si="11"/>
        <v>813</v>
      </c>
      <c r="F120">
        <f t="shared" si="12"/>
        <v>613</v>
      </c>
      <c r="G120">
        <f t="shared" si="13"/>
        <v>859</v>
      </c>
      <c r="H120">
        <v>2014</v>
      </c>
      <c r="I120">
        <v>11</v>
      </c>
      <c r="J120">
        <v>53</v>
      </c>
      <c r="K120" t="s">
        <v>35</v>
      </c>
      <c r="L120">
        <v>107.5</v>
      </c>
      <c r="M120" t="s">
        <v>30</v>
      </c>
      <c r="N120">
        <v>54.5</v>
      </c>
      <c r="O120" t="s">
        <v>20</v>
      </c>
      <c r="P120">
        <f t="shared" si="14"/>
        <v>162</v>
      </c>
      <c r="Q120">
        <f t="shared" si="15"/>
        <v>53</v>
      </c>
      <c r="R120" t="str">
        <f t="shared" si="16"/>
        <v>Clay/Ryan</v>
      </c>
      <c r="S120" t="str">
        <f t="shared" si="17"/>
        <v>Dave/Nolan</v>
      </c>
      <c r="T120">
        <f t="shared" si="18"/>
        <v>107.5</v>
      </c>
      <c r="U120">
        <f t="shared" si="19"/>
        <v>54.5</v>
      </c>
    </row>
    <row r="121" spans="1:21" x14ac:dyDescent="0.3">
      <c r="A121">
        <v>120</v>
      </c>
      <c r="B121" t="str">
        <f>H121&amp;R121&amp;I121</f>
        <v>2014David/Marshall11</v>
      </c>
      <c r="C121" t="str">
        <f>H121&amp;S121&amp;I121</f>
        <v>2014Graham/Michael11</v>
      </c>
      <c r="D121">
        <f t="shared" si="10"/>
        <v>857</v>
      </c>
      <c r="E121">
        <f t="shared" si="11"/>
        <v>468</v>
      </c>
      <c r="F121">
        <f t="shared" si="12"/>
        <v>648</v>
      </c>
      <c r="G121">
        <f t="shared" si="13"/>
        <v>245</v>
      </c>
      <c r="H121">
        <v>2014</v>
      </c>
      <c r="I121">
        <v>11</v>
      </c>
      <c r="J121">
        <v>54</v>
      </c>
      <c r="K121" t="s">
        <v>38</v>
      </c>
      <c r="L121">
        <v>105</v>
      </c>
      <c r="M121" t="s">
        <v>29</v>
      </c>
      <c r="N121">
        <v>104.5</v>
      </c>
      <c r="O121" t="s">
        <v>20</v>
      </c>
      <c r="P121">
        <f t="shared" si="14"/>
        <v>209.5</v>
      </c>
      <c r="Q121">
        <f t="shared" si="15"/>
        <v>0.5</v>
      </c>
      <c r="R121" t="str">
        <f t="shared" si="16"/>
        <v>David/Marshall</v>
      </c>
      <c r="S121" t="str">
        <f t="shared" si="17"/>
        <v>Graham/Michael</v>
      </c>
      <c r="T121">
        <f t="shared" si="18"/>
        <v>105</v>
      </c>
      <c r="U121">
        <f t="shared" si="19"/>
        <v>104.5</v>
      </c>
    </row>
    <row r="122" spans="1:21" x14ac:dyDescent="0.3">
      <c r="A122">
        <v>121</v>
      </c>
      <c r="B122" t="str">
        <f>H122&amp;R122&amp;I122</f>
        <v>2014Clay/Ryan12</v>
      </c>
      <c r="C122" t="str">
        <f>H122&amp;S122&amp;I122</f>
        <v>2014Eric/Blake12</v>
      </c>
      <c r="D122">
        <f t="shared" si="10"/>
        <v>626</v>
      </c>
      <c r="E122">
        <f t="shared" si="11"/>
        <v>600</v>
      </c>
      <c r="F122">
        <f t="shared" si="12"/>
        <v>670</v>
      </c>
      <c r="G122">
        <f t="shared" si="13"/>
        <v>457</v>
      </c>
      <c r="H122">
        <v>2014</v>
      </c>
      <c r="I122">
        <v>12</v>
      </c>
      <c r="J122">
        <v>55</v>
      </c>
      <c r="K122" t="s">
        <v>35</v>
      </c>
      <c r="L122">
        <v>103.5</v>
      </c>
      <c r="M122" t="s">
        <v>34</v>
      </c>
      <c r="N122">
        <v>92.5</v>
      </c>
      <c r="O122" t="s">
        <v>20</v>
      </c>
      <c r="P122">
        <f t="shared" si="14"/>
        <v>196</v>
      </c>
      <c r="Q122">
        <f t="shared" si="15"/>
        <v>11</v>
      </c>
      <c r="R122" t="str">
        <f t="shared" si="16"/>
        <v>Clay/Ryan</v>
      </c>
      <c r="S122" t="str">
        <f t="shared" si="17"/>
        <v>Eric/Blake</v>
      </c>
      <c r="T122">
        <f t="shared" si="18"/>
        <v>103.5</v>
      </c>
      <c r="U122">
        <f t="shared" si="19"/>
        <v>92.5</v>
      </c>
    </row>
    <row r="123" spans="1:21" x14ac:dyDescent="0.3">
      <c r="A123">
        <v>122</v>
      </c>
      <c r="B123" t="str">
        <f>H123&amp;R123&amp;I123</f>
        <v>2014Trent/Colin12</v>
      </c>
      <c r="C123" t="str">
        <f>H123&amp;S123&amp;I123</f>
        <v>2014Walker/Cory12</v>
      </c>
      <c r="D123">
        <f t="shared" si="10"/>
        <v>686</v>
      </c>
      <c r="E123">
        <f t="shared" si="11"/>
        <v>545</v>
      </c>
      <c r="F123">
        <f t="shared" si="12"/>
        <v>642</v>
      </c>
      <c r="G123">
        <f t="shared" si="13"/>
        <v>381</v>
      </c>
      <c r="H123">
        <v>2014</v>
      </c>
      <c r="I123">
        <v>12</v>
      </c>
      <c r="J123">
        <v>56</v>
      </c>
      <c r="K123" t="s">
        <v>33</v>
      </c>
      <c r="L123">
        <v>105.5</v>
      </c>
      <c r="M123" t="s">
        <v>36</v>
      </c>
      <c r="N123">
        <v>97</v>
      </c>
      <c r="O123" t="s">
        <v>20</v>
      </c>
      <c r="P123">
        <f t="shared" si="14"/>
        <v>202.5</v>
      </c>
      <c r="Q123">
        <f t="shared" si="15"/>
        <v>8.5</v>
      </c>
      <c r="R123" t="str">
        <f t="shared" si="16"/>
        <v>Trent/Colin</v>
      </c>
      <c r="S123" t="str">
        <f t="shared" si="17"/>
        <v>Walker/Cory</v>
      </c>
      <c r="T123">
        <f t="shared" si="18"/>
        <v>105.5</v>
      </c>
      <c r="U123">
        <f t="shared" si="19"/>
        <v>97</v>
      </c>
    </row>
    <row r="124" spans="1:21" x14ac:dyDescent="0.3">
      <c r="A124">
        <v>123</v>
      </c>
      <c r="B124" t="str">
        <f>H124&amp;R124&amp;I124</f>
        <v>2014Drew/Cam12</v>
      </c>
      <c r="C124" t="str">
        <f>H124&amp;S124&amp;I124</f>
        <v>2014David/Marshall12</v>
      </c>
      <c r="D124">
        <f t="shared" si="10"/>
        <v>277</v>
      </c>
      <c r="E124">
        <f t="shared" si="11"/>
        <v>766</v>
      </c>
      <c r="F124">
        <f t="shared" si="12"/>
        <v>680</v>
      </c>
      <c r="G124">
        <f t="shared" si="13"/>
        <v>784</v>
      </c>
      <c r="H124">
        <v>2014</v>
      </c>
      <c r="I124">
        <v>12</v>
      </c>
      <c r="J124">
        <v>57</v>
      </c>
      <c r="K124" t="s">
        <v>38</v>
      </c>
      <c r="L124">
        <v>71</v>
      </c>
      <c r="M124" t="s">
        <v>37</v>
      </c>
      <c r="N124">
        <v>103</v>
      </c>
      <c r="O124" t="s">
        <v>20</v>
      </c>
      <c r="P124">
        <f t="shared" si="14"/>
        <v>174</v>
      </c>
      <c r="Q124">
        <f t="shared" si="15"/>
        <v>32</v>
      </c>
      <c r="R124" t="str">
        <f t="shared" si="16"/>
        <v>Drew/Cam</v>
      </c>
      <c r="S124" t="str">
        <f t="shared" si="17"/>
        <v>David/Marshall</v>
      </c>
      <c r="T124">
        <f t="shared" si="18"/>
        <v>103</v>
      </c>
      <c r="U124">
        <f t="shared" si="19"/>
        <v>71</v>
      </c>
    </row>
    <row r="125" spans="1:21" x14ac:dyDescent="0.3">
      <c r="A125">
        <v>124</v>
      </c>
      <c r="B125" t="str">
        <f>H125&amp;R125&amp;I125</f>
        <v>2014Graham/Michael12</v>
      </c>
      <c r="C125" t="str">
        <f>H125&amp;S125&amp;I125</f>
        <v>2014Pat/Tucker12</v>
      </c>
      <c r="D125">
        <f t="shared" si="10"/>
        <v>19</v>
      </c>
      <c r="E125">
        <f t="shared" si="11"/>
        <v>62</v>
      </c>
      <c r="F125">
        <f t="shared" si="12"/>
        <v>13</v>
      </c>
      <c r="G125">
        <f t="shared" si="13"/>
        <v>373</v>
      </c>
      <c r="H125">
        <v>2014</v>
      </c>
      <c r="I125">
        <v>12</v>
      </c>
      <c r="J125">
        <v>58</v>
      </c>
      <c r="K125" t="s">
        <v>31</v>
      </c>
      <c r="L125">
        <v>97.5</v>
      </c>
      <c r="M125" t="s">
        <v>29</v>
      </c>
      <c r="N125">
        <v>169.5</v>
      </c>
      <c r="O125" t="s">
        <v>20</v>
      </c>
      <c r="P125">
        <f t="shared" si="14"/>
        <v>267</v>
      </c>
      <c r="Q125">
        <f t="shared" si="15"/>
        <v>72</v>
      </c>
      <c r="R125" t="str">
        <f t="shared" si="16"/>
        <v>Graham/Michael</v>
      </c>
      <c r="S125" t="str">
        <f t="shared" si="17"/>
        <v>Pat/Tucker</v>
      </c>
      <c r="T125">
        <f t="shared" si="18"/>
        <v>169.5</v>
      </c>
      <c r="U125">
        <f t="shared" si="19"/>
        <v>97.5</v>
      </c>
    </row>
    <row r="126" spans="1:21" x14ac:dyDescent="0.3">
      <c r="A126">
        <v>125</v>
      </c>
      <c r="B126" t="str">
        <f>H126&amp;R126&amp;I126</f>
        <v>2014Dave/Nolan12</v>
      </c>
      <c r="C126" t="str">
        <f>H126&amp;S126&amp;I126</f>
        <v>2014Brian/Travis12</v>
      </c>
      <c r="D126">
        <f t="shared" si="10"/>
        <v>571</v>
      </c>
      <c r="E126">
        <f t="shared" si="11"/>
        <v>108</v>
      </c>
      <c r="F126">
        <f t="shared" si="12"/>
        <v>203</v>
      </c>
      <c r="G126">
        <f t="shared" si="13"/>
        <v>70</v>
      </c>
      <c r="H126">
        <v>2014</v>
      </c>
      <c r="I126">
        <v>12</v>
      </c>
      <c r="J126">
        <v>59</v>
      </c>
      <c r="K126" t="s">
        <v>30</v>
      </c>
      <c r="L126">
        <v>134</v>
      </c>
      <c r="M126" t="s">
        <v>32</v>
      </c>
      <c r="N126">
        <v>120.5</v>
      </c>
      <c r="O126" t="s">
        <v>20</v>
      </c>
      <c r="P126">
        <f t="shared" si="14"/>
        <v>254.5</v>
      </c>
      <c r="Q126">
        <f t="shared" si="15"/>
        <v>13.5</v>
      </c>
      <c r="R126" t="str">
        <f t="shared" si="16"/>
        <v>Dave/Nolan</v>
      </c>
      <c r="S126" t="str">
        <f t="shared" si="17"/>
        <v>Brian/Travis</v>
      </c>
      <c r="T126">
        <f t="shared" si="18"/>
        <v>134</v>
      </c>
      <c r="U126">
        <f t="shared" si="19"/>
        <v>120.5</v>
      </c>
    </row>
    <row r="127" spans="1:21" x14ac:dyDescent="0.3">
      <c r="A127">
        <v>126</v>
      </c>
      <c r="B127" t="str">
        <f>H127&amp;R127&amp;I127</f>
        <v>2014Walker/Cory13</v>
      </c>
      <c r="C127" t="str">
        <f>H127&amp;S127&amp;I127</f>
        <v>2014Pat/Tucker13</v>
      </c>
      <c r="D127">
        <f t="shared" si="10"/>
        <v>91</v>
      </c>
      <c r="E127">
        <f t="shared" si="11"/>
        <v>569</v>
      </c>
      <c r="F127">
        <f t="shared" si="12"/>
        <v>330</v>
      </c>
      <c r="G127">
        <f t="shared" si="13"/>
        <v>743</v>
      </c>
      <c r="H127">
        <v>2014</v>
      </c>
      <c r="I127">
        <v>13</v>
      </c>
      <c r="J127">
        <v>60</v>
      </c>
      <c r="K127" t="s">
        <v>36</v>
      </c>
      <c r="L127">
        <v>125.5</v>
      </c>
      <c r="M127" t="s">
        <v>31</v>
      </c>
      <c r="N127">
        <v>74</v>
      </c>
      <c r="O127" t="s">
        <v>20</v>
      </c>
      <c r="P127">
        <f t="shared" si="14"/>
        <v>199.5</v>
      </c>
      <c r="Q127">
        <f t="shared" si="15"/>
        <v>51.5</v>
      </c>
      <c r="R127" t="str">
        <f t="shared" si="16"/>
        <v>Walker/Cory</v>
      </c>
      <c r="S127" t="str">
        <f t="shared" si="17"/>
        <v>Pat/Tucker</v>
      </c>
      <c r="T127">
        <f t="shared" si="18"/>
        <v>125.5</v>
      </c>
      <c r="U127">
        <f t="shared" si="19"/>
        <v>74</v>
      </c>
    </row>
    <row r="128" spans="1:21" x14ac:dyDescent="0.3">
      <c r="A128">
        <v>127</v>
      </c>
      <c r="B128" t="str">
        <f>H128&amp;R128&amp;I128</f>
        <v>2014Clay/Ryan13</v>
      </c>
      <c r="C128" t="str">
        <f>H128&amp;S128&amp;I128</f>
        <v>2014Brian/Travis13</v>
      </c>
      <c r="D128">
        <f t="shared" si="10"/>
        <v>68</v>
      </c>
      <c r="E128">
        <f t="shared" si="11"/>
        <v>468</v>
      </c>
      <c r="F128">
        <f t="shared" si="12"/>
        <v>228</v>
      </c>
      <c r="G128">
        <f t="shared" si="13"/>
        <v>705</v>
      </c>
      <c r="H128">
        <v>2014</v>
      </c>
      <c r="I128">
        <v>13</v>
      </c>
      <c r="J128">
        <v>61</v>
      </c>
      <c r="K128" t="s">
        <v>35</v>
      </c>
      <c r="L128">
        <v>132.5</v>
      </c>
      <c r="M128" t="s">
        <v>32</v>
      </c>
      <c r="N128">
        <v>77</v>
      </c>
      <c r="O128" t="s">
        <v>20</v>
      </c>
      <c r="P128">
        <f t="shared" si="14"/>
        <v>209.5</v>
      </c>
      <c r="Q128">
        <f t="shared" si="15"/>
        <v>55.5</v>
      </c>
      <c r="R128" t="str">
        <f t="shared" si="16"/>
        <v>Clay/Ryan</v>
      </c>
      <c r="S128" t="str">
        <f t="shared" si="17"/>
        <v>Brian/Travis</v>
      </c>
      <c r="T128">
        <f t="shared" si="18"/>
        <v>132.5</v>
      </c>
      <c r="U128">
        <f t="shared" si="19"/>
        <v>77</v>
      </c>
    </row>
    <row r="129" spans="1:21" x14ac:dyDescent="0.3">
      <c r="A129">
        <v>128</v>
      </c>
      <c r="B129" t="str">
        <f>H129&amp;R129&amp;I129</f>
        <v>2014Trent/Colin13</v>
      </c>
      <c r="C129" t="str">
        <f>H129&amp;S129&amp;I129</f>
        <v>2014Graham/Michael13</v>
      </c>
      <c r="D129">
        <f t="shared" si="10"/>
        <v>748</v>
      </c>
      <c r="E129">
        <f t="shared" si="11"/>
        <v>198</v>
      </c>
      <c r="F129">
        <f t="shared" si="12"/>
        <v>363</v>
      </c>
      <c r="G129">
        <f t="shared" si="13"/>
        <v>95</v>
      </c>
      <c r="H129">
        <v>2014</v>
      </c>
      <c r="I129">
        <v>13</v>
      </c>
      <c r="J129">
        <v>62</v>
      </c>
      <c r="K129" t="s">
        <v>29</v>
      </c>
      <c r="L129">
        <v>117.5</v>
      </c>
      <c r="M129" t="s">
        <v>33</v>
      </c>
      <c r="N129">
        <v>123.5</v>
      </c>
      <c r="O129" t="s">
        <v>20</v>
      </c>
      <c r="P129">
        <f t="shared" si="14"/>
        <v>241</v>
      </c>
      <c r="Q129">
        <f t="shared" si="15"/>
        <v>6</v>
      </c>
      <c r="R129" t="str">
        <f t="shared" si="16"/>
        <v>Trent/Colin</v>
      </c>
      <c r="S129" t="str">
        <f t="shared" si="17"/>
        <v>Graham/Michael</v>
      </c>
      <c r="T129">
        <f t="shared" si="18"/>
        <v>123.5</v>
      </c>
      <c r="U129">
        <f t="shared" si="19"/>
        <v>117.5</v>
      </c>
    </row>
    <row r="130" spans="1:21" x14ac:dyDescent="0.3">
      <c r="A130">
        <v>129</v>
      </c>
      <c r="B130" t="str">
        <f>H130&amp;R130&amp;I130</f>
        <v>2014Drew/Cam13</v>
      </c>
      <c r="C130" t="str">
        <f>H130&amp;S130&amp;I130</f>
        <v>2014Eric/Blake13</v>
      </c>
      <c r="D130">
        <f t="shared" ref="D130:D193" si="20">RANK(Q130,Q:Q)</f>
        <v>242</v>
      </c>
      <c r="E130">
        <f t="shared" ref="E130:E193" si="21">RANK(P130,P:P)</f>
        <v>100</v>
      </c>
      <c r="F130">
        <f t="shared" ref="F130:F193" si="22">RANK(T130,T:T)</f>
        <v>103</v>
      </c>
      <c r="G130">
        <f t="shared" ref="G130:G193" si="23">RANK(U130,U:U)</f>
        <v>173</v>
      </c>
      <c r="H130">
        <v>2014</v>
      </c>
      <c r="I130">
        <v>13</v>
      </c>
      <c r="J130">
        <v>63</v>
      </c>
      <c r="K130" t="s">
        <v>34</v>
      </c>
      <c r="L130">
        <v>110.5</v>
      </c>
      <c r="M130" t="s">
        <v>37</v>
      </c>
      <c r="N130">
        <v>145.5</v>
      </c>
      <c r="O130" t="s">
        <v>20</v>
      </c>
      <c r="P130">
        <f t="shared" ref="P130:P193" si="24">SUM(L130,N130)</f>
        <v>256</v>
      </c>
      <c r="Q130">
        <f t="shared" ref="Q130:Q193" si="25">ABS(L130-N130)</f>
        <v>35</v>
      </c>
      <c r="R130" t="str">
        <f t="shared" ref="R130:R193" si="26">IF(L130&gt;N130,K130,M130)</f>
        <v>Drew/Cam</v>
      </c>
      <c r="S130" t="str">
        <f t="shared" ref="S130:S193" si="27">IF(L130&gt;N130,M130,K130)</f>
        <v>Eric/Blake</v>
      </c>
      <c r="T130">
        <f t="shared" ref="T130:T193" si="28">IF(L130&gt;N130,L130,N130)</f>
        <v>145.5</v>
      </c>
      <c r="U130">
        <f t="shared" ref="U130:U193" si="29">IF(L130&gt;N130,N130,L130)</f>
        <v>110.5</v>
      </c>
    </row>
    <row r="131" spans="1:21" x14ac:dyDescent="0.3">
      <c r="A131">
        <v>130</v>
      </c>
      <c r="B131" t="str">
        <f>H131&amp;R131&amp;I131</f>
        <v>2014Dave/Nolan13</v>
      </c>
      <c r="C131" t="str">
        <f>H131&amp;S131&amp;I131</f>
        <v>2014David/Marshall13</v>
      </c>
      <c r="D131">
        <f t="shared" si="20"/>
        <v>171</v>
      </c>
      <c r="E131">
        <f t="shared" si="21"/>
        <v>705</v>
      </c>
      <c r="F131">
        <f t="shared" si="22"/>
        <v>533</v>
      </c>
      <c r="G131">
        <f t="shared" si="23"/>
        <v>784</v>
      </c>
      <c r="H131">
        <v>2014</v>
      </c>
      <c r="I131">
        <v>13</v>
      </c>
      <c r="J131">
        <v>64</v>
      </c>
      <c r="K131" t="s">
        <v>30</v>
      </c>
      <c r="L131">
        <v>113</v>
      </c>
      <c r="M131" t="s">
        <v>38</v>
      </c>
      <c r="N131">
        <v>71</v>
      </c>
      <c r="O131" t="s">
        <v>20</v>
      </c>
      <c r="P131">
        <f t="shared" si="24"/>
        <v>184</v>
      </c>
      <c r="Q131">
        <f t="shared" si="25"/>
        <v>42</v>
      </c>
      <c r="R131" t="str">
        <f t="shared" si="26"/>
        <v>Dave/Nolan</v>
      </c>
      <c r="S131" t="str">
        <f t="shared" si="27"/>
        <v>David/Marshall</v>
      </c>
      <c r="T131">
        <f t="shared" si="28"/>
        <v>113</v>
      </c>
      <c r="U131">
        <f t="shared" si="29"/>
        <v>71</v>
      </c>
    </row>
    <row r="132" spans="1:21" x14ac:dyDescent="0.3">
      <c r="A132">
        <v>131</v>
      </c>
      <c r="B132" t="str">
        <f>H132&amp;R132&amp;I132</f>
        <v>2015Graham/Michael1</v>
      </c>
      <c r="C132" t="str">
        <f>H132&amp;S132&amp;I132</f>
        <v>2015Drew/Cam1</v>
      </c>
      <c r="D132">
        <f t="shared" si="20"/>
        <v>546</v>
      </c>
      <c r="E132">
        <f t="shared" si="21"/>
        <v>215</v>
      </c>
      <c r="F132">
        <f t="shared" si="22"/>
        <v>312</v>
      </c>
      <c r="G132">
        <f t="shared" si="23"/>
        <v>164</v>
      </c>
      <c r="H132">
        <v>2015</v>
      </c>
      <c r="I132">
        <v>1</v>
      </c>
      <c r="J132">
        <v>0</v>
      </c>
      <c r="K132" t="s">
        <v>37</v>
      </c>
      <c r="L132">
        <v>111.5</v>
      </c>
      <c r="M132" t="s">
        <v>29</v>
      </c>
      <c r="N132">
        <v>126.5</v>
      </c>
      <c r="O132" t="s">
        <v>20</v>
      </c>
      <c r="P132">
        <f t="shared" si="24"/>
        <v>238</v>
      </c>
      <c r="Q132">
        <f t="shared" si="25"/>
        <v>15</v>
      </c>
      <c r="R132" t="str">
        <f t="shared" si="26"/>
        <v>Graham/Michael</v>
      </c>
      <c r="S132" t="str">
        <f t="shared" si="27"/>
        <v>Drew/Cam</v>
      </c>
      <c r="T132">
        <f t="shared" si="28"/>
        <v>126.5</v>
      </c>
      <c r="U132">
        <f t="shared" si="29"/>
        <v>111.5</v>
      </c>
    </row>
    <row r="133" spans="1:21" x14ac:dyDescent="0.3">
      <c r="A133">
        <v>132</v>
      </c>
      <c r="B133" t="str">
        <f>H133&amp;R133&amp;I133</f>
        <v>2015Dave/Nolan1</v>
      </c>
      <c r="C133" t="str">
        <f>H133&amp;S133&amp;I133</f>
        <v>2015Pat/Tucker1</v>
      </c>
      <c r="D133">
        <f t="shared" si="20"/>
        <v>322</v>
      </c>
      <c r="E133">
        <f t="shared" si="21"/>
        <v>782</v>
      </c>
      <c r="F133">
        <f t="shared" si="22"/>
        <v>713</v>
      </c>
      <c r="G133">
        <f t="shared" si="23"/>
        <v>784</v>
      </c>
      <c r="H133">
        <v>2015</v>
      </c>
      <c r="I133">
        <v>1</v>
      </c>
      <c r="J133">
        <v>1</v>
      </c>
      <c r="K133" t="s">
        <v>30</v>
      </c>
      <c r="L133">
        <v>99.5</v>
      </c>
      <c r="M133" t="s">
        <v>31</v>
      </c>
      <c r="N133">
        <v>71</v>
      </c>
      <c r="O133" t="s">
        <v>20</v>
      </c>
      <c r="P133">
        <f t="shared" si="24"/>
        <v>170.5</v>
      </c>
      <c r="Q133">
        <f t="shared" si="25"/>
        <v>28.5</v>
      </c>
      <c r="R133" t="str">
        <f t="shared" si="26"/>
        <v>Dave/Nolan</v>
      </c>
      <c r="S133" t="str">
        <f t="shared" si="27"/>
        <v>Pat/Tucker</v>
      </c>
      <c r="T133">
        <f t="shared" si="28"/>
        <v>99.5</v>
      </c>
      <c r="U133">
        <f t="shared" si="29"/>
        <v>71</v>
      </c>
    </row>
    <row r="134" spans="1:21" x14ac:dyDescent="0.3">
      <c r="A134">
        <v>133</v>
      </c>
      <c r="B134" t="str">
        <f>H134&amp;R134&amp;I134</f>
        <v>2015Clay/Ryan1</v>
      </c>
      <c r="C134" t="str">
        <f>H134&amp;S134&amp;I134</f>
        <v>2015Brian/Travis1</v>
      </c>
      <c r="D134">
        <f t="shared" si="20"/>
        <v>159</v>
      </c>
      <c r="E134">
        <f t="shared" si="21"/>
        <v>330</v>
      </c>
      <c r="F134">
        <f t="shared" si="22"/>
        <v>203</v>
      </c>
      <c r="G134">
        <f t="shared" si="23"/>
        <v>488</v>
      </c>
      <c r="H134">
        <v>2015</v>
      </c>
      <c r="I134">
        <v>1</v>
      </c>
      <c r="J134">
        <v>2</v>
      </c>
      <c r="K134" t="s">
        <v>35</v>
      </c>
      <c r="L134">
        <v>134</v>
      </c>
      <c r="M134" t="s">
        <v>32</v>
      </c>
      <c r="N134">
        <v>91</v>
      </c>
      <c r="O134" t="s">
        <v>20</v>
      </c>
      <c r="P134">
        <f t="shared" si="24"/>
        <v>225</v>
      </c>
      <c r="Q134">
        <f t="shared" si="25"/>
        <v>43</v>
      </c>
      <c r="R134" t="str">
        <f t="shared" si="26"/>
        <v>Clay/Ryan</v>
      </c>
      <c r="S134" t="str">
        <f t="shared" si="27"/>
        <v>Brian/Travis</v>
      </c>
      <c r="T134">
        <f t="shared" si="28"/>
        <v>134</v>
      </c>
      <c r="U134">
        <f t="shared" si="29"/>
        <v>91</v>
      </c>
    </row>
    <row r="135" spans="1:21" x14ac:dyDescent="0.3">
      <c r="A135">
        <v>134</v>
      </c>
      <c r="B135" t="str">
        <f>H135&amp;R135&amp;I135</f>
        <v>2015Walker/Cory1</v>
      </c>
      <c r="C135" t="str">
        <f>H135&amp;S135&amp;I135</f>
        <v>2015David/Marshall1</v>
      </c>
      <c r="D135">
        <f t="shared" si="20"/>
        <v>215</v>
      </c>
      <c r="E135">
        <f t="shared" si="21"/>
        <v>209</v>
      </c>
      <c r="F135">
        <f t="shared" si="22"/>
        <v>152</v>
      </c>
      <c r="G135">
        <f t="shared" si="23"/>
        <v>303</v>
      </c>
      <c r="H135">
        <v>2015</v>
      </c>
      <c r="I135">
        <v>1</v>
      </c>
      <c r="J135">
        <v>3</v>
      </c>
      <c r="K135" t="s">
        <v>36</v>
      </c>
      <c r="L135">
        <v>138.5</v>
      </c>
      <c r="M135" t="s">
        <v>38</v>
      </c>
      <c r="N135">
        <v>101</v>
      </c>
      <c r="O135" t="s">
        <v>20</v>
      </c>
      <c r="P135">
        <f t="shared" si="24"/>
        <v>239.5</v>
      </c>
      <c r="Q135">
        <f t="shared" si="25"/>
        <v>37.5</v>
      </c>
      <c r="R135" t="str">
        <f t="shared" si="26"/>
        <v>Walker/Cory</v>
      </c>
      <c r="S135" t="str">
        <f t="shared" si="27"/>
        <v>David/Marshall</v>
      </c>
      <c r="T135">
        <f t="shared" si="28"/>
        <v>138.5</v>
      </c>
      <c r="U135">
        <f t="shared" si="29"/>
        <v>101</v>
      </c>
    </row>
    <row r="136" spans="1:21" x14ac:dyDescent="0.3">
      <c r="A136">
        <v>135</v>
      </c>
      <c r="B136" t="str">
        <f>H136&amp;R136&amp;I136</f>
        <v>2015Eric/Blake1</v>
      </c>
      <c r="C136" t="str">
        <f>H136&amp;S136&amp;I136</f>
        <v>2015Trent/Colin1</v>
      </c>
      <c r="D136">
        <f t="shared" si="20"/>
        <v>87</v>
      </c>
      <c r="E136">
        <f t="shared" si="21"/>
        <v>362</v>
      </c>
      <c r="F136">
        <f t="shared" si="22"/>
        <v>163</v>
      </c>
      <c r="G136">
        <f t="shared" si="23"/>
        <v>615</v>
      </c>
      <c r="H136">
        <v>2015</v>
      </c>
      <c r="I136">
        <v>1</v>
      </c>
      <c r="J136">
        <v>4</v>
      </c>
      <c r="K136" t="s">
        <v>34</v>
      </c>
      <c r="L136">
        <v>137.5</v>
      </c>
      <c r="M136" t="s">
        <v>33</v>
      </c>
      <c r="N136">
        <v>85</v>
      </c>
      <c r="O136" t="s">
        <v>20</v>
      </c>
      <c r="P136">
        <f t="shared" si="24"/>
        <v>222.5</v>
      </c>
      <c r="Q136">
        <f t="shared" si="25"/>
        <v>52.5</v>
      </c>
      <c r="R136" t="str">
        <f t="shared" si="26"/>
        <v>Eric/Blake</v>
      </c>
      <c r="S136" t="str">
        <f t="shared" si="27"/>
        <v>Trent/Colin</v>
      </c>
      <c r="T136">
        <f t="shared" si="28"/>
        <v>137.5</v>
      </c>
      <c r="U136">
        <f t="shared" si="29"/>
        <v>85</v>
      </c>
    </row>
    <row r="137" spans="1:21" x14ac:dyDescent="0.3">
      <c r="A137">
        <v>136</v>
      </c>
      <c r="B137" t="str">
        <f>H137&amp;R137&amp;I137</f>
        <v>2015Brian/Travis2</v>
      </c>
      <c r="C137" t="str">
        <f>H137&amp;S137&amp;I137</f>
        <v>2015Pat/Tucker2</v>
      </c>
      <c r="D137">
        <f t="shared" si="20"/>
        <v>802</v>
      </c>
      <c r="E137">
        <f t="shared" si="21"/>
        <v>672</v>
      </c>
      <c r="F137">
        <f t="shared" si="22"/>
        <v>762</v>
      </c>
      <c r="G137">
        <f t="shared" si="23"/>
        <v>466</v>
      </c>
      <c r="H137">
        <v>2015</v>
      </c>
      <c r="I137">
        <v>2</v>
      </c>
      <c r="J137">
        <v>5</v>
      </c>
      <c r="K137" t="s">
        <v>31</v>
      </c>
      <c r="L137">
        <v>92</v>
      </c>
      <c r="M137" t="s">
        <v>32</v>
      </c>
      <c r="N137">
        <v>95.5</v>
      </c>
      <c r="O137" t="s">
        <v>20</v>
      </c>
      <c r="P137">
        <f t="shared" si="24"/>
        <v>187.5</v>
      </c>
      <c r="Q137">
        <f t="shared" si="25"/>
        <v>3.5</v>
      </c>
      <c r="R137" t="str">
        <f t="shared" si="26"/>
        <v>Brian/Travis</v>
      </c>
      <c r="S137" t="str">
        <f t="shared" si="27"/>
        <v>Pat/Tucker</v>
      </c>
      <c r="T137">
        <f t="shared" si="28"/>
        <v>95.5</v>
      </c>
      <c r="U137">
        <f t="shared" si="29"/>
        <v>92</v>
      </c>
    </row>
    <row r="138" spans="1:21" x14ac:dyDescent="0.3">
      <c r="A138">
        <v>137</v>
      </c>
      <c r="B138" t="str">
        <f>H138&amp;R138&amp;I138</f>
        <v>2015David/Marshall2</v>
      </c>
      <c r="C138" t="str">
        <f>H138&amp;S138&amp;I138</f>
        <v>2015Drew/Cam2</v>
      </c>
      <c r="D138">
        <f t="shared" si="20"/>
        <v>269</v>
      </c>
      <c r="E138">
        <f t="shared" si="21"/>
        <v>438</v>
      </c>
      <c r="F138">
        <f t="shared" si="22"/>
        <v>388</v>
      </c>
      <c r="G138">
        <f t="shared" si="23"/>
        <v>501</v>
      </c>
      <c r="H138">
        <v>2015</v>
      </c>
      <c r="I138">
        <v>2</v>
      </c>
      <c r="J138">
        <v>6</v>
      </c>
      <c r="K138" t="s">
        <v>38</v>
      </c>
      <c r="L138">
        <v>122.5</v>
      </c>
      <c r="M138" t="s">
        <v>37</v>
      </c>
      <c r="N138">
        <v>90</v>
      </c>
      <c r="O138" t="s">
        <v>20</v>
      </c>
      <c r="P138">
        <f t="shared" si="24"/>
        <v>212.5</v>
      </c>
      <c r="Q138">
        <f t="shared" si="25"/>
        <v>32.5</v>
      </c>
      <c r="R138" t="str">
        <f t="shared" si="26"/>
        <v>David/Marshall</v>
      </c>
      <c r="S138" t="str">
        <f t="shared" si="27"/>
        <v>Drew/Cam</v>
      </c>
      <c r="T138">
        <f t="shared" si="28"/>
        <v>122.5</v>
      </c>
      <c r="U138">
        <f t="shared" si="29"/>
        <v>90</v>
      </c>
    </row>
    <row r="139" spans="1:21" x14ac:dyDescent="0.3">
      <c r="A139">
        <v>138</v>
      </c>
      <c r="B139" t="str">
        <f>H139&amp;R139&amp;I139</f>
        <v>2015Trent/Colin2</v>
      </c>
      <c r="C139" t="str">
        <f>H139&amp;S139&amp;I139</f>
        <v>2015Graham/Michael2</v>
      </c>
      <c r="D139">
        <f t="shared" si="20"/>
        <v>277</v>
      </c>
      <c r="E139">
        <f t="shared" si="21"/>
        <v>510</v>
      </c>
      <c r="F139">
        <f t="shared" si="22"/>
        <v>444</v>
      </c>
      <c r="G139">
        <f t="shared" si="23"/>
        <v>574</v>
      </c>
      <c r="H139">
        <v>2015</v>
      </c>
      <c r="I139">
        <v>2</v>
      </c>
      <c r="J139">
        <v>7</v>
      </c>
      <c r="K139" t="s">
        <v>33</v>
      </c>
      <c r="L139">
        <v>119</v>
      </c>
      <c r="M139" t="s">
        <v>29</v>
      </c>
      <c r="N139">
        <v>87</v>
      </c>
      <c r="O139" t="s">
        <v>20</v>
      </c>
      <c r="P139">
        <f t="shared" si="24"/>
        <v>206</v>
      </c>
      <c r="Q139">
        <f t="shared" si="25"/>
        <v>32</v>
      </c>
      <c r="R139" t="str">
        <f t="shared" si="26"/>
        <v>Trent/Colin</v>
      </c>
      <c r="S139" t="str">
        <f t="shared" si="27"/>
        <v>Graham/Michael</v>
      </c>
      <c r="T139">
        <f t="shared" si="28"/>
        <v>119</v>
      </c>
      <c r="U139">
        <f t="shared" si="29"/>
        <v>87</v>
      </c>
    </row>
    <row r="140" spans="1:21" x14ac:dyDescent="0.3">
      <c r="A140">
        <v>139</v>
      </c>
      <c r="B140" t="str">
        <f>H140&amp;R140&amp;I140</f>
        <v>2015Dave/Nolan2</v>
      </c>
      <c r="C140" t="str">
        <f>H140&amp;S140&amp;I140</f>
        <v>2015Walker/Cory2</v>
      </c>
      <c r="D140">
        <f t="shared" si="20"/>
        <v>45</v>
      </c>
      <c r="E140">
        <f t="shared" si="21"/>
        <v>294</v>
      </c>
      <c r="F140">
        <f t="shared" si="22"/>
        <v>108</v>
      </c>
      <c r="G140">
        <f t="shared" si="23"/>
        <v>628</v>
      </c>
      <c r="H140">
        <v>2015</v>
      </c>
      <c r="I140">
        <v>2</v>
      </c>
      <c r="J140">
        <v>8</v>
      </c>
      <c r="K140" t="s">
        <v>36</v>
      </c>
      <c r="L140">
        <v>84</v>
      </c>
      <c r="M140" t="s">
        <v>30</v>
      </c>
      <c r="N140">
        <v>144.5</v>
      </c>
      <c r="O140" t="s">
        <v>20</v>
      </c>
      <c r="P140">
        <f t="shared" si="24"/>
        <v>228.5</v>
      </c>
      <c r="Q140">
        <f t="shared" si="25"/>
        <v>60.5</v>
      </c>
      <c r="R140" t="str">
        <f t="shared" si="26"/>
        <v>Dave/Nolan</v>
      </c>
      <c r="S140" t="str">
        <f t="shared" si="27"/>
        <v>Walker/Cory</v>
      </c>
      <c r="T140">
        <f t="shared" si="28"/>
        <v>144.5</v>
      </c>
      <c r="U140">
        <f t="shared" si="29"/>
        <v>84</v>
      </c>
    </row>
    <row r="141" spans="1:21" x14ac:dyDescent="0.3">
      <c r="A141">
        <v>140</v>
      </c>
      <c r="B141" t="str">
        <f>H141&amp;R141&amp;I141</f>
        <v>2015Eric/Blake2</v>
      </c>
      <c r="C141" t="str">
        <f>H141&amp;S141&amp;I141</f>
        <v>2015Clay/Ryan2</v>
      </c>
      <c r="D141">
        <f t="shared" si="20"/>
        <v>485</v>
      </c>
      <c r="E141">
        <f t="shared" si="21"/>
        <v>817</v>
      </c>
      <c r="F141">
        <f t="shared" si="22"/>
        <v>819</v>
      </c>
      <c r="G141">
        <f t="shared" si="23"/>
        <v>778</v>
      </c>
      <c r="H141">
        <v>2015</v>
      </c>
      <c r="I141">
        <v>2</v>
      </c>
      <c r="J141">
        <v>9</v>
      </c>
      <c r="K141" t="s">
        <v>34</v>
      </c>
      <c r="L141">
        <v>90</v>
      </c>
      <c r="M141" t="s">
        <v>35</v>
      </c>
      <c r="N141">
        <v>71.5</v>
      </c>
      <c r="O141" t="s">
        <v>20</v>
      </c>
      <c r="P141">
        <f t="shared" si="24"/>
        <v>161.5</v>
      </c>
      <c r="Q141">
        <f t="shared" si="25"/>
        <v>18.5</v>
      </c>
      <c r="R141" t="str">
        <f t="shared" si="26"/>
        <v>Eric/Blake</v>
      </c>
      <c r="S141" t="str">
        <f t="shared" si="27"/>
        <v>Clay/Ryan</v>
      </c>
      <c r="T141">
        <f t="shared" si="28"/>
        <v>90</v>
      </c>
      <c r="U141">
        <f t="shared" si="29"/>
        <v>71.5</v>
      </c>
    </row>
    <row r="142" spans="1:21" x14ac:dyDescent="0.3">
      <c r="A142">
        <v>141</v>
      </c>
      <c r="B142" t="str">
        <f>H142&amp;R142&amp;I142</f>
        <v>2015Trent/Colin3</v>
      </c>
      <c r="C142" t="str">
        <f>H142&amp;S142&amp;I142</f>
        <v>2015David/Marshall3</v>
      </c>
      <c r="D142">
        <f t="shared" si="20"/>
        <v>849</v>
      </c>
      <c r="E142">
        <f t="shared" si="21"/>
        <v>330</v>
      </c>
      <c r="F142">
        <f t="shared" si="22"/>
        <v>533</v>
      </c>
      <c r="G142">
        <f t="shared" si="23"/>
        <v>157</v>
      </c>
      <c r="H142">
        <v>2015</v>
      </c>
      <c r="I142">
        <v>3</v>
      </c>
      <c r="J142">
        <v>10</v>
      </c>
      <c r="K142" t="s">
        <v>38</v>
      </c>
      <c r="L142">
        <v>112</v>
      </c>
      <c r="M142" t="s">
        <v>33</v>
      </c>
      <c r="N142">
        <v>113</v>
      </c>
      <c r="O142" t="s">
        <v>20</v>
      </c>
      <c r="P142">
        <f t="shared" si="24"/>
        <v>225</v>
      </c>
      <c r="Q142">
        <f t="shared" si="25"/>
        <v>1</v>
      </c>
      <c r="R142" t="str">
        <f t="shared" si="26"/>
        <v>Trent/Colin</v>
      </c>
      <c r="S142" t="str">
        <f t="shared" si="27"/>
        <v>David/Marshall</v>
      </c>
      <c r="T142">
        <f t="shared" si="28"/>
        <v>113</v>
      </c>
      <c r="U142">
        <f t="shared" si="29"/>
        <v>112</v>
      </c>
    </row>
    <row r="143" spans="1:21" x14ac:dyDescent="0.3">
      <c r="A143">
        <v>142</v>
      </c>
      <c r="B143" t="str">
        <f>H143&amp;R143&amp;I143</f>
        <v>2015Walker/Cory3</v>
      </c>
      <c r="C143" t="str">
        <f>H143&amp;S143&amp;I143</f>
        <v>2015Pat/Tucker3</v>
      </c>
      <c r="D143">
        <f t="shared" si="20"/>
        <v>21</v>
      </c>
      <c r="E143">
        <f t="shared" si="21"/>
        <v>108</v>
      </c>
      <c r="F143">
        <f t="shared" si="22"/>
        <v>28</v>
      </c>
      <c r="G143">
        <f t="shared" si="23"/>
        <v>475</v>
      </c>
      <c r="H143">
        <v>2015</v>
      </c>
      <c r="I143">
        <v>3</v>
      </c>
      <c r="J143">
        <v>11</v>
      </c>
      <c r="K143" t="s">
        <v>31</v>
      </c>
      <c r="L143">
        <v>91.5</v>
      </c>
      <c r="M143" t="s">
        <v>36</v>
      </c>
      <c r="N143">
        <v>163</v>
      </c>
      <c r="O143" t="s">
        <v>20</v>
      </c>
      <c r="P143">
        <f t="shared" si="24"/>
        <v>254.5</v>
      </c>
      <c r="Q143">
        <f t="shared" si="25"/>
        <v>71.5</v>
      </c>
      <c r="R143" t="str">
        <f t="shared" si="26"/>
        <v>Walker/Cory</v>
      </c>
      <c r="S143" t="str">
        <f t="shared" si="27"/>
        <v>Pat/Tucker</v>
      </c>
      <c r="T143">
        <f t="shared" si="28"/>
        <v>163</v>
      </c>
      <c r="U143">
        <f t="shared" si="29"/>
        <v>91.5</v>
      </c>
    </row>
    <row r="144" spans="1:21" x14ac:dyDescent="0.3">
      <c r="A144">
        <v>143</v>
      </c>
      <c r="B144" t="str">
        <f>H144&amp;R144&amp;I144</f>
        <v>2015Brian/Travis3</v>
      </c>
      <c r="C144" t="str">
        <f>H144&amp;S144&amp;I144</f>
        <v>2015Eric/Blake3</v>
      </c>
      <c r="D144">
        <f t="shared" si="20"/>
        <v>119</v>
      </c>
      <c r="E144">
        <f t="shared" si="21"/>
        <v>31</v>
      </c>
      <c r="F144">
        <f t="shared" si="22"/>
        <v>28</v>
      </c>
      <c r="G144">
        <f t="shared" si="23"/>
        <v>120</v>
      </c>
      <c r="H144">
        <v>2015</v>
      </c>
      <c r="I144">
        <v>3</v>
      </c>
      <c r="J144">
        <v>12</v>
      </c>
      <c r="K144" t="s">
        <v>32</v>
      </c>
      <c r="L144">
        <v>163</v>
      </c>
      <c r="M144" t="s">
        <v>34</v>
      </c>
      <c r="N144">
        <v>115.5</v>
      </c>
      <c r="O144" t="s">
        <v>20</v>
      </c>
      <c r="P144">
        <f t="shared" si="24"/>
        <v>278.5</v>
      </c>
      <c r="Q144">
        <f t="shared" si="25"/>
        <v>47.5</v>
      </c>
      <c r="R144" t="str">
        <f t="shared" si="26"/>
        <v>Brian/Travis</v>
      </c>
      <c r="S144" t="str">
        <f t="shared" si="27"/>
        <v>Eric/Blake</v>
      </c>
      <c r="T144">
        <f t="shared" si="28"/>
        <v>163</v>
      </c>
      <c r="U144">
        <f t="shared" si="29"/>
        <v>115.5</v>
      </c>
    </row>
    <row r="145" spans="1:21" x14ac:dyDescent="0.3">
      <c r="A145">
        <v>144</v>
      </c>
      <c r="B145" t="str">
        <f>H145&amp;R145&amp;I145</f>
        <v>2015Dave/Nolan3</v>
      </c>
      <c r="C145" t="str">
        <f>H145&amp;S145&amp;I145</f>
        <v>2015Drew/Cam3</v>
      </c>
      <c r="D145">
        <f t="shared" si="20"/>
        <v>101</v>
      </c>
      <c r="E145">
        <f t="shared" si="21"/>
        <v>574</v>
      </c>
      <c r="F145">
        <f t="shared" si="22"/>
        <v>346</v>
      </c>
      <c r="G145">
        <f t="shared" si="23"/>
        <v>736</v>
      </c>
      <c r="H145">
        <v>2015</v>
      </c>
      <c r="I145">
        <v>3</v>
      </c>
      <c r="J145">
        <v>13</v>
      </c>
      <c r="K145" t="s">
        <v>37</v>
      </c>
      <c r="L145">
        <v>74.5</v>
      </c>
      <c r="M145" t="s">
        <v>30</v>
      </c>
      <c r="N145">
        <v>124.5</v>
      </c>
      <c r="O145" t="s">
        <v>20</v>
      </c>
      <c r="P145">
        <f t="shared" si="24"/>
        <v>199</v>
      </c>
      <c r="Q145">
        <f t="shared" si="25"/>
        <v>50</v>
      </c>
      <c r="R145" t="str">
        <f t="shared" si="26"/>
        <v>Dave/Nolan</v>
      </c>
      <c r="S145" t="str">
        <f t="shared" si="27"/>
        <v>Drew/Cam</v>
      </c>
      <c r="T145">
        <f t="shared" si="28"/>
        <v>124.5</v>
      </c>
      <c r="U145">
        <f t="shared" si="29"/>
        <v>74.5</v>
      </c>
    </row>
    <row r="146" spans="1:21" x14ac:dyDescent="0.3">
      <c r="A146">
        <v>145</v>
      </c>
      <c r="B146" t="str">
        <f>H146&amp;R146&amp;I146</f>
        <v>2015Clay/Ryan3</v>
      </c>
      <c r="C146" t="str">
        <f>H146&amp;S146&amp;I146</f>
        <v>2015Graham/Michael3</v>
      </c>
      <c r="D146">
        <f t="shared" si="20"/>
        <v>640</v>
      </c>
      <c r="E146">
        <f t="shared" si="21"/>
        <v>602</v>
      </c>
      <c r="F146">
        <f t="shared" si="22"/>
        <v>680</v>
      </c>
      <c r="G146">
        <f t="shared" si="23"/>
        <v>457</v>
      </c>
      <c r="H146">
        <v>2015</v>
      </c>
      <c r="I146">
        <v>3</v>
      </c>
      <c r="J146">
        <v>14</v>
      </c>
      <c r="K146" t="s">
        <v>29</v>
      </c>
      <c r="L146">
        <v>92.5</v>
      </c>
      <c r="M146" t="s">
        <v>35</v>
      </c>
      <c r="N146">
        <v>103</v>
      </c>
      <c r="O146" t="s">
        <v>20</v>
      </c>
      <c r="P146">
        <f t="shared" si="24"/>
        <v>195.5</v>
      </c>
      <c r="Q146">
        <f t="shared" si="25"/>
        <v>10.5</v>
      </c>
      <c r="R146" t="str">
        <f t="shared" si="26"/>
        <v>Clay/Ryan</v>
      </c>
      <c r="S146" t="str">
        <f t="shared" si="27"/>
        <v>Graham/Michael</v>
      </c>
      <c r="T146">
        <f t="shared" si="28"/>
        <v>103</v>
      </c>
      <c r="U146">
        <f t="shared" si="29"/>
        <v>92.5</v>
      </c>
    </row>
    <row r="147" spans="1:21" x14ac:dyDescent="0.3">
      <c r="A147">
        <v>146</v>
      </c>
      <c r="B147" t="str">
        <f>H147&amp;R147&amp;I147</f>
        <v>2015Walker/Cory4</v>
      </c>
      <c r="C147" t="str">
        <f>H147&amp;S147&amp;I147</f>
        <v>2015Eric/Blake4</v>
      </c>
      <c r="D147">
        <f t="shared" si="20"/>
        <v>711</v>
      </c>
      <c r="E147">
        <f t="shared" si="21"/>
        <v>682</v>
      </c>
      <c r="F147">
        <f t="shared" si="22"/>
        <v>745</v>
      </c>
      <c r="G147">
        <f t="shared" si="23"/>
        <v>522</v>
      </c>
      <c r="H147">
        <v>2015</v>
      </c>
      <c r="I147">
        <v>4</v>
      </c>
      <c r="J147">
        <v>15</v>
      </c>
      <c r="K147" t="s">
        <v>36</v>
      </c>
      <c r="L147">
        <v>97</v>
      </c>
      <c r="M147" t="s">
        <v>34</v>
      </c>
      <c r="N147">
        <v>89.5</v>
      </c>
      <c r="O147" t="s">
        <v>20</v>
      </c>
      <c r="P147">
        <f t="shared" si="24"/>
        <v>186.5</v>
      </c>
      <c r="Q147">
        <f t="shared" si="25"/>
        <v>7.5</v>
      </c>
      <c r="R147" t="str">
        <f t="shared" si="26"/>
        <v>Walker/Cory</v>
      </c>
      <c r="S147" t="str">
        <f t="shared" si="27"/>
        <v>Eric/Blake</v>
      </c>
      <c r="T147">
        <f t="shared" si="28"/>
        <v>97</v>
      </c>
      <c r="U147">
        <f t="shared" si="29"/>
        <v>89.5</v>
      </c>
    </row>
    <row r="148" spans="1:21" x14ac:dyDescent="0.3">
      <c r="A148">
        <v>147</v>
      </c>
      <c r="B148" t="str">
        <f>H148&amp;R148&amp;I148</f>
        <v>2015David/Marshall4</v>
      </c>
      <c r="C148" t="str">
        <f>H148&amp;S148&amp;I148</f>
        <v>2015Dave/Nolan4</v>
      </c>
      <c r="D148">
        <f t="shared" si="20"/>
        <v>738</v>
      </c>
      <c r="E148">
        <f t="shared" si="21"/>
        <v>534</v>
      </c>
      <c r="F148">
        <f t="shared" si="22"/>
        <v>648</v>
      </c>
      <c r="G148">
        <f t="shared" si="23"/>
        <v>355</v>
      </c>
      <c r="H148">
        <v>2015</v>
      </c>
      <c r="I148">
        <v>4</v>
      </c>
      <c r="J148">
        <v>16</v>
      </c>
      <c r="K148" t="s">
        <v>30</v>
      </c>
      <c r="L148">
        <v>98.5</v>
      </c>
      <c r="M148" t="s">
        <v>38</v>
      </c>
      <c r="N148">
        <v>105</v>
      </c>
      <c r="O148" t="s">
        <v>20</v>
      </c>
      <c r="P148">
        <f t="shared" si="24"/>
        <v>203.5</v>
      </c>
      <c r="Q148">
        <f t="shared" si="25"/>
        <v>6.5</v>
      </c>
      <c r="R148" t="str">
        <f t="shared" si="26"/>
        <v>David/Marshall</v>
      </c>
      <c r="S148" t="str">
        <f t="shared" si="27"/>
        <v>Dave/Nolan</v>
      </c>
      <c r="T148">
        <f t="shared" si="28"/>
        <v>105</v>
      </c>
      <c r="U148">
        <f t="shared" si="29"/>
        <v>98.5</v>
      </c>
    </row>
    <row r="149" spans="1:21" x14ac:dyDescent="0.3">
      <c r="A149">
        <v>148</v>
      </c>
      <c r="B149" t="str">
        <f>H149&amp;R149&amp;I149</f>
        <v>2015Clay/Ryan4</v>
      </c>
      <c r="C149" t="str">
        <f>H149&amp;S149&amp;I149</f>
        <v>2015Trent/Colin4</v>
      </c>
      <c r="D149">
        <f t="shared" si="20"/>
        <v>345</v>
      </c>
      <c r="E149">
        <f t="shared" si="21"/>
        <v>562</v>
      </c>
      <c r="F149">
        <f t="shared" si="22"/>
        <v>523</v>
      </c>
      <c r="G149">
        <f t="shared" si="23"/>
        <v>587</v>
      </c>
      <c r="H149">
        <v>2015</v>
      </c>
      <c r="I149">
        <v>4</v>
      </c>
      <c r="J149">
        <v>17</v>
      </c>
      <c r="K149" t="s">
        <v>35</v>
      </c>
      <c r="L149">
        <v>113.5</v>
      </c>
      <c r="M149" t="s">
        <v>33</v>
      </c>
      <c r="N149">
        <v>86.5</v>
      </c>
      <c r="O149" t="s">
        <v>20</v>
      </c>
      <c r="P149">
        <f t="shared" si="24"/>
        <v>200</v>
      </c>
      <c r="Q149">
        <f t="shared" si="25"/>
        <v>27</v>
      </c>
      <c r="R149" t="str">
        <f t="shared" si="26"/>
        <v>Clay/Ryan</v>
      </c>
      <c r="S149" t="str">
        <f t="shared" si="27"/>
        <v>Trent/Colin</v>
      </c>
      <c r="T149">
        <f t="shared" si="28"/>
        <v>113.5</v>
      </c>
      <c r="U149">
        <f t="shared" si="29"/>
        <v>86.5</v>
      </c>
    </row>
    <row r="150" spans="1:21" x14ac:dyDescent="0.3">
      <c r="A150">
        <v>149</v>
      </c>
      <c r="B150" t="str">
        <f>H150&amp;R150&amp;I150</f>
        <v>2015Drew/Cam4</v>
      </c>
      <c r="C150" t="str">
        <f>H150&amp;S150&amp;I150</f>
        <v>2015Pat/Tucker4</v>
      </c>
      <c r="D150">
        <f t="shared" si="20"/>
        <v>748</v>
      </c>
      <c r="E150">
        <f t="shared" si="21"/>
        <v>842</v>
      </c>
      <c r="F150">
        <f t="shared" si="22"/>
        <v>857</v>
      </c>
      <c r="G150">
        <f t="shared" si="23"/>
        <v>765</v>
      </c>
      <c r="H150">
        <v>2015</v>
      </c>
      <c r="I150">
        <v>4</v>
      </c>
      <c r="J150">
        <v>18</v>
      </c>
      <c r="K150" t="s">
        <v>37</v>
      </c>
      <c r="L150">
        <v>79</v>
      </c>
      <c r="M150" t="s">
        <v>31</v>
      </c>
      <c r="N150">
        <v>73</v>
      </c>
      <c r="O150" t="s">
        <v>20</v>
      </c>
      <c r="P150">
        <f t="shared" si="24"/>
        <v>152</v>
      </c>
      <c r="Q150">
        <f t="shared" si="25"/>
        <v>6</v>
      </c>
      <c r="R150" t="str">
        <f t="shared" si="26"/>
        <v>Drew/Cam</v>
      </c>
      <c r="S150" t="str">
        <f t="shared" si="27"/>
        <v>Pat/Tucker</v>
      </c>
      <c r="T150">
        <f t="shared" si="28"/>
        <v>79</v>
      </c>
      <c r="U150">
        <f t="shared" si="29"/>
        <v>73</v>
      </c>
    </row>
    <row r="151" spans="1:21" x14ac:dyDescent="0.3">
      <c r="A151">
        <v>150</v>
      </c>
      <c r="B151" t="str">
        <f>H151&amp;R151&amp;I151</f>
        <v>2015Brian/Travis4</v>
      </c>
      <c r="C151" t="str">
        <f>H151&amp;S151&amp;I151</f>
        <v>2015Graham/Michael4</v>
      </c>
      <c r="D151">
        <f t="shared" si="20"/>
        <v>375</v>
      </c>
      <c r="E151">
        <f t="shared" si="21"/>
        <v>782</v>
      </c>
      <c r="F151">
        <f t="shared" si="22"/>
        <v>739</v>
      </c>
      <c r="G151">
        <f t="shared" si="23"/>
        <v>765</v>
      </c>
      <c r="H151">
        <v>2015</v>
      </c>
      <c r="I151">
        <v>4</v>
      </c>
      <c r="J151">
        <v>19</v>
      </c>
      <c r="K151" t="s">
        <v>29</v>
      </c>
      <c r="L151">
        <v>73</v>
      </c>
      <c r="M151" t="s">
        <v>32</v>
      </c>
      <c r="N151">
        <v>97.5</v>
      </c>
      <c r="O151" t="s">
        <v>20</v>
      </c>
      <c r="P151">
        <f t="shared" si="24"/>
        <v>170.5</v>
      </c>
      <c r="Q151">
        <f t="shared" si="25"/>
        <v>24.5</v>
      </c>
      <c r="R151" t="str">
        <f t="shared" si="26"/>
        <v>Brian/Travis</v>
      </c>
      <c r="S151" t="str">
        <f t="shared" si="27"/>
        <v>Graham/Michael</v>
      </c>
      <c r="T151">
        <f t="shared" si="28"/>
        <v>97.5</v>
      </c>
      <c r="U151">
        <f t="shared" si="29"/>
        <v>73</v>
      </c>
    </row>
    <row r="152" spans="1:21" x14ac:dyDescent="0.3">
      <c r="A152">
        <v>151</v>
      </c>
      <c r="B152" t="str">
        <f>H152&amp;R152&amp;I152</f>
        <v>2015Dave/Nolan5</v>
      </c>
      <c r="C152" t="str">
        <f>H152&amp;S152&amp;I152</f>
        <v>2015Clay/Ryan5</v>
      </c>
      <c r="D152">
        <f t="shared" si="20"/>
        <v>94</v>
      </c>
      <c r="E152">
        <f t="shared" si="21"/>
        <v>330</v>
      </c>
      <c r="F152">
        <f t="shared" si="22"/>
        <v>156</v>
      </c>
      <c r="G152">
        <f t="shared" si="23"/>
        <v>574</v>
      </c>
      <c r="H152">
        <v>2015</v>
      </c>
      <c r="I152">
        <v>5</v>
      </c>
      <c r="J152">
        <v>20</v>
      </c>
      <c r="K152" t="s">
        <v>30</v>
      </c>
      <c r="L152">
        <v>138</v>
      </c>
      <c r="M152" t="s">
        <v>35</v>
      </c>
      <c r="N152">
        <v>87</v>
      </c>
      <c r="O152" t="s">
        <v>20</v>
      </c>
      <c r="P152">
        <f t="shared" si="24"/>
        <v>225</v>
      </c>
      <c r="Q152">
        <f t="shared" si="25"/>
        <v>51</v>
      </c>
      <c r="R152" t="str">
        <f t="shared" si="26"/>
        <v>Dave/Nolan</v>
      </c>
      <c r="S152" t="str">
        <f t="shared" si="27"/>
        <v>Clay/Ryan</v>
      </c>
      <c r="T152">
        <f t="shared" si="28"/>
        <v>138</v>
      </c>
      <c r="U152">
        <f t="shared" si="29"/>
        <v>87</v>
      </c>
    </row>
    <row r="153" spans="1:21" x14ac:dyDescent="0.3">
      <c r="A153">
        <v>152</v>
      </c>
      <c r="B153" t="str">
        <f>H153&amp;R153&amp;I153</f>
        <v>2015Drew/Cam5</v>
      </c>
      <c r="C153" t="str">
        <f>H153&amp;S153&amp;I153</f>
        <v>2015Walker/Cory5</v>
      </c>
      <c r="D153">
        <f t="shared" si="20"/>
        <v>605</v>
      </c>
      <c r="E153">
        <f t="shared" si="21"/>
        <v>423</v>
      </c>
      <c r="F153">
        <f t="shared" si="22"/>
        <v>533</v>
      </c>
      <c r="G153">
        <f t="shared" si="23"/>
        <v>303</v>
      </c>
      <c r="H153">
        <v>2015</v>
      </c>
      <c r="I153">
        <v>5</v>
      </c>
      <c r="J153">
        <v>21</v>
      </c>
      <c r="K153" t="s">
        <v>36</v>
      </c>
      <c r="L153">
        <v>101</v>
      </c>
      <c r="M153" t="s">
        <v>37</v>
      </c>
      <c r="N153">
        <v>113</v>
      </c>
      <c r="O153" t="s">
        <v>20</v>
      </c>
      <c r="P153">
        <f t="shared" si="24"/>
        <v>214</v>
      </c>
      <c r="Q153">
        <f t="shared" si="25"/>
        <v>12</v>
      </c>
      <c r="R153" t="str">
        <f t="shared" si="26"/>
        <v>Drew/Cam</v>
      </c>
      <c r="S153" t="str">
        <f t="shared" si="27"/>
        <v>Walker/Cory</v>
      </c>
      <c r="T153">
        <f t="shared" si="28"/>
        <v>113</v>
      </c>
      <c r="U153">
        <f t="shared" si="29"/>
        <v>101</v>
      </c>
    </row>
    <row r="154" spans="1:21" x14ac:dyDescent="0.3">
      <c r="A154">
        <v>153</v>
      </c>
      <c r="B154" t="str">
        <f>H154&amp;R154&amp;I154</f>
        <v>2015Eric/Blake5</v>
      </c>
      <c r="C154" t="str">
        <f>H154&amp;S154&amp;I154</f>
        <v>2015Graham/Michael5</v>
      </c>
      <c r="D154">
        <f t="shared" si="20"/>
        <v>7</v>
      </c>
      <c r="E154">
        <f t="shared" si="21"/>
        <v>70</v>
      </c>
      <c r="F154">
        <f t="shared" si="22"/>
        <v>5</v>
      </c>
      <c r="G154">
        <f t="shared" si="23"/>
        <v>544</v>
      </c>
      <c r="H154">
        <v>2015</v>
      </c>
      <c r="I154">
        <v>5</v>
      </c>
      <c r="J154">
        <v>22</v>
      </c>
      <c r="K154" t="s">
        <v>34</v>
      </c>
      <c r="L154">
        <v>177</v>
      </c>
      <c r="M154" t="s">
        <v>29</v>
      </c>
      <c r="N154">
        <v>88</v>
      </c>
      <c r="O154" t="s">
        <v>20</v>
      </c>
      <c r="P154">
        <f t="shared" si="24"/>
        <v>265</v>
      </c>
      <c r="Q154">
        <f t="shared" si="25"/>
        <v>89</v>
      </c>
      <c r="R154" t="str">
        <f t="shared" si="26"/>
        <v>Eric/Blake</v>
      </c>
      <c r="S154" t="str">
        <f t="shared" si="27"/>
        <v>Graham/Michael</v>
      </c>
      <c r="T154">
        <f t="shared" si="28"/>
        <v>177</v>
      </c>
      <c r="U154">
        <f t="shared" si="29"/>
        <v>88</v>
      </c>
    </row>
    <row r="155" spans="1:21" x14ac:dyDescent="0.3">
      <c r="A155">
        <v>154</v>
      </c>
      <c r="B155" t="str">
        <f>H155&amp;R155&amp;I155</f>
        <v>2015Pat/Tucker5</v>
      </c>
      <c r="C155" t="str">
        <f>H155&amp;S155&amp;I155</f>
        <v>2015David/Marshall5</v>
      </c>
      <c r="D155">
        <f t="shared" si="20"/>
        <v>345</v>
      </c>
      <c r="E155">
        <f t="shared" si="21"/>
        <v>869</v>
      </c>
      <c r="F155">
        <f t="shared" si="22"/>
        <v>867</v>
      </c>
      <c r="G155">
        <f t="shared" si="23"/>
        <v>867</v>
      </c>
      <c r="H155">
        <v>2015</v>
      </c>
      <c r="I155">
        <v>5</v>
      </c>
      <c r="J155">
        <v>23</v>
      </c>
      <c r="K155" t="s">
        <v>38</v>
      </c>
      <c r="L155">
        <v>46</v>
      </c>
      <c r="M155" t="s">
        <v>31</v>
      </c>
      <c r="N155">
        <v>73</v>
      </c>
      <c r="O155" t="s">
        <v>20</v>
      </c>
      <c r="P155">
        <f t="shared" si="24"/>
        <v>119</v>
      </c>
      <c r="Q155">
        <f t="shared" si="25"/>
        <v>27</v>
      </c>
      <c r="R155" t="str">
        <f t="shared" si="26"/>
        <v>Pat/Tucker</v>
      </c>
      <c r="S155" t="str">
        <f t="shared" si="27"/>
        <v>David/Marshall</v>
      </c>
      <c r="T155">
        <f t="shared" si="28"/>
        <v>73</v>
      </c>
      <c r="U155">
        <f t="shared" si="29"/>
        <v>46</v>
      </c>
    </row>
    <row r="156" spans="1:21" x14ac:dyDescent="0.3">
      <c r="A156">
        <v>155</v>
      </c>
      <c r="B156" t="str">
        <f>H156&amp;R156&amp;I156</f>
        <v>2015Brian/Travis5</v>
      </c>
      <c r="C156" t="str">
        <f>H156&amp;S156&amp;I156</f>
        <v>2015Trent/Colin5</v>
      </c>
      <c r="D156">
        <f t="shared" si="20"/>
        <v>640</v>
      </c>
      <c r="E156">
        <f t="shared" si="21"/>
        <v>836</v>
      </c>
      <c r="F156">
        <f t="shared" si="22"/>
        <v>847</v>
      </c>
      <c r="G156">
        <f t="shared" si="23"/>
        <v>778</v>
      </c>
      <c r="H156">
        <v>2015</v>
      </c>
      <c r="I156">
        <v>5</v>
      </c>
      <c r="J156">
        <v>24</v>
      </c>
      <c r="K156" t="s">
        <v>33</v>
      </c>
      <c r="L156">
        <v>71.5</v>
      </c>
      <c r="M156" t="s">
        <v>32</v>
      </c>
      <c r="N156">
        <v>82</v>
      </c>
      <c r="O156" t="s">
        <v>20</v>
      </c>
      <c r="P156">
        <f t="shared" si="24"/>
        <v>153.5</v>
      </c>
      <c r="Q156">
        <f t="shared" si="25"/>
        <v>10.5</v>
      </c>
      <c r="R156" t="str">
        <f t="shared" si="26"/>
        <v>Brian/Travis</v>
      </c>
      <c r="S156" t="str">
        <f t="shared" si="27"/>
        <v>Trent/Colin</v>
      </c>
      <c r="T156">
        <f t="shared" si="28"/>
        <v>82</v>
      </c>
      <c r="U156">
        <f t="shared" si="29"/>
        <v>71.5</v>
      </c>
    </row>
    <row r="157" spans="1:21" x14ac:dyDescent="0.3">
      <c r="A157">
        <v>156</v>
      </c>
      <c r="B157" t="str">
        <f>H157&amp;R157&amp;I157</f>
        <v>2015Graham/Michael6</v>
      </c>
      <c r="C157" t="str">
        <f>H157&amp;S157&amp;I157</f>
        <v>2015Pat/Tucker6</v>
      </c>
      <c r="D157">
        <f t="shared" si="20"/>
        <v>43</v>
      </c>
      <c r="E157">
        <f t="shared" si="21"/>
        <v>246</v>
      </c>
      <c r="F157">
        <f t="shared" si="22"/>
        <v>85</v>
      </c>
      <c r="G157">
        <f t="shared" si="23"/>
        <v>574</v>
      </c>
      <c r="H157">
        <v>2015</v>
      </c>
      <c r="I157">
        <v>6</v>
      </c>
      <c r="J157">
        <v>25</v>
      </c>
      <c r="K157" t="s">
        <v>29</v>
      </c>
      <c r="L157">
        <v>148</v>
      </c>
      <c r="M157" t="s">
        <v>31</v>
      </c>
      <c r="N157">
        <v>87</v>
      </c>
      <c r="O157" t="s">
        <v>20</v>
      </c>
      <c r="P157">
        <f t="shared" si="24"/>
        <v>235</v>
      </c>
      <c r="Q157">
        <f t="shared" si="25"/>
        <v>61</v>
      </c>
      <c r="R157" t="str">
        <f t="shared" si="26"/>
        <v>Graham/Michael</v>
      </c>
      <c r="S157" t="str">
        <f t="shared" si="27"/>
        <v>Pat/Tucker</v>
      </c>
      <c r="T157">
        <f t="shared" si="28"/>
        <v>148</v>
      </c>
      <c r="U157">
        <f t="shared" si="29"/>
        <v>87</v>
      </c>
    </row>
    <row r="158" spans="1:21" x14ac:dyDescent="0.3">
      <c r="A158">
        <v>157</v>
      </c>
      <c r="B158" t="str">
        <f>H158&amp;R158&amp;I158</f>
        <v>2015Brian/Travis6</v>
      </c>
      <c r="C158" t="str">
        <f>H158&amp;S158&amp;I158</f>
        <v>2015David/Marshall6</v>
      </c>
      <c r="D158">
        <f t="shared" si="20"/>
        <v>830</v>
      </c>
      <c r="E158">
        <f t="shared" si="21"/>
        <v>517</v>
      </c>
      <c r="F158">
        <f t="shared" si="22"/>
        <v>670</v>
      </c>
      <c r="G158">
        <f t="shared" si="23"/>
        <v>293</v>
      </c>
      <c r="H158">
        <v>2015</v>
      </c>
      <c r="I158">
        <v>6</v>
      </c>
      <c r="J158">
        <v>26</v>
      </c>
      <c r="K158" t="s">
        <v>32</v>
      </c>
      <c r="L158">
        <v>103.5</v>
      </c>
      <c r="M158" t="s">
        <v>38</v>
      </c>
      <c r="N158">
        <v>101.5</v>
      </c>
      <c r="O158" t="s">
        <v>20</v>
      </c>
      <c r="P158">
        <f t="shared" si="24"/>
        <v>205</v>
      </c>
      <c r="Q158">
        <f t="shared" si="25"/>
        <v>2</v>
      </c>
      <c r="R158" t="str">
        <f t="shared" si="26"/>
        <v>Brian/Travis</v>
      </c>
      <c r="S158" t="str">
        <f t="shared" si="27"/>
        <v>David/Marshall</v>
      </c>
      <c r="T158">
        <f t="shared" si="28"/>
        <v>103.5</v>
      </c>
      <c r="U158">
        <f t="shared" si="29"/>
        <v>101.5</v>
      </c>
    </row>
    <row r="159" spans="1:21" x14ac:dyDescent="0.3">
      <c r="A159">
        <v>158</v>
      </c>
      <c r="B159" t="str">
        <f>H159&amp;R159&amp;I159</f>
        <v>2015Walker/Cory6</v>
      </c>
      <c r="C159" t="str">
        <f>H159&amp;S159&amp;I159</f>
        <v>2015Trent/Colin6</v>
      </c>
      <c r="D159">
        <f t="shared" si="20"/>
        <v>171</v>
      </c>
      <c r="E159">
        <f t="shared" si="21"/>
        <v>277</v>
      </c>
      <c r="F159">
        <f t="shared" si="22"/>
        <v>181</v>
      </c>
      <c r="G159">
        <f t="shared" si="23"/>
        <v>435</v>
      </c>
      <c r="H159">
        <v>2015</v>
      </c>
      <c r="I159">
        <v>6</v>
      </c>
      <c r="J159">
        <v>27</v>
      </c>
      <c r="K159" t="s">
        <v>33</v>
      </c>
      <c r="L159">
        <v>94</v>
      </c>
      <c r="M159" t="s">
        <v>36</v>
      </c>
      <c r="N159">
        <v>136</v>
      </c>
      <c r="O159" t="s">
        <v>20</v>
      </c>
      <c r="P159">
        <f t="shared" si="24"/>
        <v>230</v>
      </c>
      <c r="Q159">
        <f t="shared" si="25"/>
        <v>42</v>
      </c>
      <c r="R159" t="str">
        <f t="shared" si="26"/>
        <v>Walker/Cory</v>
      </c>
      <c r="S159" t="str">
        <f t="shared" si="27"/>
        <v>Trent/Colin</v>
      </c>
      <c r="T159">
        <f t="shared" si="28"/>
        <v>136</v>
      </c>
      <c r="U159">
        <f t="shared" si="29"/>
        <v>94</v>
      </c>
    </row>
    <row r="160" spans="1:21" x14ac:dyDescent="0.3">
      <c r="A160">
        <v>159</v>
      </c>
      <c r="B160" t="str">
        <f>H160&amp;R160&amp;I160</f>
        <v>2015Eric/Blake6</v>
      </c>
      <c r="C160" t="str">
        <f>H160&amp;S160&amp;I160</f>
        <v>2015Dave/Nolan6</v>
      </c>
      <c r="D160">
        <f t="shared" si="20"/>
        <v>55</v>
      </c>
      <c r="E160">
        <f t="shared" si="21"/>
        <v>411</v>
      </c>
      <c r="F160">
        <f t="shared" si="22"/>
        <v>172</v>
      </c>
      <c r="G160">
        <f t="shared" si="23"/>
        <v>688</v>
      </c>
      <c r="H160">
        <v>2015</v>
      </c>
      <c r="I160">
        <v>6</v>
      </c>
      <c r="J160">
        <v>28</v>
      </c>
      <c r="K160" t="s">
        <v>34</v>
      </c>
      <c r="L160">
        <v>137</v>
      </c>
      <c r="M160" t="s">
        <v>30</v>
      </c>
      <c r="N160">
        <v>79</v>
      </c>
      <c r="O160" t="s">
        <v>20</v>
      </c>
      <c r="P160">
        <f t="shared" si="24"/>
        <v>216</v>
      </c>
      <c r="Q160">
        <f t="shared" si="25"/>
        <v>58</v>
      </c>
      <c r="R160" t="str">
        <f t="shared" si="26"/>
        <v>Eric/Blake</v>
      </c>
      <c r="S160" t="str">
        <f t="shared" si="27"/>
        <v>Dave/Nolan</v>
      </c>
      <c r="T160">
        <f t="shared" si="28"/>
        <v>137</v>
      </c>
      <c r="U160">
        <f t="shared" si="29"/>
        <v>79</v>
      </c>
    </row>
    <row r="161" spans="1:21" x14ac:dyDescent="0.3">
      <c r="A161">
        <v>160</v>
      </c>
      <c r="B161" t="str">
        <f>H161&amp;R161&amp;I161</f>
        <v>2015Drew/Cam6</v>
      </c>
      <c r="C161" t="str">
        <f>H161&amp;S161&amp;I161</f>
        <v>2015Clay/Ryan6</v>
      </c>
      <c r="D161">
        <f t="shared" si="20"/>
        <v>720</v>
      </c>
      <c r="E161">
        <f t="shared" si="21"/>
        <v>732</v>
      </c>
      <c r="F161">
        <f t="shared" si="22"/>
        <v>788</v>
      </c>
      <c r="G161">
        <f t="shared" si="23"/>
        <v>587</v>
      </c>
      <c r="H161">
        <v>2015</v>
      </c>
      <c r="I161">
        <v>6</v>
      </c>
      <c r="J161">
        <v>29</v>
      </c>
      <c r="K161" t="s">
        <v>35</v>
      </c>
      <c r="L161">
        <v>86.5</v>
      </c>
      <c r="M161" t="s">
        <v>37</v>
      </c>
      <c r="N161">
        <v>93.5</v>
      </c>
      <c r="O161" t="s">
        <v>20</v>
      </c>
      <c r="P161">
        <f t="shared" si="24"/>
        <v>180</v>
      </c>
      <c r="Q161">
        <f t="shared" si="25"/>
        <v>7</v>
      </c>
      <c r="R161" t="str">
        <f t="shared" si="26"/>
        <v>Drew/Cam</v>
      </c>
      <c r="S161" t="str">
        <f t="shared" si="27"/>
        <v>Clay/Ryan</v>
      </c>
      <c r="T161">
        <f t="shared" si="28"/>
        <v>93.5</v>
      </c>
      <c r="U161">
        <f t="shared" si="29"/>
        <v>86.5</v>
      </c>
    </row>
    <row r="162" spans="1:21" x14ac:dyDescent="0.3">
      <c r="A162">
        <v>161</v>
      </c>
      <c r="B162" t="str">
        <f>H162&amp;R162&amp;I162</f>
        <v>2015David/Marshall7</v>
      </c>
      <c r="C162" t="str">
        <f>H162&amp;S162&amp;I162</f>
        <v>2015Graham/Michael7</v>
      </c>
      <c r="D162">
        <f t="shared" si="20"/>
        <v>559</v>
      </c>
      <c r="E162">
        <f t="shared" si="21"/>
        <v>354</v>
      </c>
      <c r="F162">
        <f t="shared" si="22"/>
        <v>449</v>
      </c>
      <c r="G162">
        <f t="shared" si="23"/>
        <v>245</v>
      </c>
      <c r="H162">
        <v>2015</v>
      </c>
      <c r="I162">
        <v>7</v>
      </c>
      <c r="J162">
        <v>30</v>
      </c>
      <c r="K162" t="s">
        <v>38</v>
      </c>
      <c r="L162">
        <v>118.5</v>
      </c>
      <c r="M162" t="s">
        <v>29</v>
      </c>
      <c r="N162">
        <v>104.5</v>
      </c>
      <c r="O162" t="s">
        <v>20</v>
      </c>
      <c r="P162">
        <f t="shared" si="24"/>
        <v>223</v>
      </c>
      <c r="Q162">
        <f t="shared" si="25"/>
        <v>14</v>
      </c>
      <c r="R162" t="str">
        <f t="shared" si="26"/>
        <v>David/Marshall</v>
      </c>
      <c r="S162" t="str">
        <f t="shared" si="27"/>
        <v>Graham/Michael</v>
      </c>
      <c r="T162">
        <f t="shared" si="28"/>
        <v>118.5</v>
      </c>
      <c r="U162">
        <f t="shared" si="29"/>
        <v>104.5</v>
      </c>
    </row>
    <row r="163" spans="1:21" x14ac:dyDescent="0.3">
      <c r="A163">
        <v>162</v>
      </c>
      <c r="B163" t="str">
        <f>H163&amp;R163&amp;I163</f>
        <v>2015Brian/Travis7</v>
      </c>
      <c r="C163" t="str">
        <f>H163&amp;S163&amp;I163</f>
        <v>2015Walker/Cory7</v>
      </c>
      <c r="D163">
        <f t="shared" si="20"/>
        <v>662</v>
      </c>
      <c r="E163">
        <f t="shared" si="21"/>
        <v>149</v>
      </c>
      <c r="F163">
        <f t="shared" si="22"/>
        <v>277</v>
      </c>
      <c r="G163">
        <f t="shared" si="23"/>
        <v>82</v>
      </c>
      <c r="H163">
        <v>2015</v>
      </c>
      <c r="I163">
        <v>7</v>
      </c>
      <c r="J163">
        <v>31</v>
      </c>
      <c r="K163" t="s">
        <v>36</v>
      </c>
      <c r="L163">
        <v>119</v>
      </c>
      <c r="M163" t="s">
        <v>32</v>
      </c>
      <c r="N163">
        <v>128.5</v>
      </c>
      <c r="O163" t="s">
        <v>20</v>
      </c>
      <c r="P163">
        <f t="shared" si="24"/>
        <v>247.5</v>
      </c>
      <c r="Q163">
        <f t="shared" si="25"/>
        <v>9.5</v>
      </c>
      <c r="R163" t="str">
        <f t="shared" si="26"/>
        <v>Brian/Travis</v>
      </c>
      <c r="S163" t="str">
        <f t="shared" si="27"/>
        <v>Walker/Cory</v>
      </c>
      <c r="T163">
        <f t="shared" si="28"/>
        <v>128.5</v>
      </c>
      <c r="U163">
        <f t="shared" si="29"/>
        <v>119</v>
      </c>
    </row>
    <row r="164" spans="1:21" x14ac:dyDescent="0.3">
      <c r="A164">
        <v>163</v>
      </c>
      <c r="B164" t="str">
        <f>H164&amp;R164&amp;I164</f>
        <v>2015Trent/Colin7</v>
      </c>
      <c r="C164" t="str">
        <f>H164&amp;S164&amp;I164</f>
        <v>2015Dave/Nolan7</v>
      </c>
      <c r="D164">
        <f t="shared" si="20"/>
        <v>220</v>
      </c>
      <c r="E164">
        <f t="shared" si="21"/>
        <v>749</v>
      </c>
      <c r="F164">
        <f t="shared" si="22"/>
        <v>613</v>
      </c>
      <c r="G164">
        <f t="shared" si="23"/>
        <v>793</v>
      </c>
      <c r="H164">
        <v>2015</v>
      </c>
      <c r="I164">
        <v>7</v>
      </c>
      <c r="J164">
        <v>32</v>
      </c>
      <c r="K164" t="s">
        <v>30</v>
      </c>
      <c r="L164">
        <v>70.5</v>
      </c>
      <c r="M164" t="s">
        <v>33</v>
      </c>
      <c r="N164">
        <v>107.5</v>
      </c>
      <c r="O164" t="s">
        <v>20</v>
      </c>
      <c r="P164">
        <f t="shared" si="24"/>
        <v>178</v>
      </c>
      <c r="Q164">
        <f t="shared" si="25"/>
        <v>37</v>
      </c>
      <c r="R164" t="str">
        <f t="shared" si="26"/>
        <v>Trent/Colin</v>
      </c>
      <c r="S164" t="str">
        <f t="shared" si="27"/>
        <v>Dave/Nolan</v>
      </c>
      <c r="T164">
        <f t="shared" si="28"/>
        <v>107.5</v>
      </c>
      <c r="U164">
        <f t="shared" si="29"/>
        <v>70.5</v>
      </c>
    </row>
    <row r="165" spans="1:21" x14ac:dyDescent="0.3">
      <c r="A165">
        <v>164</v>
      </c>
      <c r="B165" t="str">
        <f>H165&amp;R165&amp;I165</f>
        <v>2015Eric/Blake7</v>
      </c>
      <c r="C165" t="str">
        <f>H165&amp;S165&amp;I165</f>
        <v>2015Drew/Cam7</v>
      </c>
      <c r="D165">
        <f t="shared" si="20"/>
        <v>428</v>
      </c>
      <c r="E165">
        <f t="shared" si="21"/>
        <v>330</v>
      </c>
      <c r="F165">
        <f t="shared" si="22"/>
        <v>363</v>
      </c>
      <c r="G165">
        <f t="shared" si="23"/>
        <v>293</v>
      </c>
      <c r="H165">
        <v>2015</v>
      </c>
      <c r="I165">
        <v>7</v>
      </c>
      <c r="J165">
        <v>33</v>
      </c>
      <c r="K165" t="s">
        <v>37</v>
      </c>
      <c r="L165">
        <v>101.5</v>
      </c>
      <c r="M165" t="s">
        <v>34</v>
      </c>
      <c r="N165">
        <v>123.5</v>
      </c>
      <c r="O165" t="s">
        <v>20</v>
      </c>
      <c r="P165">
        <f t="shared" si="24"/>
        <v>225</v>
      </c>
      <c r="Q165">
        <f t="shared" si="25"/>
        <v>22</v>
      </c>
      <c r="R165" t="str">
        <f t="shared" si="26"/>
        <v>Eric/Blake</v>
      </c>
      <c r="S165" t="str">
        <f t="shared" si="27"/>
        <v>Drew/Cam</v>
      </c>
      <c r="T165">
        <f t="shared" si="28"/>
        <v>123.5</v>
      </c>
      <c r="U165">
        <f t="shared" si="29"/>
        <v>101.5</v>
      </c>
    </row>
    <row r="166" spans="1:21" x14ac:dyDescent="0.3">
      <c r="A166">
        <v>165</v>
      </c>
      <c r="B166" t="str">
        <f>H166&amp;R166&amp;I166</f>
        <v>2015Pat/Tucker7</v>
      </c>
      <c r="C166" t="str">
        <f>H166&amp;S166&amp;I166</f>
        <v>2015Clay/Ryan7</v>
      </c>
      <c r="D166">
        <f t="shared" si="20"/>
        <v>410</v>
      </c>
      <c r="E166">
        <f t="shared" si="21"/>
        <v>691</v>
      </c>
      <c r="F166">
        <f t="shared" si="22"/>
        <v>663</v>
      </c>
      <c r="G166">
        <f t="shared" si="23"/>
        <v>664</v>
      </c>
      <c r="H166">
        <v>2015</v>
      </c>
      <c r="I166">
        <v>7</v>
      </c>
      <c r="J166">
        <v>34</v>
      </c>
      <c r="K166" t="s">
        <v>31</v>
      </c>
      <c r="L166">
        <v>104</v>
      </c>
      <c r="M166" t="s">
        <v>35</v>
      </c>
      <c r="N166">
        <v>81.5</v>
      </c>
      <c r="O166" t="s">
        <v>20</v>
      </c>
      <c r="P166">
        <f t="shared" si="24"/>
        <v>185.5</v>
      </c>
      <c r="Q166">
        <f t="shared" si="25"/>
        <v>22.5</v>
      </c>
      <c r="R166" t="str">
        <f t="shared" si="26"/>
        <v>Pat/Tucker</v>
      </c>
      <c r="S166" t="str">
        <f t="shared" si="27"/>
        <v>Clay/Ryan</v>
      </c>
      <c r="T166">
        <f t="shared" si="28"/>
        <v>104</v>
      </c>
      <c r="U166">
        <f t="shared" si="29"/>
        <v>81.5</v>
      </c>
    </row>
    <row r="167" spans="1:21" x14ac:dyDescent="0.3">
      <c r="A167">
        <v>166</v>
      </c>
      <c r="B167" t="str">
        <f>H167&amp;R167&amp;I167</f>
        <v>2015Graham/Michael8</v>
      </c>
      <c r="C167" t="str">
        <f>H167&amp;S167&amp;I167</f>
        <v>2015Walker/Cory8</v>
      </c>
      <c r="D167">
        <f t="shared" si="20"/>
        <v>686</v>
      </c>
      <c r="E167">
        <f t="shared" si="21"/>
        <v>782</v>
      </c>
      <c r="F167">
        <f t="shared" si="22"/>
        <v>827</v>
      </c>
      <c r="G167">
        <f t="shared" si="23"/>
        <v>669</v>
      </c>
      <c r="H167">
        <v>2015</v>
      </c>
      <c r="I167">
        <v>8</v>
      </c>
      <c r="J167">
        <v>35</v>
      </c>
      <c r="K167" t="s">
        <v>29</v>
      </c>
      <c r="L167">
        <v>89.5</v>
      </c>
      <c r="M167" t="s">
        <v>36</v>
      </c>
      <c r="N167">
        <v>81</v>
      </c>
      <c r="O167" t="s">
        <v>20</v>
      </c>
      <c r="P167">
        <f t="shared" si="24"/>
        <v>170.5</v>
      </c>
      <c r="Q167">
        <f t="shared" si="25"/>
        <v>8.5</v>
      </c>
      <c r="R167" t="str">
        <f t="shared" si="26"/>
        <v>Graham/Michael</v>
      </c>
      <c r="S167" t="str">
        <f t="shared" si="27"/>
        <v>Walker/Cory</v>
      </c>
      <c r="T167">
        <f t="shared" si="28"/>
        <v>89.5</v>
      </c>
      <c r="U167">
        <f t="shared" si="29"/>
        <v>81</v>
      </c>
    </row>
    <row r="168" spans="1:21" x14ac:dyDescent="0.3">
      <c r="A168">
        <v>167</v>
      </c>
      <c r="B168" t="str">
        <f>H168&amp;R168&amp;I168</f>
        <v>2015Dave/Nolan8</v>
      </c>
      <c r="C168" t="str">
        <f>H168&amp;S168&amp;I168</f>
        <v>2015Brian/Travis8</v>
      </c>
      <c r="D168">
        <f t="shared" si="20"/>
        <v>802</v>
      </c>
      <c r="E168">
        <f t="shared" si="21"/>
        <v>104</v>
      </c>
      <c r="F168">
        <f t="shared" si="22"/>
        <v>264</v>
      </c>
      <c r="G168">
        <f t="shared" si="23"/>
        <v>39</v>
      </c>
      <c r="H168">
        <v>2015</v>
      </c>
      <c r="I168">
        <v>8</v>
      </c>
      <c r="J168">
        <v>36</v>
      </c>
      <c r="K168" t="s">
        <v>32</v>
      </c>
      <c r="L168">
        <v>126</v>
      </c>
      <c r="M168" t="s">
        <v>30</v>
      </c>
      <c r="N168">
        <v>129.5</v>
      </c>
      <c r="O168" t="s">
        <v>20</v>
      </c>
      <c r="P168">
        <f t="shared" si="24"/>
        <v>255.5</v>
      </c>
      <c r="Q168">
        <f t="shared" si="25"/>
        <v>3.5</v>
      </c>
      <c r="R168" t="str">
        <f t="shared" si="26"/>
        <v>Dave/Nolan</v>
      </c>
      <c r="S168" t="str">
        <f t="shared" si="27"/>
        <v>Brian/Travis</v>
      </c>
      <c r="T168">
        <f t="shared" si="28"/>
        <v>129.5</v>
      </c>
      <c r="U168">
        <f t="shared" si="29"/>
        <v>126</v>
      </c>
    </row>
    <row r="169" spans="1:21" x14ac:dyDescent="0.3">
      <c r="A169">
        <v>168</v>
      </c>
      <c r="B169" t="str">
        <f>H169&amp;R169&amp;I169</f>
        <v>2015Trent/Colin8</v>
      </c>
      <c r="C169" t="str">
        <f>H169&amp;S169&amp;I169</f>
        <v>2015Drew/Cam8</v>
      </c>
      <c r="D169">
        <f t="shared" si="20"/>
        <v>249</v>
      </c>
      <c r="E169">
        <f t="shared" si="21"/>
        <v>192</v>
      </c>
      <c r="F169">
        <f t="shared" si="22"/>
        <v>156</v>
      </c>
      <c r="G169">
        <f t="shared" si="23"/>
        <v>263</v>
      </c>
      <c r="H169">
        <v>2015</v>
      </c>
      <c r="I169">
        <v>8</v>
      </c>
      <c r="J169">
        <v>37</v>
      </c>
      <c r="K169" t="s">
        <v>33</v>
      </c>
      <c r="L169">
        <v>138</v>
      </c>
      <c r="M169" t="s">
        <v>37</v>
      </c>
      <c r="N169">
        <v>103.5</v>
      </c>
      <c r="O169" t="s">
        <v>20</v>
      </c>
      <c r="P169">
        <f t="shared" si="24"/>
        <v>241.5</v>
      </c>
      <c r="Q169">
        <f t="shared" si="25"/>
        <v>34.5</v>
      </c>
      <c r="R169" t="str">
        <f t="shared" si="26"/>
        <v>Trent/Colin</v>
      </c>
      <c r="S169" t="str">
        <f t="shared" si="27"/>
        <v>Drew/Cam</v>
      </c>
      <c r="T169">
        <f t="shared" si="28"/>
        <v>138</v>
      </c>
      <c r="U169">
        <f t="shared" si="29"/>
        <v>103.5</v>
      </c>
    </row>
    <row r="170" spans="1:21" x14ac:dyDescent="0.3">
      <c r="A170">
        <v>169</v>
      </c>
      <c r="B170" t="str">
        <f>H170&amp;R170&amp;I170</f>
        <v>2015Eric/Blake8</v>
      </c>
      <c r="C170" t="str">
        <f>H170&amp;S170&amp;I170</f>
        <v>2015Pat/Tucker8</v>
      </c>
      <c r="D170">
        <f t="shared" si="20"/>
        <v>153</v>
      </c>
      <c r="E170">
        <f t="shared" si="21"/>
        <v>326</v>
      </c>
      <c r="F170">
        <f t="shared" si="22"/>
        <v>193</v>
      </c>
      <c r="G170">
        <f t="shared" si="23"/>
        <v>488</v>
      </c>
      <c r="H170">
        <v>2015</v>
      </c>
      <c r="I170">
        <v>8</v>
      </c>
      <c r="J170">
        <v>38</v>
      </c>
      <c r="K170" t="s">
        <v>34</v>
      </c>
      <c r="L170">
        <v>134.5</v>
      </c>
      <c r="M170" t="s">
        <v>31</v>
      </c>
      <c r="N170">
        <v>91</v>
      </c>
      <c r="O170" t="s">
        <v>20</v>
      </c>
      <c r="P170">
        <f t="shared" si="24"/>
        <v>225.5</v>
      </c>
      <c r="Q170">
        <f t="shared" si="25"/>
        <v>43.5</v>
      </c>
      <c r="R170" t="str">
        <f t="shared" si="26"/>
        <v>Eric/Blake</v>
      </c>
      <c r="S170" t="str">
        <f t="shared" si="27"/>
        <v>Pat/Tucker</v>
      </c>
      <c r="T170">
        <f t="shared" si="28"/>
        <v>134.5</v>
      </c>
      <c r="U170">
        <f t="shared" si="29"/>
        <v>91</v>
      </c>
    </row>
    <row r="171" spans="1:21" x14ac:dyDescent="0.3">
      <c r="A171">
        <v>170</v>
      </c>
      <c r="B171" t="str">
        <f>H171&amp;R171&amp;I171</f>
        <v>2015Clay/Ryan8</v>
      </c>
      <c r="C171" t="str">
        <f>H171&amp;S171&amp;I171</f>
        <v>2015David/Marshall8</v>
      </c>
      <c r="D171">
        <f t="shared" si="20"/>
        <v>428</v>
      </c>
      <c r="E171">
        <f t="shared" si="21"/>
        <v>799</v>
      </c>
      <c r="F171">
        <f t="shared" si="22"/>
        <v>781</v>
      </c>
      <c r="G171">
        <f t="shared" si="23"/>
        <v>775</v>
      </c>
      <c r="H171">
        <v>2015</v>
      </c>
      <c r="I171">
        <v>8</v>
      </c>
      <c r="J171">
        <v>39</v>
      </c>
      <c r="K171" t="s">
        <v>35</v>
      </c>
      <c r="L171">
        <v>94</v>
      </c>
      <c r="M171" t="s">
        <v>38</v>
      </c>
      <c r="N171">
        <v>72</v>
      </c>
      <c r="O171" t="s">
        <v>20</v>
      </c>
      <c r="P171">
        <f t="shared" si="24"/>
        <v>166</v>
      </c>
      <c r="Q171">
        <f t="shared" si="25"/>
        <v>22</v>
      </c>
      <c r="R171" t="str">
        <f t="shared" si="26"/>
        <v>Clay/Ryan</v>
      </c>
      <c r="S171" t="str">
        <f t="shared" si="27"/>
        <v>David/Marshall</v>
      </c>
      <c r="T171">
        <f t="shared" si="28"/>
        <v>94</v>
      </c>
      <c r="U171">
        <f t="shared" si="29"/>
        <v>72</v>
      </c>
    </row>
    <row r="172" spans="1:21" x14ac:dyDescent="0.3">
      <c r="A172">
        <v>171</v>
      </c>
      <c r="B172" t="str">
        <f>H172&amp;R172&amp;I172</f>
        <v>2015Dave/Nolan9</v>
      </c>
      <c r="C172" t="str">
        <f>H172&amp;S172&amp;I172</f>
        <v>2015Graham/Michael9</v>
      </c>
      <c r="D172">
        <f t="shared" si="20"/>
        <v>264</v>
      </c>
      <c r="E172">
        <f t="shared" si="21"/>
        <v>62</v>
      </c>
      <c r="F172">
        <f t="shared" si="22"/>
        <v>69</v>
      </c>
      <c r="G172">
        <f t="shared" si="23"/>
        <v>104</v>
      </c>
      <c r="H172">
        <v>2015</v>
      </c>
      <c r="I172">
        <v>9</v>
      </c>
      <c r="J172">
        <v>40</v>
      </c>
      <c r="K172" t="s">
        <v>30</v>
      </c>
      <c r="L172">
        <v>150</v>
      </c>
      <c r="M172" t="s">
        <v>29</v>
      </c>
      <c r="N172">
        <v>117</v>
      </c>
      <c r="O172" t="s">
        <v>20</v>
      </c>
      <c r="P172">
        <f t="shared" si="24"/>
        <v>267</v>
      </c>
      <c r="Q172">
        <f t="shared" si="25"/>
        <v>33</v>
      </c>
      <c r="R172" t="str">
        <f t="shared" si="26"/>
        <v>Dave/Nolan</v>
      </c>
      <c r="S172" t="str">
        <f t="shared" si="27"/>
        <v>Graham/Michael</v>
      </c>
      <c r="T172">
        <f t="shared" si="28"/>
        <v>150</v>
      </c>
      <c r="U172">
        <f t="shared" si="29"/>
        <v>117</v>
      </c>
    </row>
    <row r="173" spans="1:21" x14ac:dyDescent="0.3">
      <c r="A173">
        <v>172</v>
      </c>
      <c r="B173" t="str">
        <f>H173&amp;R173&amp;I173</f>
        <v>2015Walker/Cory9</v>
      </c>
      <c r="C173" t="str">
        <f>H173&amp;S173&amp;I173</f>
        <v>2015Drew/Cam9</v>
      </c>
      <c r="D173">
        <f t="shared" si="20"/>
        <v>36</v>
      </c>
      <c r="E173">
        <f t="shared" si="21"/>
        <v>656</v>
      </c>
      <c r="F173">
        <f t="shared" si="22"/>
        <v>312</v>
      </c>
      <c r="G173">
        <f t="shared" si="23"/>
        <v>835</v>
      </c>
      <c r="H173">
        <v>2015</v>
      </c>
      <c r="I173">
        <v>9</v>
      </c>
      <c r="J173">
        <v>41</v>
      </c>
      <c r="K173" t="s">
        <v>37</v>
      </c>
      <c r="L173">
        <v>63</v>
      </c>
      <c r="M173" t="s">
        <v>36</v>
      </c>
      <c r="N173">
        <v>126.5</v>
      </c>
      <c r="O173" t="s">
        <v>20</v>
      </c>
      <c r="P173">
        <f t="shared" si="24"/>
        <v>189.5</v>
      </c>
      <c r="Q173">
        <f t="shared" si="25"/>
        <v>63.5</v>
      </c>
      <c r="R173" t="str">
        <f t="shared" si="26"/>
        <v>Walker/Cory</v>
      </c>
      <c r="S173" t="str">
        <f t="shared" si="27"/>
        <v>Drew/Cam</v>
      </c>
      <c r="T173">
        <f t="shared" si="28"/>
        <v>126.5</v>
      </c>
      <c r="U173">
        <f t="shared" si="29"/>
        <v>63</v>
      </c>
    </row>
    <row r="174" spans="1:21" x14ac:dyDescent="0.3">
      <c r="A174">
        <v>173</v>
      </c>
      <c r="B174" t="str">
        <f>H174&amp;R174&amp;I174</f>
        <v>2015Brian/Travis9</v>
      </c>
      <c r="C174" t="str">
        <f>H174&amp;S174&amp;I174</f>
        <v>2015Clay/Ryan9</v>
      </c>
      <c r="D174">
        <f t="shared" si="20"/>
        <v>110</v>
      </c>
      <c r="E174">
        <f t="shared" si="21"/>
        <v>656</v>
      </c>
      <c r="F174">
        <f t="shared" si="22"/>
        <v>444</v>
      </c>
      <c r="G174">
        <f t="shared" si="23"/>
        <v>793</v>
      </c>
      <c r="H174">
        <v>2015</v>
      </c>
      <c r="I174">
        <v>9</v>
      </c>
      <c r="J174">
        <v>42</v>
      </c>
      <c r="K174" t="s">
        <v>32</v>
      </c>
      <c r="L174">
        <v>119</v>
      </c>
      <c r="M174" t="s">
        <v>35</v>
      </c>
      <c r="N174">
        <v>70.5</v>
      </c>
      <c r="O174" t="s">
        <v>20</v>
      </c>
      <c r="P174">
        <f t="shared" si="24"/>
        <v>189.5</v>
      </c>
      <c r="Q174">
        <f t="shared" si="25"/>
        <v>48.5</v>
      </c>
      <c r="R174" t="str">
        <f t="shared" si="26"/>
        <v>Brian/Travis</v>
      </c>
      <c r="S174" t="str">
        <f t="shared" si="27"/>
        <v>Clay/Ryan</v>
      </c>
      <c r="T174">
        <f t="shared" si="28"/>
        <v>119</v>
      </c>
      <c r="U174">
        <f t="shared" si="29"/>
        <v>70.5</v>
      </c>
    </row>
    <row r="175" spans="1:21" x14ac:dyDescent="0.3">
      <c r="A175">
        <v>174</v>
      </c>
      <c r="B175" t="str">
        <f>H175&amp;R175&amp;I175</f>
        <v>2015David/Marshall9</v>
      </c>
      <c r="C175" t="str">
        <f>H175&amp;S175&amp;I175</f>
        <v>2015Pat/Tucker9</v>
      </c>
      <c r="D175">
        <f t="shared" si="20"/>
        <v>202</v>
      </c>
      <c r="E175">
        <f t="shared" si="21"/>
        <v>588</v>
      </c>
      <c r="F175">
        <f t="shared" si="22"/>
        <v>456</v>
      </c>
      <c r="G175">
        <f t="shared" si="23"/>
        <v>685</v>
      </c>
      <c r="H175">
        <v>2015</v>
      </c>
      <c r="I175">
        <v>9</v>
      </c>
      <c r="J175">
        <v>43</v>
      </c>
      <c r="K175" t="s">
        <v>31</v>
      </c>
      <c r="L175">
        <v>79.5</v>
      </c>
      <c r="M175" t="s">
        <v>38</v>
      </c>
      <c r="N175">
        <v>118</v>
      </c>
      <c r="O175" t="s">
        <v>20</v>
      </c>
      <c r="P175">
        <f t="shared" si="24"/>
        <v>197.5</v>
      </c>
      <c r="Q175">
        <f t="shared" si="25"/>
        <v>38.5</v>
      </c>
      <c r="R175" t="str">
        <f t="shared" si="26"/>
        <v>David/Marshall</v>
      </c>
      <c r="S175" t="str">
        <f t="shared" si="27"/>
        <v>Pat/Tucker</v>
      </c>
      <c r="T175">
        <f t="shared" si="28"/>
        <v>118</v>
      </c>
      <c r="U175">
        <f t="shared" si="29"/>
        <v>79.5</v>
      </c>
    </row>
    <row r="176" spans="1:21" x14ac:dyDescent="0.3">
      <c r="A176">
        <v>175</v>
      </c>
      <c r="B176" t="str">
        <f>H176&amp;R176&amp;I176</f>
        <v>2015Eric/Blake9</v>
      </c>
      <c r="C176" t="str">
        <f>H176&amp;S176&amp;I176</f>
        <v>2015Trent/Colin9</v>
      </c>
      <c r="D176">
        <f t="shared" si="20"/>
        <v>445</v>
      </c>
      <c r="E176">
        <f t="shared" si="21"/>
        <v>113</v>
      </c>
      <c r="F176">
        <f t="shared" si="22"/>
        <v>163</v>
      </c>
      <c r="G176">
        <f t="shared" si="23"/>
        <v>108</v>
      </c>
      <c r="H176">
        <v>2015</v>
      </c>
      <c r="I176">
        <v>9</v>
      </c>
      <c r="J176">
        <v>44</v>
      </c>
      <c r="K176" t="s">
        <v>33</v>
      </c>
      <c r="L176">
        <v>116.5</v>
      </c>
      <c r="M176" t="s">
        <v>34</v>
      </c>
      <c r="N176">
        <v>137.5</v>
      </c>
      <c r="O176" t="s">
        <v>20</v>
      </c>
      <c r="P176">
        <f t="shared" si="24"/>
        <v>254</v>
      </c>
      <c r="Q176">
        <f t="shared" si="25"/>
        <v>21</v>
      </c>
      <c r="R176" t="str">
        <f t="shared" si="26"/>
        <v>Eric/Blake</v>
      </c>
      <c r="S176" t="str">
        <f t="shared" si="27"/>
        <v>Trent/Colin</v>
      </c>
      <c r="T176">
        <f t="shared" si="28"/>
        <v>137.5</v>
      </c>
      <c r="U176">
        <f t="shared" si="29"/>
        <v>116.5</v>
      </c>
    </row>
    <row r="177" spans="1:21" x14ac:dyDescent="0.3">
      <c r="A177">
        <v>176</v>
      </c>
      <c r="B177" t="str">
        <f>H177&amp;R177&amp;I177</f>
        <v>2015Drew/Cam10</v>
      </c>
      <c r="C177" t="str">
        <f>H177&amp;S177&amp;I177</f>
        <v>2015Brian/Travis10</v>
      </c>
      <c r="D177">
        <f t="shared" si="20"/>
        <v>513</v>
      </c>
      <c r="E177">
        <f t="shared" si="21"/>
        <v>411</v>
      </c>
      <c r="F177">
        <f t="shared" si="22"/>
        <v>485</v>
      </c>
      <c r="G177">
        <f t="shared" si="23"/>
        <v>337</v>
      </c>
      <c r="H177">
        <v>2015</v>
      </c>
      <c r="I177">
        <v>10</v>
      </c>
      <c r="J177">
        <v>45</v>
      </c>
      <c r="K177" t="s">
        <v>37</v>
      </c>
      <c r="L177">
        <v>116.5</v>
      </c>
      <c r="M177" t="s">
        <v>32</v>
      </c>
      <c r="N177">
        <v>99.5</v>
      </c>
      <c r="O177" t="s">
        <v>20</v>
      </c>
      <c r="P177">
        <f t="shared" si="24"/>
        <v>216</v>
      </c>
      <c r="Q177">
        <f t="shared" si="25"/>
        <v>17</v>
      </c>
      <c r="R177" t="str">
        <f t="shared" si="26"/>
        <v>Drew/Cam</v>
      </c>
      <c r="S177" t="str">
        <f t="shared" si="27"/>
        <v>Brian/Travis</v>
      </c>
      <c r="T177">
        <f t="shared" si="28"/>
        <v>116.5</v>
      </c>
      <c r="U177">
        <f t="shared" si="29"/>
        <v>99.5</v>
      </c>
    </row>
    <row r="178" spans="1:21" x14ac:dyDescent="0.3">
      <c r="A178">
        <v>177</v>
      </c>
      <c r="B178" t="str">
        <f>H178&amp;R178&amp;I178</f>
        <v>2015Dave/Nolan10</v>
      </c>
      <c r="C178" t="str">
        <f>H178&amp;S178&amp;I178</f>
        <v>2015Pat/Tucker10</v>
      </c>
      <c r="D178">
        <f t="shared" si="20"/>
        <v>60</v>
      </c>
      <c r="E178">
        <f t="shared" si="21"/>
        <v>666</v>
      </c>
      <c r="F178">
        <f t="shared" si="22"/>
        <v>388</v>
      </c>
      <c r="G178">
        <f t="shared" si="23"/>
        <v>823</v>
      </c>
      <c r="H178">
        <v>2015</v>
      </c>
      <c r="I178">
        <v>10</v>
      </c>
      <c r="J178">
        <v>46</v>
      </c>
      <c r="K178" t="s">
        <v>31</v>
      </c>
      <c r="L178">
        <v>65.5</v>
      </c>
      <c r="M178" t="s">
        <v>30</v>
      </c>
      <c r="N178">
        <v>122.5</v>
      </c>
      <c r="O178" t="s">
        <v>20</v>
      </c>
      <c r="P178">
        <f t="shared" si="24"/>
        <v>188</v>
      </c>
      <c r="Q178">
        <f t="shared" si="25"/>
        <v>57</v>
      </c>
      <c r="R178" t="str">
        <f t="shared" si="26"/>
        <v>Dave/Nolan</v>
      </c>
      <c r="S178" t="str">
        <f t="shared" si="27"/>
        <v>Pat/Tucker</v>
      </c>
      <c r="T178">
        <f t="shared" si="28"/>
        <v>122.5</v>
      </c>
      <c r="U178">
        <f t="shared" si="29"/>
        <v>65.5</v>
      </c>
    </row>
    <row r="179" spans="1:21" x14ac:dyDescent="0.3">
      <c r="A179">
        <v>178</v>
      </c>
      <c r="B179" t="str">
        <f>H179&amp;R179&amp;I179</f>
        <v>2015Trent/Colin10</v>
      </c>
      <c r="C179" t="str">
        <f>H179&amp;S179&amp;I179</f>
        <v>2015Graham/Michael10</v>
      </c>
      <c r="D179">
        <f t="shared" si="20"/>
        <v>196</v>
      </c>
      <c r="E179">
        <f t="shared" si="21"/>
        <v>517</v>
      </c>
      <c r="F179">
        <f t="shared" si="22"/>
        <v>398</v>
      </c>
      <c r="G179">
        <f t="shared" si="23"/>
        <v>647</v>
      </c>
      <c r="H179">
        <v>2015</v>
      </c>
      <c r="I179">
        <v>10</v>
      </c>
      <c r="J179">
        <v>47</v>
      </c>
      <c r="K179" t="s">
        <v>29</v>
      </c>
      <c r="L179">
        <v>83</v>
      </c>
      <c r="M179" t="s">
        <v>33</v>
      </c>
      <c r="N179">
        <v>122</v>
      </c>
      <c r="O179" t="s">
        <v>20</v>
      </c>
      <c r="P179">
        <f t="shared" si="24"/>
        <v>205</v>
      </c>
      <c r="Q179">
        <f t="shared" si="25"/>
        <v>39</v>
      </c>
      <c r="R179" t="str">
        <f t="shared" si="26"/>
        <v>Trent/Colin</v>
      </c>
      <c r="S179" t="str">
        <f t="shared" si="27"/>
        <v>Graham/Michael</v>
      </c>
      <c r="T179">
        <f t="shared" si="28"/>
        <v>122</v>
      </c>
      <c r="U179">
        <f t="shared" si="29"/>
        <v>83</v>
      </c>
    </row>
    <row r="180" spans="1:21" x14ac:dyDescent="0.3">
      <c r="A180">
        <v>179</v>
      </c>
      <c r="B180" t="str">
        <f>H180&amp;R180&amp;I180</f>
        <v>2015Walker/Cory10</v>
      </c>
      <c r="C180" t="str">
        <f>H180&amp;S180&amp;I180</f>
        <v>2015David/Marshall10</v>
      </c>
      <c r="D180">
        <f t="shared" si="20"/>
        <v>711</v>
      </c>
      <c r="E180">
        <f t="shared" si="21"/>
        <v>594</v>
      </c>
      <c r="F180">
        <f t="shared" si="22"/>
        <v>692</v>
      </c>
      <c r="G180">
        <f t="shared" si="23"/>
        <v>421</v>
      </c>
      <c r="H180">
        <v>2015</v>
      </c>
      <c r="I180">
        <v>10</v>
      </c>
      <c r="J180">
        <v>48</v>
      </c>
      <c r="K180" t="s">
        <v>38</v>
      </c>
      <c r="L180">
        <v>94.5</v>
      </c>
      <c r="M180" t="s">
        <v>36</v>
      </c>
      <c r="N180">
        <v>102</v>
      </c>
      <c r="O180" t="s">
        <v>20</v>
      </c>
      <c r="P180">
        <f t="shared" si="24"/>
        <v>196.5</v>
      </c>
      <c r="Q180">
        <f t="shared" si="25"/>
        <v>7.5</v>
      </c>
      <c r="R180" t="str">
        <f t="shared" si="26"/>
        <v>Walker/Cory</v>
      </c>
      <c r="S180" t="str">
        <f t="shared" si="27"/>
        <v>David/Marshall</v>
      </c>
      <c r="T180">
        <f t="shared" si="28"/>
        <v>102</v>
      </c>
      <c r="U180">
        <f t="shared" si="29"/>
        <v>94.5</v>
      </c>
    </row>
    <row r="181" spans="1:21" x14ac:dyDescent="0.3">
      <c r="A181">
        <v>180</v>
      </c>
      <c r="B181" t="str">
        <f>H181&amp;R181&amp;I181</f>
        <v>2015Eric/Blake10</v>
      </c>
      <c r="C181" t="str">
        <f>H181&amp;S181&amp;I181</f>
        <v>2015Clay/Ryan10</v>
      </c>
      <c r="D181">
        <f t="shared" si="20"/>
        <v>392</v>
      </c>
      <c r="E181">
        <f t="shared" si="21"/>
        <v>768</v>
      </c>
      <c r="F181">
        <f t="shared" si="22"/>
        <v>724</v>
      </c>
      <c r="G181">
        <f t="shared" si="23"/>
        <v>730</v>
      </c>
      <c r="H181">
        <v>2015</v>
      </c>
      <c r="I181">
        <v>10</v>
      </c>
      <c r="J181">
        <v>49</v>
      </c>
      <c r="K181" t="s">
        <v>35</v>
      </c>
      <c r="L181">
        <v>75</v>
      </c>
      <c r="M181" t="s">
        <v>34</v>
      </c>
      <c r="N181">
        <v>98.5</v>
      </c>
      <c r="O181" t="s">
        <v>20</v>
      </c>
      <c r="P181">
        <f t="shared" si="24"/>
        <v>173.5</v>
      </c>
      <c r="Q181">
        <f t="shared" si="25"/>
        <v>23.5</v>
      </c>
      <c r="R181" t="str">
        <f t="shared" si="26"/>
        <v>Eric/Blake</v>
      </c>
      <c r="S181" t="str">
        <f t="shared" si="27"/>
        <v>Clay/Ryan</v>
      </c>
      <c r="T181">
        <f t="shared" si="28"/>
        <v>98.5</v>
      </c>
      <c r="U181">
        <f t="shared" si="29"/>
        <v>75</v>
      </c>
    </row>
    <row r="182" spans="1:21" x14ac:dyDescent="0.3">
      <c r="A182">
        <v>181</v>
      </c>
      <c r="B182" t="str">
        <f>H182&amp;R182&amp;I182</f>
        <v>2015Pat/Tucker11</v>
      </c>
      <c r="C182" t="str">
        <f>H182&amp;S182&amp;I182</f>
        <v>2015Trent/Colin11</v>
      </c>
      <c r="D182">
        <f t="shared" si="20"/>
        <v>185</v>
      </c>
      <c r="E182">
        <f t="shared" si="21"/>
        <v>230</v>
      </c>
      <c r="F182">
        <f t="shared" si="22"/>
        <v>147</v>
      </c>
      <c r="G182">
        <f t="shared" si="23"/>
        <v>364</v>
      </c>
      <c r="H182">
        <v>2015</v>
      </c>
      <c r="I182">
        <v>11</v>
      </c>
      <c r="J182">
        <v>50</v>
      </c>
      <c r="K182" t="s">
        <v>31</v>
      </c>
      <c r="L182">
        <v>139</v>
      </c>
      <c r="M182" t="s">
        <v>33</v>
      </c>
      <c r="N182">
        <v>98</v>
      </c>
      <c r="O182" t="s">
        <v>20</v>
      </c>
      <c r="P182">
        <f t="shared" si="24"/>
        <v>237</v>
      </c>
      <c r="Q182">
        <f t="shared" si="25"/>
        <v>41</v>
      </c>
      <c r="R182" t="str">
        <f t="shared" si="26"/>
        <v>Pat/Tucker</v>
      </c>
      <c r="S182" t="str">
        <f t="shared" si="27"/>
        <v>Trent/Colin</v>
      </c>
      <c r="T182">
        <f t="shared" si="28"/>
        <v>139</v>
      </c>
      <c r="U182">
        <f t="shared" si="29"/>
        <v>98</v>
      </c>
    </row>
    <row r="183" spans="1:21" x14ac:dyDescent="0.3">
      <c r="A183">
        <v>182</v>
      </c>
      <c r="B183" t="str">
        <f>H183&amp;R183&amp;I183</f>
        <v>2015Drew/Cam11</v>
      </c>
      <c r="C183" t="str">
        <f>H183&amp;S183&amp;I183</f>
        <v>2015David/Marshall11</v>
      </c>
      <c r="D183">
        <f t="shared" si="20"/>
        <v>171</v>
      </c>
      <c r="E183">
        <f t="shared" si="21"/>
        <v>856</v>
      </c>
      <c r="F183">
        <f t="shared" si="22"/>
        <v>781</v>
      </c>
      <c r="G183">
        <f t="shared" si="23"/>
        <v>862</v>
      </c>
      <c r="H183">
        <v>2015</v>
      </c>
      <c r="I183">
        <v>11</v>
      </c>
      <c r="J183">
        <v>51</v>
      </c>
      <c r="K183" t="s">
        <v>37</v>
      </c>
      <c r="L183">
        <v>94</v>
      </c>
      <c r="M183" t="s">
        <v>38</v>
      </c>
      <c r="N183">
        <v>52</v>
      </c>
      <c r="O183" t="s">
        <v>20</v>
      </c>
      <c r="P183">
        <f t="shared" si="24"/>
        <v>146</v>
      </c>
      <c r="Q183">
        <f t="shared" si="25"/>
        <v>42</v>
      </c>
      <c r="R183" t="str">
        <f t="shared" si="26"/>
        <v>Drew/Cam</v>
      </c>
      <c r="S183" t="str">
        <f t="shared" si="27"/>
        <v>David/Marshall</v>
      </c>
      <c r="T183">
        <f t="shared" si="28"/>
        <v>94</v>
      </c>
      <c r="U183">
        <f t="shared" si="29"/>
        <v>52</v>
      </c>
    </row>
    <row r="184" spans="1:21" x14ac:dyDescent="0.3">
      <c r="A184">
        <v>183</v>
      </c>
      <c r="B184" t="str">
        <f>H184&amp;R184&amp;I184</f>
        <v>2015Eric/Blake11</v>
      </c>
      <c r="C184" t="str">
        <f>H184&amp;S184&amp;I184</f>
        <v>2015Brian/Travis11</v>
      </c>
      <c r="D184">
        <f t="shared" si="20"/>
        <v>300</v>
      </c>
      <c r="E184">
        <f t="shared" si="21"/>
        <v>755</v>
      </c>
      <c r="F184">
        <f t="shared" si="22"/>
        <v>670</v>
      </c>
      <c r="G184">
        <f t="shared" si="23"/>
        <v>756</v>
      </c>
      <c r="H184">
        <v>2015</v>
      </c>
      <c r="I184">
        <v>11</v>
      </c>
      <c r="J184">
        <v>52</v>
      </c>
      <c r="K184" t="s">
        <v>34</v>
      </c>
      <c r="L184">
        <v>103.5</v>
      </c>
      <c r="M184" t="s">
        <v>32</v>
      </c>
      <c r="N184">
        <v>73.5</v>
      </c>
      <c r="O184" t="s">
        <v>20</v>
      </c>
      <c r="P184">
        <f t="shared" si="24"/>
        <v>177</v>
      </c>
      <c r="Q184">
        <f t="shared" si="25"/>
        <v>30</v>
      </c>
      <c r="R184" t="str">
        <f t="shared" si="26"/>
        <v>Eric/Blake</v>
      </c>
      <c r="S184" t="str">
        <f t="shared" si="27"/>
        <v>Brian/Travis</v>
      </c>
      <c r="T184">
        <f t="shared" si="28"/>
        <v>103.5</v>
      </c>
      <c r="U184">
        <f t="shared" si="29"/>
        <v>73.5</v>
      </c>
    </row>
    <row r="185" spans="1:21" x14ac:dyDescent="0.3">
      <c r="A185">
        <v>184</v>
      </c>
      <c r="B185" t="str">
        <f>H185&amp;R185&amp;I185</f>
        <v>2015Dave/Nolan11</v>
      </c>
      <c r="C185" t="str">
        <f>H185&amp;S185&amp;I185</f>
        <v>2015Walker/Cory11</v>
      </c>
      <c r="D185">
        <f t="shared" si="20"/>
        <v>559</v>
      </c>
      <c r="E185">
        <f t="shared" si="21"/>
        <v>868</v>
      </c>
      <c r="F185">
        <f t="shared" si="22"/>
        <v>869</v>
      </c>
      <c r="G185">
        <f t="shared" si="23"/>
        <v>855</v>
      </c>
      <c r="H185">
        <v>2015</v>
      </c>
      <c r="I185">
        <v>11</v>
      </c>
      <c r="J185">
        <v>53</v>
      </c>
      <c r="K185" t="s">
        <v>30</v>
      </c>
      <c r="L185">
        <v>70</v>
      </c>
      <c r="M185" t="s">
        <v>36</v>
      </c>
      <c r="N185">
        <v>56</v>
      </c>
      <c r="O185" t="s">
        <v>20</v>
      </c>
      <c r="P185">
        <f t="shared" si="24"/>
        <v>126</v>
      </c>
      <c r="Q185">
        <f t="shared" si="25"/>
        <v>14</v>
      </c>
      <c r="R185" t="str">
        <f t="shared" si="26"/>
        <v>Dave/Nolan</v>
      </c>
      <c r="S185" t="str">
        <f t="shared" si="27"/>
        <v>Walker/Cory</v>
      </c>
      <c r="T185">
        <f t="shared" si="28"/>
        <v>70</v>
      </c>
      <c r="U185">
        <f t="shared" si="29"/>
        <v>56</v>
      </c>
    </row>
    <row r="186" spans="1:21" x14ac:dyDescent="0.3">
      <c r="A186">
        <v>185</v>
      </c>
      <c r="B186" t="str">
        <f>H186&amp;R186&amp;I186</f>
        <v>2015Graham/Michael11</v>
      </c>
      <c r="C186" t="str">
        <f>H186&amp;S186&amp;I186</f>
        <v>2015Clay/Ryan11</v>
      </c>
      <c r="D186">
        <f t="shared" si="20"/>
        <v>428</v>
      </c>
      <c r="E186">
        <f t="shared" si="21"/>
        <v>860</v>
      </c>
      <c r="F186">
        <f t="shared" si="22"/>
        <v>845</v>
      </c>
      <c r="G186">
        <f t="shared" si="23"/>
        <v>843</v>
      </c>
      <c r="H186">
        <v>2015</v>
      </c>
      <c r="I186">
        <v>11</v>
      </c>
      <c r="J186">
        <v>54</v>
      </c>
      <c r="K186" t="s">
        <v>35</v>
      </c>
      <c r="L186">
        <v>61</v>
      </c>
      <c r="M186" t="s">
        <v>29</v>
      </c>
      <c r="N186">
        <v>83</v>
      </c>
      <c r="O186" t="s">
        <v>20</v>
      </c>
      <c r="P186">
        <f t="shared" si="24"/>
        <v>144</v>
      </c>
      <c r="Q186">
        <f t="shared" si="25"/>
        <v>22</v>
      </c>
      <c r="R186" t="str">
        <f t="shared" si="26"/>
        <v>Graham/Michael</v>
      </c>
      <c r="S186" t="str">
        <f t="shared" si="27"/>
        <v>Clay/Ryan</v>
      </c>
      <c r="T186">
        <f t="shared" si="28"/>
        <v>83</v>
      </c>
      <c r="U186">
        <f t="shared" si="29"/>
        <v>61</v>
      </c>
    </row>
    <row r="187" spans="1:21" x14ac:dyDescent="0.3">
      <c r="A187">
        <v>186</v>
      </c>
      <c r="B187" t="str">
        <f>H187&amp;R187&amp;I187</f>
        <v>2015David/Marshall12</v>
      </c>
      <c r="C187" t="str">
        <f>H187&amp;S187&amp;I187</f>
        <v>2015Eric/Blake12</v>
      </c>
      <c r="D187">
        <f t="shared" si="20"/>
        <v>369</v>
      </c>
      <c r="E187">
        <f t="shared" si="21"/>
        <v>732</v>
      </c>
      <c r="F187">
        <f t="shared" si="22"/>
        <v>685</v>
      </c>
      <c r="G187">
        <f t="shared" si="23"/>
        <v>702</v>
      </c>
      <c r="H187">
        <v>2015</v>
      </c>
      <c r="I187">
        <v>12</v>
      </c>
      <c r="J187">
        <v>55</v>
      </c>
      <c r="K187" t="s">
        <v>38</v>
      </c>
      <c r="L187">
        <v>102.5</v>
      </c>
      <c r="M187" t="s">
        <v>34</v>
      </c>
      <c r="N187">
        <v>77.5</v>
      </c>
      <c r="O187" t="s">
        <v>20</v>
      </c>
      <c r="P187">
        <f t="shared" si="24"/>
        <v>180</v>
      </c>
      <c r="Q187">
        <f t="shared" si="25"/>
        <v>25</v>
      </c>
      <c r="R187" t="str">
        <f t="shared" si="26"/>
        <v>David/Marshall</v>
      </c>
      <c r="S187" t="str">
        <f t="shared" si="27"/>
        <v>Eric/Blake</v>
      </c>
      <c r="T187">
        <f t="shared" si="28"/>
        <v>102.5</v>
      </c>
      <c r="U187">
        <f t="shared" si="29"/>
        <v>77.5</v>
      </c>
    </row>
    <row r="188" spans="1:21" x14ac:dyDescent="0.3">
      <c r="A188">
        <v>187</v>
      </c>
      <c r="B188" t="str">
        <f>H188&amp;R188&amp;I188</f>
        <v>2015Pat/Tucker12</v>
      </c>
      <c r="C188" t="str">
        <f>H188&amp;S188&amp;I188</f>
        <v>2015Walker/Cory12</v>
      </c>
      <c r="D188">
        <f t="shared" si="20"/>
        <v>375</v>
      </c>
      <c r="E188">
        <f t="shared" si="21"/>
        <v>578</v>
      </c>
      <c r="F188">
        <f t="shared" si="22"/>
        <v>563</v>
      </c>
      <c r="G188">
        <f t="shared" si="23"/>
        <v>574</v>
      </c>
      <c r="H188">
        <v>2015</v>
      </c>
      <c r="I188">
        <v>12</v>
      </c>
      <c r="J188">
        <v>56</v>
      </c>
      <c r="K188" t="s">
        <v>36</v>
      </c>
      <c r="L188">
        <v>87</v>
      </c>
      <c r="M188" t="s">
        <v>31</v>
      </c>
      <c r="N188">
        <v>111.5</v>
      </c>
      <c r="O188" t="s">
        <v>20</v>
      </c>
      <c r="P188">
        <f t="shared" si="24"/>
        <v>198.5</v>
      </c>
      <c r="Q188">
        <f t="shared" si="25"/>
        <v>24.5</v>
      </c>
      <c r="R188" t="str">
        <f t="shared" si="26"/>
        <v>Pat/Tucker</v>
      </c>
      <c r="S188" t="str">
        <f t="shared" si="27"/>
        <v>Walker/Cory</v>
      </c>
      <c r="T188">
        <f t="shared" si="28"/>
        <v>111.5</v>
      </c>
      <c r="U188">
        <f t="shared" si="29"/>
        <v>87</v>
      </c>
    </row>
    <row r="189" spans="1:21" x14ac:dyDescent="0.3">
      <c r="A189">
        <v>188</v>
      </c>
      <c r="B189" t="str">
        <f>H189&amp;R189&amp;I189</f>
        <v>2015Trent/Colin12</v>
      </c>
      <c r="C189" t="str">
        <f>H189&amp;S189&amp;I189</f>
        <v>2015Clay/Ryan12</v>
      </c>
      <c r="D189">
        <f t="shared" si="20"/>
        <v>38</v>
      </c>
      <c r="E189">
        <f t="shared" si="21"/>
        <v>277</v>
      </c>
      <c r="F189">
        <f t="shared" si="22"/>
        <v>97</v>
      </c>
      <c r="G189">
        <f t="shared" si="23"/>
        <v>637</v>
      </c>
      <c r="H189">
        <v>2015</v>
      </c>
      <c r="I189">
        <v>12</v>
      </c>
      <c r="J189">
        <v>57</v>
      </c>
      <c r="K189" t="s">
        <v>33</v>
      </c>
      <c r="L189">
        <v>146.5</v>
      </c>
      <c r="M189" t="s">
        <v>35</v>
      </c>
      <c r="N189">
        <v>83.5</v>
      </c>
      <c r="O189" t="s">
        <v>20</v>
      </c>
      <c r="P189">
        <f t="shared" si="24"/>
        <v>230</v>
      </c>
      <c r="Q189">
        <f t="shared" si="25"/>
        <v>63</v>
      </c>
      <c r="R189" t="str">
        <f t="shared" si="26"/>
        <v>Trent/Colin</v>
      </c>
      <c r="S189" t="str">
        <f t="shared" si="27"/>
        <v>Clay/Ryan</v>
      </c>
      <c r="T189">
        <f t="shared" si="28"/>
        <v>146.5</v>
      </c>
      <c r="U189">
        <f t="shared" si="29"/>
        <v>83.5</v>
      </c>
    </row>
    <row r="190" spans="1:21" x14ac:dyDescent="0.3">
      <c r="A190">
        <v>189</v>
      </c>
      <c r="B190" t="str">
        <f>H190&amp;R190&amp;I190</f>
        <v>2015Drew/Cam12</v>
      </c>
      <c r="C190" t="str">
        <f>H190&amp;S190&amp;I190</f>
        <v>2015Dave/Nolan12</v>
      </c>
      <c r="D190">
        <f t="shared" si="20"/>
        <v>494</v>
      </c>
      <c r="E190">
        <f t="shared" si="21"/>
        <v>629</v>
      </c>
      <c r="F190">
        <f t="shared" si="22"/>
        <v>642</v>
      </c>
      <c r="G190">
        <f t="shared" si="23"/>
        <v>560</v>
      </c>
      <c r="H190">
        <v>2015</v>
      </c>
      <c r="I190">
        <v>12</v>
      </c>
      <c r="J190">
        <v>58</v>
      </c>
      <c r="K190" t="s">
        <v>30</v>
      </c>
      <c r="L190">
        <v>87.5</v>
      </c>
      <c r="M190" t="s">
        <v>37</v>
      </c>
      <c r="N190">
        <v>105.5</v>
      </c>
      <c r="O190" t="s">
        <v>20</v>
      </c>
      <c r="P190">
        <f t="shared" si="24"/>
        <v>193</v>
      </c>
      <c r="Q190">
        <f t="shared" si="25"/>
        <v>18</v>
      </c>
      <c r="R190" t="str">
        <f t="shared" si="26"/>
        <v>Drew/Cam</v>
      </c>
      <c r="S190" t="str">
        <f t="shared" si="27"/>
        <v>Dave/Nolan</v>
      </c>
      <c r="T190">
        <f t="shared" si="28"/>
        <v>105.5</v>
      </c>
      <c r="U190">
        <f t="shared" si="29"/>
        <v>87.5</v>
      </c>
    </row>
    <row r="191" spans="1:21" x14ac:dyDescent="0.3">
      <c r="A191">
        <v>190</v>
      </c>
      <c r="B191" t="str">
        <f>H191&amp;R191&amp;I191</f>
        <v>2015Graham/Michael12</v>
      </c>
      <c r="C191" t="str">
        <f>H191&amp;S191&amp;I191</f>
        <v>2015Brian/Travis12</v>
      </c>
      <c r="D191">
        <f t="shared" si="20"/>
        <v>26</v>
      </c>
      <c r="E191">
        <f t="shared" si="21"/>
        <v>277</v>
      </c>
      <c r="F191">
        <f t="shared" si="22"/>
        <v>73</v>
      </c>
      <c r="G191">
        <f t="shared" si="23"/>
        <v>678</v>
      </c>
      <c r="H191">
        <v>2015</v>
      </c>
      <c r="I191">
        <v>12</v>
      </c>
      <c r="J191">
        <v>59</v>
      </c>
      <c r="K191" t="s">
        <v>32</v>
      </c>
      <c r="L191">
        <v>80.5</v>
      </c>
      <c r="M191" t="s">
        <v>29</v>
      </c>
      <c r="N191">
        <v>149.5</v>
      </c>
      <c r="O191" t="s">
        <v>20</v>
      </c>
      <c r="P191">
        <f t="shared" si="24"/>
        <v>230</v>
      </c>
      <c r="Q191">
        <f t="shared" si="25"/>
        <v>69</v>
      </c>
      <c r="R191" t="str">
        <f t="shared" si="26"/>
        <v>Graham/Michael</v>
      </c>
      <c r="S191" t="str">
        <f t="shared" si="27"/>
        <v>Brian/Travis</v>
      </c>
      <c r="T191">
        <f t="shared" si="28"/>
        <v>149.5</v>
      </c>
      <c r="U191">
        <f t="shared" si="29"/>
        <v>80.5</v>
      </c>
    </row>
    <row r="192" spans="1:21" x14ac:dyDescent="0.3">
      <c r="A192">
        <v>191</v>
      </c>
      <c r="B192" t="str">
        <f>H192&amp;R192&amp;I192</f>
        <v>2015Clay/Ryan13</v>
      </c>
      <c r="C192" t="str">
        <f>H192&amp;S192&amp;I192</f>
        <v>2015Walker/Cory13</v>
      </c>
      <c r="D192">
        <f t="shared" si="20"/>
        <v>115</v>
      </c>
      <c r="E192">
        <f t="shared" si="21"/>
        <v>607</v>
      </c>
      <c r="F192">
        <f t="shared" si="22"/>
        <v>405</v>
      </c>
      <c r="G192">
        <f t="shared" si="23"/>
        <v>756</v>
      </c>
      <c r="H192">
        <v>2015</v>
      </c>
      <c r="I192">
        <v>13</v>
      </c>
      <c r="J192">
        <v>60</v>
      </c>
      <c r="K192" t="s">
        <v>36</v>
      </c>
      <c r="L192">
        <v>73.5</v>
      </c>
      <c r="M192" t="s">
        <v>35</v>
      </c>
      <c r="N192">
        <v>121.5</v>
      </c>
      <c r="O192" t="s">
        <v>20</v>
      </c>
      <c r="P192">
        <f t="shared" si="24"/>
        <v>195</v>
      </c>
      <c r="Q192">
        <f t="shared" si="25"/>
        <v>48</v>
      </c>
      <c r="R192" t="str">
        <f t="shared" si="26"/>
        <v>Clay/Ryan</v>
      </c>
      <c r="S192" t="str">
        <f t="shared" si="27"/>
        <v>Walker/Cory</v>
      </c>
      <c r="T192">
        <f t="shared" si="28"/>
        <v>121.5</v>
      </c>
      <c r="U192">
        <f t="shared" si="29"/>
        <v>73.5</v>
      </c>
    </row>
    <row r="193" spans="1:21" x14ac:dyDescent="0.3">
      <c r="A193">
        <v>192</v>
      </c>
      <c r="B193" t="str">
        <f>H193&amp;R193&amp;I193</f>
        <v>2015Dave/Nolan13</v>
      </c>
      <c r="C193" t="str">
        <f>H193&amp;S193&amp;I193</f>
        <v>2015David/Marshall13</v>
      </c>
      <c r="D193">
        <f t="shared" si="20"/>
        <v>76</v>
      </c>
      <c r="E193">
        <f t="shared" si="21"/>
        <v>140</v>
      </c>
      <c r="F193">
        <f t="shared" si="22"/>
        <v>62</v>
      </c>
      <c r="G193">
        <f t="shared" si="23"/>
        <v>373</v>
      </c>
      <c r="H193">
        <v>2015</v>
      </c>
      <c r="I193">
        <v>13</v>
      </c>
      <c r="J193">
        <v>61</v>
      </c>
      <c r="K193" t="s">
        <v>38</v>
      </c>
      <c r="L193">
        <v>97.5</v>
      </c>
      <c r="M193" t="s">
        <v>30</v>
      </c>
      <c r="N193">
        <v>151.5</v>
      </c>
      <c r="O193" t="s">
        <v>20</v>
      </c>
      <c r="P193">
        <f t="shared" si="24"/>
        <v>249</v>
      </c>
      <c r="Q193">
        <f t="shared" si="25"/>
        <v>54</v>
      </c>
      <c r="R193" t="str">
        <f t="shared" si="26"/>
        <v>Dave/Nolan</v>
      </c>
      <c r="S193" t="str">
        <f t="shared" si="27"/>
        <v>David/Marshall</v>
      </c>
      <c r="T193">
        <f t="shared" si="28"/>
        <v>151.5</v>
      </c>
      <c r="U193">
        <f t="shared" si="29"/>
        <v>97.5</v>
      </c>
    </row>
    <row r="194" spans="1:21" x14ac:dyDescent="0.3">
      <c r="A194">
        <v>193</v>
      </c>
      <c r="B194" t="str">
        <f>H194&amp;R194&amp;I194</f>
        <v>2015Eric/Blake13</v>
      </c>
      <c r="C194" t="str">
        <f>H194&amp;S194&amp;I194</f>
        <v>2015Graham/Michael13</v>
      </c>
      <c r="D194">
        <f t="shared" ref="D194:D257" si="30">RANK(Q194,Q:Q)</f>
        <v>220</v>
      </c>
      <c r="E194">
        <f t="shared" ref="E194:E257" si="31">RANK(P194,P:P)</f>
        <v>230</v>
      </c>
      <c r="F194">
        <f t="shared" ref="F194:F257" si="32">RANK(T194,T:T)</f>
        <v>172</v>
      </c>
      <c r="G194">
        <f t="shared" ref="G194:G257" si="33">RANK(U194,U:U)</f>
        <v>324</v>
      </c>
      <c r="H194">
        <v>2015</v>
      </c>
      <c r="I194">
        <v>13</v>
      </c>
      <c r="J194">
        <v>62</v>
      </c>
      <c r="K194" t="s">
        <v>29</v>
      </c>
      <c r="L194">
        <v>100</v>
      </c>
      <c r="M194" t="s">
        <v>34</v>
      </c>
      <c r="N194">
        <v>137</v>
      </c>
      <c r="O194" t="s">
        <v>20</v>
      </c>
      <c r="P194">
        <f t="shared" ref="P194:P257" si="34">SUM(L194,N194)</f>
        <v>237</v>
      </c>
      <c r="Q194">
        <f t="shared" ref="Q194:Q257" si="35">ABS(L194-N194)</f>
        <v>37</v>
      </c>
      <c r="R194" t="str">
        <f t="shared" ref="R194:R257" si="36">IF(L194&gt;N194,K194,M194)</f>
        <v>Eric/Blake</v>
      </c>
      <c r="S194" t="str">
        <f t="shared" ref="S194:S257" si="37">IF(L194&gt;N194,M194,K194)</f>
        <v>Graham/Michael</v>
      </c>
      <c r="T194">
        <f t="shared" ref="T194:T257" si="38">IF(L194&gt;N194,L194,N194)</f>
        <v>137</v>
      </c>
      <c r="U194">
        <f t="shared" ref="U194:U257" si="39">IF(L194&gt;N194,N194,L194)</f>
        <v>100</v>
      </c>
    </row>
    <row r="195" spans="1:21" x14ac:dyDescent="0.3">
      <c r="A195">
        <v>194</v>
      </c>
      <c r="B195" t="str">
        <f>H195&amp;R195&amp;I195</f>
        <v>2015Pat/Tucker13</v>
      </c>
      <c r="C195" t="str">
        <f>H195&amp;S195&amp;I195</f>
        <v>2015Drew/Cam13</v>
      </c>
      <c r="D195">
        <f t="shared" si="30"/>
        <v>476</v>
      </c>
      <c r="E195">
        <f t="shared" si="31"/>
        <v>529</v>
      </c>
      <c r="F195">
        <f t="shared" si="32"/>
        <v>563</v>
      </c>
      <c r="G195">
        <f t="shared" si="33"/>
        <v>457</v>
      </c>
      <c r="H195">
        <v>2015</v>
      </c>
      <c r="I195">
        <v>13</v>
      </c>
      <c r="J195">
        <v>63</v>
      </c>
      <c r="K195" t="s">
        <v>31</v>
      </c>
      <c r="L195">
        <v>111.5</v>
      </c>
      <c r="M195" t="s">
        <v>37</v>
      </c>
      <c r="N195">
        <v>92.5</v>
      </c>
      <c r="O195" t="s">
        <v>20</v>
      </c>
      <c r="P195">
        <f t="shared" si="34"/>
        <v>204</v>
      </c>
      <c r="Q195">
        <f t="shared" si="35"/>
        <v>19</v>
      </c>
      <c r="R195" t="str">
        <f t="shared" si="36"/>
        <v>Pat/Tucker</v>
      </c>
      <c r="S195" t="str">
        <f t="shared" si="37"/>
        <v>Drew/Cam</v>
      </c>
      <c r="T195">
        <f t="shared" si="38"/>
        <v>111.5</v>
      </c>
      <c r="U195">
        <f t="shared" si="39"/>
        <v>92.5</v>
      </c>
    </row>
    <row r="196" spans="1:21" x14ac:dyDescent="0.3">
      <c r="A196">
        <v>195</v>
      </c>
      <c r="B196" t="str">
        <f>H196&amp;R196&amp;I196</f>
        <v>2015Trent/Colin13</v>
      </c>
      <c r="C196" t="str">
        <f>H196&amp;S196&amp;I196</f>
        <v>2015Brian/Travis13</v>
      </c>
      <c r="D196">
        <f t="shared" si="30"/>
        <v>242</v>
      </c>
      <c r="E196">
        <f t="shared" si="31"/>
        <v>267</v>
      </c>
      <c r="F196">
        <f t="shared" si="32"/>
        <v>212</v>
      </c>
      <c r="G196">
        <f t="shared" si="33"/>
        <v>355</v>
      </c>
      <c r="H196">
        <v>2015</v>
      </c>
      <c r="I196">
        <v>13</v>
      </c>
      <c r="J196">
        <v>64</v>
      </c>
      <c r="K196" t="s">
        <v>32</v>
      </c>
      <c r="L196">
        <v>98.5</v>
      </c>
      <c r="M196" t="s">
        <v>33</v>
      </c>
      <c r="N196">
        <v>133.5</v>
      </c>
      <c r="O196" t="s">
        <v>20</v>
      </c>
      <c r="P196">
        <f t="shared" si="34"/>
        <v>232</v>
      </c>
      <c r="Q196">
        <f t="shared" si="35"/>
        <v>35</v>
      </c>
      <c r="R196" t="str">
        <f t="shared" si="36"/>
        <v>Trent/Colin</v>
      </c>
      <c r="S196" t="str">
        <f t="shared" si="37"/>
        <v>Brian/Travis</v>
      </c>
      <c r="T196">
        <f t="shared" si="38"/>
        <v>133.5</v>
      </c>
      <c r="U196">
        <f t="shared" si="39"/>
        <v>98.5</v>
      </c>
    </row>
    <row r="197" spans="1:21" x14ac:dyDescent="0.3">
      <c r="A197">
        <v>196</v>
      </c>
      <c r="B197" t="str">
        <f>H197&amp;R197&amp;I197</f>
        <v>2016Clay/Ryan1</v>
      </c>
      <c r="C197" t="str">
        <f>H197&amp;S197&amp;I197</f>
        <v>2016Pat/Tucker1</v>
      </c>
      <c r="D197">
        <f t="shared" si="30"/>
        <v>485</v>
      </c>
      <c r="E197">
        <f t="shared" si="31"/>
        <v>326</v>
      </c>
      <c r="F197">
        <f t="shared" si="32"/>
        <v>398</v>
      </c>
      <c r="G197">
        <f t="shared" si="33"/>
        <v>263</v>
      </c>
      <c r="H197">
        <v>2016</v>
      </c>
      <c r="I197">
        <v>1</v>
      </c>
      <c r="J197">
        <v>0</v>
      </c>
      <c r="K197" t="s">
        <v>35</v>
      </c>
      <c r="L197">
        <v>122</v>
      </c>
      <c r="M197" t="s">
        <v>31</v>
      </c>
      <c r="N197">
        <v>103.5</v>
      </c>
      <c r="O197" t="s">
        <v>20</v>
      </c>
      <c r="P197">
        <f t="shared" si="34"/>
        <v>225.5</v>
      </c>
      <c r="Q197">
        <f t="shared" si="35"/>
        <v>18.5</v>
      </c>
      <c r="R197" t="str">
        <f t="shared" si="36"/>
        <v>Clay/Ryan</v>
      </c>
      <c r="S197" t="str">
        <f t="shared" si="37"/>
        <v>Pat/Tucker</v>
      </c>
      <c r="T197">
        <f t="shared" si="38"/>
        <v>122</v>
      </c>
      <c r="U197">
        <f t="shared" si="39"/>
        <v>103.5</v>
      </c>
    </row>
    <row r="198" spans="1:21" x14ac:dyDescent="0.3">
      <c r="A198">
        <v>197</v>
      </c>
      <c r="B198" t="str">
        <f>H198&amp;R198&amp;I198</f>
        <v>2016Eric/Blake1</v>
      </c>
      <c r="C198" t="str">
        <f>H198&amp;S198&amp;I198</f>
        <v>2016David/Marshall1</v>
      </c>
      <c r="D198">
        <f t="shared" si="30"/>
        <v>313</v>
      </c>
      <c r="E198">
        <f t="shared" si="31"/>
        <v>290</v>
      </c>
      <c r="F198">
        <f t="shared" si="32"/>
        <v>271</v>
      </c>
      <c r="G198">
        <f t="shared" si="33"/>
        <v>324</v>
      </c>
      <c r="H198">
        <v>2016</v>
      </c>
      <c r="I198">
        <v>1</v>
      </c>
      <c r="J198">
        <v>1</v>
      </c>
      <c r="K198" t="s">
        <v>38</v>
      </c>
      <c r="L198">
        <v>100</v>
      </c>
      <c r="M198" t="s">
        <v>34</v>
      </c>
      <c r="N198">
        <v>129</v>
      </c>
      <c r="O198" t="s">
        <v>20</v>
      </c>
      <c r="P198">
        <f t="shared" si="34"/>
        <v>229</v>
      </c>
      <c r="Q198">
        <f t="shared" si="35"/>
        <v>29</v>
      </c>
      <c r="R198" t="str">
        <f t="shared" si="36"/>
        <v>Eric/Blake</v>
      </c>
      <c r="S198" t="str">
        <f t="shared" si="37"/>
        <v>David/Marshall</v>
      </c>
      <c r="T198">
        <f t="shared" si="38"/>
        <v>129</v>
      </c>
      <c r="U198">
        <f t="shared" si="39"/>
        <v>100</v>
      </c>
    </row>
    <row r="199" spans="1:21" x14ac:dyDescent="0.3">
      <c r="A199">
        <v>198</v>
      </c>
      <c r="B199" t="str">
        <f>H199&amp;R199&amp;I199</f>
        <v>2016Trent/Colin1</v>
      </c>
      <c r="C199" t="str">
        <f>H199&amp;S199&amp;I199</f>
        <v>2016Drew/Cam1</v>
      </c>
      <c r="D199">
        <f t="shared" si="30"/>
        <v>445</v>
      </c>
      <c r="E199">
        <f t="shared" si="31"/>
        <v>394</v>
      </c>
      <c r="F199">
        <f t="shared" si="32"/>
        <v>435</v>
      </c>
      <c r="G199">
        <f t="shared" si="33"/>
        <v>355</v>
      </c>
      <c r="H199">
        <v>2016</v>
      </c>
      <c r="I199">
        <v>1</v>
      </c>
      <c r="J199">
        <v>2</v>
      </c>
      <c r="K199" t="s">
        <v>33</v>
      </c>
      <c r="L199">
        <v>119.5</v>
      </c>
      <c r="M199" t="s">
        <v>37</v>
      </c>
      <c r="N199">
        <v>98.5</v>
      </c>
      <c r="O199" t="s">
        <v>20</v>
      </c>
      <c r="P199">
        <f t="shared" si="34"/>
        <v>218</v>
      </c>
      <c r="Q199">
        <f t="shared" si="35"/>
        <v>21</v>
      </c>
      <c r="R199" t="str">
        <f t="shared" si="36"/>
        <v>Trent/Colin</v>
      </c>
      <c r="S199" t="str">
        <f t="shared" si="37"/>
        <v>Drew/Cam</v>
      </c>
      <c r="T199">
        <f t="shared" si="38"/>
        <v>119.5</v>
      </c>
      <c r="U199">
        <f t="shared" si="39"/>
        <v>98.5</v>
      </c>
    </row>
    <row r="200" spans="1:21" x14ac:dyDescent="0.3">
      <c r="A200">
        <v>199</v>
      </c>
      <c r="B200" t="str">
        <f>H200&amp;R200&amp;I200</f>
        <v>2016Walker/Cory1</v>
      </c>
      <c r="C200" t="str">
        <f>H200&amp;S200&amp;I200</f>
        <v>2016Dave/Nolan1</v>
      </c>
      <c r="D200">
        <f t="shared" si="30"/>
        <v>653</v>
      </c>
      <c r="E200">
        <f t="shared" si="31"/>
        <v>123</v>
      </c>
      <c r="F200">
        <f t="shared" si="32"/>
        <v>236</v>
      </c>
      <c r="G200">
        <f t="shared" si="33"/>
        <v>67</v>
      </c>
      <c r="H200">
        <v>2016</v>
      </c>
      <c r="I200">
        <v>1</v>
      </c>
      <c r="J200">
        <v>3</v>
      </c>
      <c r="K200" t="s">
        <v>30</v>
      </c>
      <c r="L200">
        <v>121</v>
      </c>
      <c r="M200" t="s">
        <v>36</v>
      </c>
      <c r="N200">
        <v>131</v>
      </c>
      <c r="O200" t="s">
        <v>20</v>
      </c>
      <c r="P200">
        <f t="shared" si="34"/>
        <v>252</v>
      </c>
      <c r="Q200">
        <f t="shared" si="35"/>
        <v>10</v>
      </c>
      <c r="R200" t="str">
        <f t="shared" si="36"/>
        <v>Walker/Cory</v>
      </c>
      <c r="S200" t="str">
        <f t="shared" si="37"/>
        <v>Dave/Nolan</v>
      </c>
      <c r="T200">
        <f t="shared" si="38"/>
        <v>131</v>
      </c>
      <c r="U200">
        <f t="shared" si="39"/>
        <v>121</v>
      </c>
    </row>
    <row r="201" spans="1:21" x14ac:dyDescent="0.3">
      <c r="A201">
        <v>200</v>
      </c>
      <c r="B201" t="str">
        <f>H201&amp;R201&amp;I201</f>
        <v>2016Brian/Travis1</v>
      </c>
      <c r="C201" t="str">
        <f>H201&amp;S201&amp;I201</f>
        <v>2016Graham/Michael1</v>
      </c>
      <c r="D201">
        <f t="shared" si="30"/>
        <v>802</v>
      </c>
      <c r="E201">
        <f t="shared" si="31"/>
        <v>594</v>
      </c>
      <c r="F201">
        <f t="shared" si="32"/>
        <v>705</v>
      </c>
      <c r="G201">
        <f t="shared" si="33"/>
        <v>391</v>
      </c>
      <c r="H201">
        <v>2016</v>
      </c>
      <c r="I201">
        <v>1</v>
      </c>
      <c r="J201">
        <v>4</v>
      </c>
      <c r="K201" t="s">
        <v>32</v>
      </c>
      <c r="L201">
        <v>100</v>
      </c>
      <c r="M201" t="s">
        <v>29</v>
      </c>
      <c r="N201">
        <v>96.5</v>
      </c>
      <c r="O201" t="s">
        <v>20</v>
      </c>
      <c r="P201">
        <f t="shared" si="34"/>
        <v>196.5</v>
      </c>
      <c r="Q201">
        <f t="shared" si="35"/>
        <v>3.5</v>
      </c>
      <c r="R201" t="str">
        <f t="shared" si="36"/>
        <v>Brian/Travis</v>
      </c>
      <c r="S201" t="str">
        <f t="shared" si="37"/>
        <v>Graham/Michael</v>
      </c>
      <c r="T201">
        <f t="shared" si="38"/>
        <v>100</v>
      </c>
      <c r="U201">
        <f t="shared" si="39"/>
        <v>96.5</v>
      </c>
    </row>
    <row r="202" spans="1:21" x14ac:dyDescent="0.3">
      <c r="A202">
        <v>201</v>
      </c>
      <c r="B202" t="str">
        <f>H202&amp;R202&amp;I202</f>
        <v>2016Drew/Cam2</v>
      </c>
      <c r="C202" t="str">
        <f>H202&amp;S202&amp;I202</f>
        <v>2016Eric/Blake2</v>
      </c>
      <c r="D202">
        <f t="shared" si="30"/>
        <v>285</v>
      </c>
      <c r="E202">
        <f t="shared" si="31"/>
        <v>250</v>
      </c>
      <c r="F202">
        <f t="shared" si="32"/>
        <v>219</v>
      </c>
      <c r="G202">
        <f t="shared" si="33"/>
        <v>293</v>
      </c>
      <c r="H202">
        <v>2016</v>
      </c>
      <c r="I202">
        <v>2</v>
      </c>
      <c r="J202">
        <v>5</v>
      </c>
      <c r="K202" t="s">
        <v>34</v>
      </c>
      <c r="L202">
        <v>101.5</v>
      </c>
      <c r="M202" t="s">
        <v>37</v>
      </c>
      <c r="N202">
        <v>133</v>
      </c>
      <c r="O202" t="s">
        <v>20</v>
      </c>
      <c r="P202">
        <f t="shared" si="34"/>
        <v>234.5</v>
      </c>
      <c r="Q202">
        <f t="shared" si="35"/>
        <v>31.5</v>
      </c>
      <c r="R202" t="str">
        <f t="shared" si="36"/>
        <v>Drew/Cam</v>
      </c>
      <c r="S202" t="str">
        <f t="shared" si="37"/>
        <v>Eric/Blake</v>
      </c>
      <c r="T202">
        <f t="shared" si="38"/>
        <v>133</v>
      </c>
      <c r="U202">
        <f t="shared" si="39"/>
        <v>101.5</v>
      </c>
    </row>
    <row r="203" spans="1:21" x14ac:dyDescent="0.3">
      <c r="A203">
        <v>202</v>
      </c>
      <c r="B203" t="str">
        <f>H203&amp;R203&amp;I203</f>
        <v>2016Clay/Ryan2</v>
      </c>
      <c r="C203" t="str">
        <f>H203&amp;S203&amp;I203</f>
        <v>2016Walker/Cory2</v>
      </c>
      <c r="D203">
        <f t="shared" si="30"/>
        <v>494</v>
      </c>
      <c r="E203">
        <f t="shared" si="31"/>
        <v>819</v>
      </c>
      <c r="F203">
        <f t="shared" si="32"/>
        <v>827</v>
      </c>
      <c r="G203">
        <f t="shared" si="33"/>
        <v>778</v>
      </c>
      <c r="H203">
        <v>2016</v>
      </c>
      <c r="I203">
        <v>2</v>
      </c>
      <c r="J203">
        <v>6</v>
      </c>
      <c r="K203" t="s">
        <v>36</v>
      </c>
      <c r="L203">
        <v>71.5</v>
      </c>
      <c r="M203" t="s">
        <v>35</v>
      </c>
      <c r="N203">
        <v>89.5</v>
      </c>
      <c r="O203" t="s">
        <v>20</v>
      </c>
      <c r="P203">
        <f t="shared" si="34"/>
        <v>161</v>
      </c>
      <c r="Q203">
        <f t="shared" si="35"/>
        <v>18</v>
      </c>
      <c r="R203" t="str">
        <f t="shared" si="36"/>
        <v>Clay/Ryan</v>
      </c>
      <c r="S203" t="str">
        <f t="shared" si="37"/>
        <v>Walker/Cory</v>
      </c>
      <c r="T203">
        <f t="shared" si="38"/>
        <v>89.5</v>
      </c>
      <c r="U203">
        <f t="shared" si="39"/>
        <v>71.5</v>
      </c>
    </row>
    <row r="204" spans="1:21" x14ac:dyDescent="0.3">
      <c r="A204">
        <v>203</v>
      </c>
      <c r="B204" t="str">
        <f>H204&amp;R204&amp;I204</f>
        <v>2016Graham/Michael2</v>
      </c>
      <c r="C204" t="str">
        <f>H204&amp;S204&amp;I204</f>
        <v>2016Pat/Tucker2</v>
      </c>
      <c r="D204">
        <f t="shared" si="30"/>
        <v>330</v>
      </c>
      <c r="E204">
        <f t="shared" si="31"/>
        <v>272</v>
      </c>
      <c r="F204">
        <f t="shared" si="32"/>
        <v>264</v>
      </c>
      <c r="G204">
        <f t="shared" si="33"/>
        <v>293</v>
      </c>
      <c r="H204">
        <v>2016</v>
      </c>
      <c r="I204">
        <v>2</v>
      </c>
      <c r="J204">
        <v>7</v>
      </c>
      <c r="K204" t="s">
        <v>29</v>
      </c>
      <c r="L204">
        <v>129.5</v>
      </c>
      <c r="M204" t="s">
        <v>31</v>
      </c>
      <c r="N204">
        <v>101.5</v>
      </c>
      <c r="O204" t="s">
        <v>20</v>
      </c>
      <c r="P204">
        <f t="shared" si="34"/>
        <v>231</v>
      </c>
      <c r="Q204">
        <f t="shared" si="35"/>
        <v>28</v>
      </c>
      <c r="R204" t="str">
        <f t="shared" si="36"/>
        <v>Graham/Michael</v>
      </c>
      <c r="S204" t="str">
        <f t="shared" si="37"/>
        <v>Pat/Tucker</v>
      </c>
      <c r="T204">
        <f t="shared" si="38"/>
        <v>129.5</v>
      </c>
      <c r="U204">
        <f t="shared" si="39"/>
        <v>101.5</v>
      </c>
    </row>
    <row r="205" spans="1:21" x14ac:dyDescent="0.3">
      <c r="A205">
        <v>204</v>
      </c>
      <c r="B205" t="str">
        <f>H205&amp;R205&amp;I205</f>
        <v>2016David/Marshall2</v>
      </c>
      <c r="C205" t="str">
        <f>H205&amp;S205&amp;I205</f>
        <v>2016Dave/Nolan2</v>
      </c>
      <c r="D205">
        <f t="shared" si="30"/>
        <v>580</v>
      </c>
      <c r="E205">
        <f t="shared" si="31"/>
        <v>842</v>
      </c>
      <c r="F205">
        <f t="shared" si="32"/>
        <v>846</v>
      </c>
      <c r="G205">
        <f t="shared" si="33"/>
        <v>801</v>
      </c>
      <c r="H205">
        <v>2016</v>
      </c>
      <c r="I205">
        <v>2</v>
      </c>
      <c r="J205">
        <v>8</v>
      </c>
      <c r="K205" t="s">
        <v>30</v>
      </c>
      <c r="L205">
        <v>69.5</v>
      </c>
      <c r="M205" t="s">
        <v>38</v>
      </c>
      <c r="N205">
        <v>82.5</v>
      </c>
      <c r="O205" t="s">
        <v>20</v>
      </c>
      <c r="P205">
        <f t="shared" si="34"/>
        <v>152</v>
      </c>
      <c r="Q205">
        <f t="shared" si="35"/>
        <v>13</v>
      </c>
      <c r="R205" t="str">
        <f t="shared" si="36"/>
        <v>David/Marshall</v>
      </c>
      <c r="S205" t="str">
        <f t="shared" si="37"/>
        <v>Dave/Nolan</v>
      </c>
      <c r="T205">
        <f t="shared" si="38"/>
        <v>82.5</v>
      </c>
      <c r="U205">
        <f t="shared" si="39"/>
        <v>69.5</v>
      </c>
    </row>
    <row r="206" spans="1:21" x14ac:dyDescent="0.3">
      <c r="A206">
        <v>205</v>
      </c>
      <c r="B206" t="str">
        <f>H206&amp;R206&amp;I206</f>
        <v>2016Trent/Colin2</v>
      </c>
      <c r="C206" t="str">
        <f>H206&amp;S206&amp;I206</f>
        <v>2016Brian/Travis2</v>
      </c>
      <c r="D206">
        <f t="shared" si="30"/>
        <v>81</v>
      </c>
      <c r="E206">
        <f t="shared" si="31"/>
        <v>157</v>
      </c>
      <c r="F206">
        <f t="shared" si="32"/>
        <v>69</v>
      </c>
      <c r="G206">
        <f t="shared" si="33"/>
        <v>391</v>
      </c>
      <c r="H206">
        <v>2016</v>
      </c>
      <c r="I206">
        <v>2</v>
      </c>
      <c r="J206">
        <v>9</v>
      </c>
      <c r="K206" t="s">
        <v>32</v>
      </c>
      <c r="L206">
        <v>96.5</v>
      </c>
      <c r="M206" t="s">
        <v>33</v>
      </c>
      <c r="N206">
        <v>150</v>
      </c>
      <c r="O206" t="s">
        <v>20</v>
      </c>
      <c r="P206">
        <f t="shared" si="34"/>
        <v>246.5</v>
      </c>
      <c r="Q206">
        <f t="shared" si="35"/>
        <v>53.5</v>
      </c>
      <c r="R206" t="str">
        <f t="shared" si="36"/>
        <v>Trent/Colin</v>
      </c>
      <c r="S206" t="str">
        <f t="shared" si="37"/>
        <v>Brian/Travis</v>
      </c>
      <c r="T206">
        <f t="shared" si="38"/>
        <v>150</v>
      </c>
      <c r="U206">
        <f t="shared" si="39"/>
        <v>96.5</v>
      </c>
    </row>
    <row r="207" spans="1:21" x14ac:dyDescent="0.3">
      <c r="A207">
        <v>206</v>
      </c>
      <c r="B207" t="str">
        <f>H207&amp;R207&amp;I207</f>
        <v>2016Walker/Cory3</v>
      </c>
      <c r="C207" t="str">
        <f>H207&amp;S207&amp;I207</f>
        <v>2016Graham/Michael3</v>
      </c>
      <c r="D207">
        <f t="shared" si="30"/>
        <v>162</v>
      </c>
      <c r="E207">
        <f t="shared" si="31"/>
        <v>782</v>
      </c>
      <c r="F207">
        <f t="shared" si="32"/>
        <v>629</v>
      </c>
      <c r="G207">
        <f t="shared" si="33"/>
        <v>829</v>
      </c>
      <c r="H207">
        <v>2016</v>
      </c>
      <c r="I207">
        <v>3</v>
      </c>
      <c r="J207">
        <v>10</v>
      </c>
      <c r="K207" t="s">
        <v>36</v>
      </c>
      <c r="L207">
        <v>106.5</v>
      </c>
      <c r="M207" t="s">
        <v>29</v>
      </c>
      <c r="N207">
        <v>64</v>
      </c>
      <c r="O207" t="s">
        <v>20</v>
      </c>
      <c r="P207">
        <f t="shared" si="34"/>
        <v>170.5</v>
      </c>
      <c r="Q207">
        <f t="shared" si="35"/>
        <v>42.5</v>
      </c>
      <c r="R207" t="str">
        <f t="shared" si="36"/>
        <v>Walker/Cory</v>
      </c>
      <c r="S207" t="str">
        <f t="shared" si="37"/>
        <v>Graham/Michael</v>
      </c>
      <c r="T207">
        <f t="shared" si="38"/>
        <v>106.5</v>
      </c>
      <c r="U207">
        <f t="shared" si="39"/>
        <v>64</v>
      </c>
    </row>
    <row r="208" spans="1:21" x14ac:dyDescent="0.3">
      <c r="A208">
        <v>207</v>
      </c>
      <c r="B208" t="str">
        <f>H208&amp;R208&amp;I208</f>
        <v>2016Dave/Nolan3</v>
      </c>
      <c r="C208" t="str">
        <f>H208&amp;S208&amp;I208</f>
        <v>2016Eric/Blake3</v>
      </c>
      <c r="D208">
        <f t="shared" si="30"/>
        <v>300</v>
      </c>
      <c r="E208">
        <f t="shared" si="31"/>
        <v>616</v>
      </c>
      <c r="F208">
        <f t="shared" si="32"/>
        <v>551</v>
      </c>
      <c r="G208">
        <f t="shared" si="33"/>
        <v>655</v>
      </c>
      <c r="H208">
        <v>2016</v>
      </c>
      <c r="I208">
        <v>3</v>
      </c>
      <c r="J208">
        <v>11</v>
      </c>
      <c r="K208" t="s">
        <v>34</v>
      </c>
      <c r="L208">
        <v>82</v>
      </c>
      <c r="M208" t="s">
        <v>30</v>
      </c>
      <c r="N208">
        <v>112</v>
      </c>
      <c r="O208" t="s">
        <v>20</v>
      </c>
      <c r="P208">
        <f t="shared" si="34"/>
        <v>194</v>
      </c>
      <c r="Q208">
        <f t="shared" si="35"/>
        <v>30</v>
      </c>
      <c r="R208" t="str">
        <f t="shared" si="36"/>
        <v>Dave/Nolan</v>
      </c>
      <c r="S208" t="str">
        <f t="shared" si="37"/>
        <v>Eric/Blake</v>
      </c>
      <c r="T208">
        <f t="shared" si="38"/>
        <v>112</v>
      </c>
      <c r="U208">
        <f t="shared" si="39"/>
        <v>82</v>
      </c>
    </row>
    <row r="209" spans="1:21" x14ac:dyDescent="0.3">
      <c r="A209">
        <v>208</v>
      </c>
      <c r="B209" t="str">
        <f>H209&amp;R209&amp;I209</f>
        <v>2016Drew/Cam3</v>
      </c>
      <c r="C209" t="str">
        <f>H209&amp;S209&amp;I209</f>
        <v>2016Brian/Travis3</v>
      </c>
      <c r="D209">
        <f t="shared" si="30"/>
        <v>580</v>
      </c>
      <c r="E209">
        <f t="shared" si="31"/>
        <v>705</v>
      </c>
      <c r="F209">
        <f t="shared" si="32"/>
        <v>724</v>
      </c>
      <c r="G209">
        <f t="shared" si="33"/>
        <v>603</v>
      </c>
      <c r="H209">
        <v>2016</v>
      </c>
      <c r="I209">
        <v>3</v>
      </c>
      <c r="J209">
        <v>12</v>
      </c>
      <c r="K209" t="s">
        <v>37</v>
      </c>
      <c r="L209">
        <v>98.5</v>
      </c>
      <c r="M209" t="s">
        <v>32</v>
      </c>
      <c r="N209">
        <v>85.5</v>
      </c>
      <c r="O209" t="s">
        <v>20</v>
      </c>
      <c r="P209">
        <f t="shared" si="34"/>
        <v>184</v>
      </c>
      <c r="Q209">
        <f t="shared" si="35"/>
        <v>13</v>
      </c>
      <c r="R209" t="str">
        <f t="shared" si="36"/>
        <v>Drew/Cam</v>
      </c>
      <c r="S209" t="str">
        <f t="shared" si="37"/>
        <v>Brian/Travis</v>
      </c>
      <c r="T209">
        <f t="shared" si="38"/>
        <v>98.5</v>
      </c>
      <c r="U209">
        <f t="shared" si="39"/>
        <v>85.5</v>
      </c>
    </row>
    <row r="210" spans="1:21" x14ac:dyDescent="0.3">
      <c r="A210">
        <v>209</v>
      </c>
      <c r="B210" t="str">
        <f>H210&amp;R210&amp;I210</f>
        <v>2016Clay/Ryan3</v>
      </c>
      <c r="C210" t="str">
        <f>H210&amp;S210&amp;I210</f>
        <v>2016David/Marshall3</v>
      </c>
      <c r="D210">
        <f t="shared" si="30"/>
        <v>485</v>
      </c>
      <c r="E210">
        <f t="shared" si="31"/>
        <v>346</v>
      </c>
      <c r="F210">
        <f t="shared" si="32"/>
        <v>411</v>
      </c>
      <c r="G210">
        <f t="shared" si="33"/>
        <v>280</v>
      </c>
      <c r="H210">
        <v>2016</v>
      </c>
      <c r="I210">
        <v>3</v>
      </c>
      <c r="J210">
        <v>13</v>
      </c>
      <c r="K210" t="s">
        <v>35</v>
      </c>
      <c r="L210">
        <v>121</v>
      </c>
      <c r="M210" t="s">
        <v>38</v>
      </c>
      <c r="N210">
        <v>102.5</v>
      </c>
      <c r="O210" t="s">
        <v>20</v>
      </c>
      <c r="P210">
        <f t="shared" si="34"/>
        <v>223.5</v>
      </c>
      <c r="Q210">
        <f t="shared" si="35"/>
        <v>18.5</v>
      </c>
      <c r="R210" t="str">
        <f t="shared" si="36"/>
        <v>Clay/Ryan</v>
      </c>
      <c r="S210" t="str">
        <f t="shared" si="37"/>
        <v>David/Marshall</v>
      </c>
      <c r="T210">
        <f t="shared" si="38"/>
        <v>121</v>
      </c>
      <c r="U210">
        <f t="shared" si="39"/>
        <v>102.5</v>
      </c>
    </row>
    <row r="211" spans="1:21" x14ac:dyDescent="0.3">
      <c r="A211">
        <v>210</v>
      </c>
      <c r="B211" t="str">
        <f>H211&amp;R211&amp;I211</f>
        <v>2016Trent/Colin3</v>
      </c>
      <c r="C211" t="str">
        <f>H211&amp;S211&amp;I211</f>
        <v>2016Pat/Tucker3</v>
      </c>
      <c r="D211">
        <f t="shared" si="30"/>
        <v>605</v>
      </c>
      <c r="E211">
        <f t="shared" si="31"/>
        <v>140</v>
      </c>
      <c r="F211">
        <f t="shared" si="32"/>
        <v>247</v>
      </c>
      <c r="G211">
        <f t="shared" si="33"/>
        <v>87</v>
      </c>
      <c r="H211">
        <v>2016</v>
      </c>
      <c r="I211">
        <v>3</v>
      </c>
      <c r="J211">
        <v>14</v>
      </c>
      <c r="K211" t="s">
        <v>31</v>
      </c>
      <c r="L211">
        <v>118.5</v>
      </c>
      <c r="M211" t="s">
        <v>33</v>
      </c>
      <c r="N211">
        <v>130.5</v>
      </c>
      <c r="O211" t="s">
        <v>20</v>
      </c>
      <c r="P211">
        <f t="shared" si="34"/>
        <v>249</v>
      </c>
      <c r="Q211">
        <f t="shared" si="35"/>
        <v>12</v>
      </c>
      <c r="R211" t="str">
        <f t="shared" si="36"/>
        <v>Trent/Colin</v>
      </c>
      <c r="S211" t="str">
        <f t="shared" si="37"/>
        <v>Pat/Tucker</v>
      </c>
      <c r="T211">
        <f t="shared" si="38"/>
        <v>130.5</v>
      </c>
      <c r="U211">
        <f t="shared" si="39"/>
        <v>118.5</v>
      </c>
    </row>
    <row r="212" spans="1:21" x14ac:dyDescent="0.3">
      <c r="A212">
        <v>211</v>
      </c>
      <c r="B212" t="str">
        <f>H212&amp;R212&amp;I212</f>
        <v>2016Dave/Nolan4</v>
      </c>
      <c r="C212" t="str">
        <f>H212&amp;S212&amp;I212</f>
        <v>2016Brian/Travis4</v>
      </c>
      <c r="D212">
        <f t="shared" si="30"/>
        <v>238</v>
      </c>
      <c r="E212">
        <f t="shared" si="31"/>
        <v>610</v>
      </c>
      <c r="F212">
        <f t="shared" si="32"/>
        <v>509</v>
      </c>
      <c r="G212">
        <f t="shared" si="33"/>
        <v>685</v>
      </c>
      <c r="H212">
        <v>2016</v>
      </c>
      <c r="I212">
        <v>4</v>
      </c>
      <c r="J212">
        <v>15</v>
      </c>
      <c r="K212" t="s">
        <v>30</v>
      </c>
      <c r="L212">
        <v>115</v>
      </c>
      <c r="M212" t="s">
        <v>32</v>
      </c>
      <c r="N212">
        <v>79.5</v>
      </c>
      <c r="O212" t="s">
        <v>20</v>
      </c>
      <c r="P212">
        <f t="shared" si="34"/>
        <v>194.5</v>
      </c>
      <c r="Q212">
        <f t="shared" si="35"/>
        <v>35.5</v>
      </c>
      <c r="R212" t="str">
        <f t="shared" si="36"/>
        <v>Dave/Nolan</v>
      </c>
      <c r="S212" t="str">
        <f t="shared" si="37"/>
        <v>Brian/Travis</v>
      </c>
      <c r="T212">
        <f t="shared" si="38"/>
        <v>115</v>
      </c>
      <c r="U212">
        <f t="shared" si="39"/>
        <v>79.5</v>
      </c>
    </row>
    <row r="213" spans="1:21" x14ac:dyDescent="0.3">
      <c r="A213">
        <v>212</v>
      </c>
      <c r="B213" t="str">
        <f>H213&amp;R213&amp;I213</f>
        <v>2016Walker/Cory4</v>
      </c>
      <c r="C213" t="str">
        <f>H213&amp;S213&amp;I213</f>
        <v>2016David/Marshall4</v>
      </c>
      <c r="D213">
        <f t="shared" si="30"/>
        <v>392</v>
      </c>
      <c r="E213">
        <f t="shared" si="31"/>
        <v>682</v>
      </c>
      <c r="F213">
        <f t="shared" si="32"/>
        <v>648</v>
      </c>
      <c r="G213">
        <f t="shared" si="33"/>
        <v>664</v>
      </c>
      <c r="H213">
        <v>2016</v>
      </c>
      <c r="I213">
        <v>4</v>
      </c>
      <c r="J213">
        <v>16</v>
      </c>
      <c r="K213" t="s">
        <v>38</v>
      </c>
      <c r="L213">
        <v>81.5</v>
      </c>
      <c r="M213" t="s">
        <v>36</v>
      </c>
      <c r="N213">
        <v>105</v>
      </c>
      <c r="O213" t="s">
        <v>20</v>
      </c>
      <c r="P213">
        <f t="shared" si="34"/>
        <v>186.5</v>
      </c>
      <c r="Q213">
        <f t="shared" si="35"/>
        <v>23.5</v>
      </c>
      <c r="R213" t="str">
        <f t="shared" si="36"/>
        <v>Walker/Cory</v>
      </c>
      <c r="S213" t="str">
        <f t="shared" si="37"/>
        <v>David/Marshall</v>
      </c>
      <c r="T213">
        <f t="shared" si="38"/>
        <v>105</v>
      </c>
      <c r="U213">
        <f t="shared" si="39"/>
        <v>81.5</v>
      </c>
    </row>
    <row r="214" spans="1:21" x14ac:dyDescent="0.3">
      <c r="A214">
        <v>213</v>
      </c>
      <c r="B214" t="str">
        <f>H214&amp;R214&amp;I214</f>
        <v>2016Graham/Michael4</v>
      </c>
      <c r="C214" t="str">
        <f>H214&amp;S214&amp;I214</f>
        <v>2016Trent/Colin4</v>
      </c>
      <c r="D214">
        <f t="shared" si="30"/>
        <v>410</v>
      </c>
      <c r="E214">
        <f t="shared" si="31"/>
        <v>446</v>
      </c>
      <c r="F214">
        <f t="shared" si="32"/>
        <v>476</v>
      </c>
      <c r="G214">
        <f t="shared" si="33"/>
        <v>421</v>
      </c>
      <c r="H214">
        <v>2016</v>
      </c>
      <c r="I214">
        <v>4</v>
      </c>
      <c r="J214">
        <v>17</v>
      </c>
      <c r="K214" t="s">
        <v>33</v>
      </c>
      <c r="L214">
        <v>94.5</v>
      </c>
      <c r="M214" t="s">
        <v>29</v>
      </c>
      <c r="N214">
        <v>117</v>
      </c>
      <c r="O214" t="s">
        <v>20</v>
      </c>
      <c r="P214">
        <f t="shared" si="34"/>
        <v>211.5</v>
      </c>
      <c r="Q214">
        <f t="shared" si="35"/>
        <v>22.5</v>
      </c>
      <c r="R214" t="str">
        <f t="shared" si="36"/>
        <v>Graham/Michael</v>
      </c>
      <c r="S214" t="str">
        <f t="shared" si="37"/>
        <v>Trent/Colin</v>
      </c>
      <c r="T214">
        <f t="shared" si="38"/>
        <v>117</v>
      </c>
      <c r="U214">
        <f t="shared" si="39"/>
        <v>94.5</v>
      </c>
    </row>
    <row r="215" spans="1:21" x14ac:dyDescent="0.3">
      <c r="A215">
        <v>214</v>
      </c>
      <c r="B215" t="str">
        <f>H215&amp;R215&amp;I215</f>
        <v>2016Clay/Ryan4</v>
      </c>
      <c r="C215" t="str">
        <f>H215&amp;S215&amp;I215</f>
        <v>2016Eric/Blake4</v>
      </c>
      <c r="D215">
        <f t="shared" si="30"/>
        <v>640</v>
      </c>
      <c r="E215">
        <f t="shared" si="31"/>
        <v>846</v>
      </c>
      <c r="F215">
        <f t="shared" si="32"/>
        <v>852</v>
      </c>
      <c r="G215">
        <f t="shared" si="33"/>
        <v>793</v>
      </c>
      <c r="H215">
        <v>2016</v>
      </c>
      <c r="I215">
        <v>4</v>
      </c>
      <c r="J215">
        <v>18</v>
      </c>
      <c r="K215" t="s">
        <v>35</v>
      </c>
      <c r="L215">
        <v>81</v>
      </c>
      <c r="M215" t="s">
        <v>34</v>
      </c>
      <c r="N215">
        <v>70.5</v>
      </c>
      <c r="O215" t="s">
        <v>20</v>
      </c>
      <c r="P215">
        <f t="shared" si="34"/>
        <v>151.5</v>
      </c>
      <c r="Q215">
        <f t="shared" si="35"/>
        <v>10.5</v>
      </c>
      <c r="R215" t="str">
        <f t="shared" si="36"/>
        <v>Clay/Ryan</v>
      </c>
      <c r="S215" t="str">
        <f t="shared" si="37"/>
        <v>Eric/Blake</v>
      </c>
      <c r="T215">
        <f t="shared" si="38"/>
        <v>81</v>
      </c>
      <c r="U215">
        <f t="shared" si="39"/>
        <v>70.5</v>
      </c>
    </row>
    <row r="216" spans="1:21" x14ac:dyDescent="0.3">
      <c r="A216">
        <v>215</v>
      </c>
      <c r="B216" t="str">
        <f>H216&amp;R216&amp;I216</f>
        <v>2016Drew/Cam4</v>
      </c>
      <c r="C216" t="str">
        <f>H216&amp;S216&amp;I216</f>
        <v>2016Pat/Tucker4</v>
      </c>
      <c r="D216">
        <f t="shared" si="30"/>
        <v>559</v>
      </c>
      <c r="E216">
        <f t="shared" si="31"/>
        <v>302</v>
      </c>
      <c r="F216">
        <f t="shared" si="32"/>
        <v>411</v>
      </c>
      <c r="G216">
        <f t="shared" si="33"/>
        <v>220</v>
      </c>
      <c r="H216">
        <v>2016</v>
      </c>
      <c r="I216">
        <v>4</v>
      </c>
      <c r="J216">
        <v>19</v>
      </c>
      <c r="K216" t="s">
        <v>31</v>
      </c>
      <c r="L216">
        <v>107</v>
      </c>
      <c r="M216" t="s">
        <v>37</v>
      </c>
      <c r="N216">
        <v>121</v>
      </c>
      <c r="O216" t="s">
        <v>20</v>
      </c>
      <c r="P216">
        <f t="shared" si="34"/>
        <v>228</v>
      </c>
      <c r="Q216">
        <f t="shared" si="35"/>
        <v>14</v>
      </c>
      <c r="R216" t="str">
        <f t="shared" si="36"/>
        <v>Drew/Cam</v>
      </c>
      <c r="S216" t="str">
        <f t="shared" si="37"/>
        <v>Pat/Tucker</v>
      </c>
      <c r="T216">
        <f t="shared" si="38"/>
        <v>121</v>
      </c>
      <c r="U216">
        <f t="shared" si="39"/>
        <v>107</v>
      </c>
    </row>
    <row r="217" spans="1:21" x14ac:dyDescent="0.3">
      <c r="A217">
        <v>216</v>
      </c>
      <c r="B217" t="str">
        <f>H217&amp;R217&amp;I217</f>
        <v>2016Trent/Colin5</v>
      </c>
      <c r="C217" t="str">
        <f>H217&amp;S217&amp;I217</f>
        <v>2016David/Marshall5</v>
      </c>
      <c r="D217">
        <f t="shared" si="30"/>
        <v>410</v>
      </c>
      <c r="E217">
        <f t="shared" si="31"/>
        <v>209</v>
      </c>
      <c r="F217">
        <f t="shared" si="32"/>
        <v>236</v>
      </c>
      <c r="G217">
        <f t="shared" si="33"/>
        <v>200</v>
      </c>
      <c r="H217">
        <v>2016</v>
      </c>
      <c r="I217">
        <v>5</v>
      </c>
      <c r="J217">
        <v>20</v>
      </c>
      <c r="K217" t="s">
        <v>38</v>
      </c>
      <c r="L217">
        <v>108.5</v>
      </c>
      <c r="M217" t="s">
        <v>33</v>
      </c>
      <c r="N217">
        <v>131</v>
      </c>
      <c r="O217" t="s">
        <v>20</v>
      </c>
      <c r="P217">
        <f t="shared" si="34"/>
        <v>239.5</v>
      </c>
      <c r="Q217">
        <f t="shared" si="35"/>
        <v>22.5</v>
      </c>
      <c r="R217" t="str">
        <f t="shared" si="36"/>
        <v>Trent/Colin</v>
      </c>
      <c r="S217" t="str">
        <f t="shared" si="37"/>
        <v>David/Marshall</v>
      </c>
      <c r="T217">
        <f t="shared" si="38"/>
        <v>131</v>
      </c>
      <c r="U217">
        <f t="shared" si="39"/>
        <v>108.5</v>
      </c>
    </row>
    <row r="218" spans="1:21" x14ac:dyDescent="0.3">
      <c r="A218">
        <v>217</v>
      </c>
      <c r="B218" t="str">
        <f>H218&amp;R218&amp;I218</f>
        <v>2016Dave/Nolan5</v>
      </c>
      <c r="C218" t="str">
        <f>H218&amp;S218&amp;I218</f>
        <v>2016Clay/Ryan5</v>
      </c>
      <c r="D218">
        <f t="shared" si="30"/>
        <v>375</v>
      </c>
      <c r="E218">
        <f t="shared" si="31"/>
        <v>438</v>
      </c>
      <c r="F218">
        <f t="shared" si="32"/>
        <v>449</v>
      </c>
      <c r="G218">
        <f t="shared" si="33"/>
        <v>435</v>
      </c>
      <c r="H218">
        <v>2016</v>
      </c>
      <c r="I218">
        <v>5</v>
      </c>
      <c r="J218">
        <v>21</v>
      </c>
      <c r="K218" t="s">
        <v>30</v>
      </c>
      <c r="L218">
        <v>118.5</v>
      </c>
      <c r="M218" t="s">
        <v>35</v>
      </c>
      <c r="N218">
        <v>94</v>
      </c>
      <c r="O218" t="s">
        <v>20</v>
      </c>
      <c r="P218">
        <f t="shared" si="34"/>
        <v>212.5</v>
      </c>
      <c r="Q218">
        <f t="shared" si="35"/>
        <v>24.5</v>
      </c>
      <c r="R218" t="str">
        <f t="shared" si="36"/>
        <v>Dave/Nolan</v>
      </c>
      <c r="S218" t="str">
        <f t="shared" si="37"/>
        <v>Clay/Ryan</v>
      </c>
      <c r="T218">
        <f t="shared" si="38"/>
        <v>118.5</v>
      </c>
      <c r="U218">
        <f t="shared" si="39"/>
        <v>94</v>
      </c>
    </row>
    <row r="219" spans="1:21" x14ac:dyDescent="0.3">
      <c r="A219">
        <v>218</v>
      </c>
      <c r="B219" t="str">
        <f>H219&amp;R219&amp;I219</f>
        <v>2016Pat/Tucker5</v>
      </c>
      <c r="C219" t="str">
        <f>H219&amp;S219&amp;I219</f>
        <v>2016Brian/Travis5</v>
      </c>
      <c r="D219">
        <f t="shared" si="30"/>
        <v>836</v>
      </c>
      <c r="E219">
        <f t="shared" si="31"/>
        <v>594</v>
      </c>
      <c r="F219">
        <f t="shared" si="32"/>
        <v>717</v>
      </c>
      <c r="G219">
        <f t="shared" si="33"/>
        <v>373</v>
      </c>
      <c r="H219">
        <v>2016</v>
      </c>
      <c r="I219">
        <v>5</v>
      </c>
      <c r="J219">
        <v>22</v>
      </c>
      <c r="K219" t="s">
        <v>32</v>
      </c>
      <c r="L219">
        <v>97.5</v>
      </c>
      <c r="M219" t="s">
        <v>31</v>
      </c>
      <c r="N219">
        <v>99</v>
      </c>
      <c r="O219" t="s">
        <v>20</v>
      </c>
      <c r="P219">
        <f t="shared" si="34"/>
        <v>196.5</v>
      </c>
      <c r="Q219">
        <f t="shared" si="35"/>
        <v>1.5</v>
      </c>
      <c r="R219" t="str">
        <f t="shared" si="36"/>
        <v>Pat/Tucker</v>
      </c>
      <c r="S219" t="str">
        <f t="shared" si="37"/>
        <v>Brian/Travis</v>
      </c>
      <c r="T219">
        <f t="shared" si="38"/>
        <v>99</v>
      </c>
      <c r="U219">
        <f t="shared" si="39"/>
        <v>97.5</v>
      </c>
    </row>
    <row r="220" spans="1:21" x14ac:dyDescent="0.3">
      <c r="A220">
        <v>219</v>
      </c>
      <c r="B220" t="str">
        <f>H220&amp;R220&amp;I220</f>
        <v>2016Eric/Blake5</v>
      </c>
      <c r="C220" t="str">
        <f>H220&amp;S220&amp;I220</f>
        <v>2016Walker/Cory5</v>
      </c>
      <c r="D220">
        <f t="shared" si="30"/>
        <v>780</v>
      </c>
      <c r="E220">
        <f t="shared" si="31"/>
        <v>149</v>
      </c>
      <c r="F220">
        <f t="shared" si="32"/>
        <v>321</v>
      </c>
      <c r="G220">
        <f t="shared" si="33"/>
        <v>63</v>
      </c>
      <c r="H220">
        <v>2016</v>
      </c>
      <c r="I220">
        <v>5</v>
      </c>
      <c r="J220">
        <v>23</v>
      </c>
      <c r="K220" t="s">
        <v>36</v>
      </c>
      <c r="L220">
        <v>121.5</v>
      </c>
      <c r="M220" t="s">
        <v>34</v>
      </c>
      <c r="N220">
        <v>126</v>
      </c>
      <c r="O220" t="s">
        <v>20</v>
      </c>
      <c r="P220">
        <f t="shared" si="34"/>
        <v>247.5</v>
      </c>
      <c r="Q220">
        <f t="shared" si="35"/>
        <v>4.5</v>
      </c>
      <c r="R220" t="str">
        <f t="shared" si="36"/>
        <v>Eric/Blake</v>
      </c>
      <c r="S220" t="str">
        <f t="shared" si="37"/>
        <v>Walker/Cory</v>
      </c>
      <c r="T220">
        <f t="shared" si="38"/>
        <v>126</v>
      </c>
      <c r="U220">
        <f t="shared" si="39"/>
        <v>121.5</v>
      </c>
    </row>
    <row r="221" spans="1:21" x14ac:dyDescent="0.3">
      <c r="A221">
        <v>220</v>
      </c>
      <c r="B221" t="str">
        <f>H221&amp;R221&amp;I221</f>
        <v>2016Graham/Michael5</v>
      </c>
      <c r="C221" t="str">
        <f>H221&amp;S221&amp;I221</f>
        <v>2016Drew/Cam5</v>
      </c>
      <c r="D221">
        <f t="shared" si="30"/>
        <v>428</v>
      </c>
      <c r="E221">
        <f t="shared" si="31"/>
        <v>517</v>
      </c>
      <c r="F221">
        <f t="shared" si="32"/>
        <v>523</v>
      </c>
      <c r="G221">
        <f t="shared" si="33"/>
        <v>475</v>
      </c>
      <c r="H221">
        <v>2016</v>
      </c>
      <c r="I221">
        <v>5</v>
      </c>
      <c r="J221">
        <v>24</v>
      </c>
      <c r="K221" t="s">
        <v>29</v>
      </c>
      <c r="L221">
        <v>113.5</v>
      </c>
      <c r="M221" t="s">
        <v>37</v>
      </c>
      <c r="N221">
        <v>91.5</v>
      </c>
      <c r="O221" t="s">
        <v>20</v>
      </c>
      <c r="P221">
        <f t="shared" si="34"/>
        <v>205</v>
      </c>
      <c r="Q221">
        <f t="shared" si="35"/>
        <v>22</v>
      </c>
      <c r="R221" t="str">
        <f t="shared" si="36"/>
        <v>Graham/Michael</v>
      </c>
      <c r="S221" t="str">
        <f t="shared" si="37"/>
        <v>Drew/Cam</v>
      </c>
      <c r="T221">
        <f t="shared" si="38"/>
        <v>113.5</v>
      </c>
      <c r="U221">
        <f t="shared" si="39"/>
        <v>91.5</v>
      </c>
    </row>
    <row r="222" spans="1:21" x14ac:dyDescent="0.3">
      <c r="A222">
        <v>221</v>
      </c>
      <c r="B222" t="str">
        <f>H222&amp;R222&amp;I222</f>
        <v>2016Eric/Blake6</v>
      </c>
      <c r="C222" t="str">
        <f>H222&amp;S222&amp;I222</f>
        <v>2016Pat/Tucker6</v>
      </c>
      <c r="D222">
        <f t="shared" si="30"/>
        <v>780</v>
      </c>
      <c r="E222">
        <f t="shared" si="31"/>
        <v>578</v>
      </c>
      <c r="F222">
        <f t="shared" si="32"/>
        <v>695</v>
      </c>
      <c r="G222">
        <f t="shared" si="33"/>
        <v>381</v>
      </c>
      <c r="H222">
        <v>2016</v>
      </c>
      <c r="I222">
        <v>6</v>
      </c>
      <c r="J222">
        <v>25</v>
      </c>
      <c r="K222" t="s">
        <v>31</v>
      </c>
      <c r="L222">
        <v>97</v>
      </c>
      <c r="M222" t="s">
        <v>34</v>
      </c>
      <c r="N222">
        <v>101.5</v>
      </c>
      <c r="O222" t="s">
        <v>20</v>
      </c>
      <c r="P222">
        <f t="shared" si="34"/>
        <v>198.5</v>
      </c>
      <c r="Q222">
        <f t="shared" si="35"/>
        <v>4.5</v>
      </c>
      <c r="R222" t="str">
        <f t="shared" si="36"/>
        <v>Eric/Blake</v>
      </c>
      <c r="S222" t="str">
        <f t="shared" si="37"/>
        <v>Pat/Tucker</v>
      </c>
      <c r="T222">
        <f t="shared" si="38"/>
        <v>101.5</v>
      </c>
      <c r="U222">
        <f t="shared" si="39"/>
        <v>97</v>
      </c>
    </row>
    <row r="223" spans="1:21" x14ac:dyDescent="0.3">
      <c r="A223">
        <v>222</v>
      </c>
      <c r="B223" t="str">
        <f>H223&amp;R223&amp;I223</f>
        <v>2016Walker/Cory6</v>
      </c>
      <c r="C223" t="str">
        <f>H223&amp;S223&amp;I223</f>
        <v>2016Drew/Cam6</v>
      </c>
      <c r="D223">
        <f t="shared" si="30"/>
        <v>337</v>
      </c>
      <c r="E223">
        <f t="shared" si="31"/>
        <v>523</v>
      </c>
      <c r="F223">
        <f t="shared" si="32"/>
        <v>490</v>
      </c>
      <c r="G223">
        <f t="shared" si="33"/>
        <v>534</v>
      </c>
      <c r="H223">
        <v>2016</v>
      </c>
      <c r="I223">
        <v>6</v>
      </c>
      <c r="J223">
        <v>26</v>
      </c>
      <c r="K223" t="s">
        <v>37</v>
      </c>
      <c r="L223">
        <v>88.5</v>
      </c>
      <c r="M223" t="s">
        <v>36</v>
      </c>
      <c r="N223">
        <v>116</v>
      </c>
      <c r="O223" t="s">
        <v>20</v>
      </c>
      <c r="P223">
        <f t="shared" si="34"/>
        <v>204.5</v>
      </c>
      <c r="Q223">
        <f t="shared" si="35"/>
        <v>27.5</v>
      </c>
      <c r="R223" t="str">
        <f t="shared" si="36"/>
        <v>Walker/Cory</v>
      </c>
      <c r="S223" t="str">
        <f t="shared" si="37"/>
        <v>Drew/Cam</v>
      </c>
      <c r="T223">
        <f t="shared" si="38"/>
        <v>116</v>
      </c>
      <c r="U223">
        <f t="shared" si="39"/>
        <v>88.5</v>
      </c>
    </row>
    <row r="224" spans="1:21" x14ac:dyDescent="0.3">
      <c r="A224">
        <v>223</v>
      </c>
      <c r="B224" t="str">
        <f>H224&amp;R224&amp;I224</f>
        <v>2016Graham/Michael6</v>
      </c>
      <c r="C224" t="str">
        <f>H224&amp;S224&amp;I224</f>
        <v>2016Dave/Nolan6</v>
      </c>
      <c r="D224">
        <f t="shared" si="30"/>
        <v>192</v>
      </c>
      <c r="E224">
        <f t="shared" si="31"/>
        <v>15</v>
      </c>
      <c r="F224">
        <f t="shared" si="32"/>
        <v>26</v>
      </c>
      <c r="G224">
        <f t="shared" si="33"/>
        <v>54</v>
      </c>
      <c r="H224">
        <v>2016</v>
      </c>
      <c r="I224">
        <v>6</v>
      </c>
      <c r="J224">
        <v>27</v>
      </c>
      <c r="K224" t="s">
        <v>29</v>
      </c>
      <c r="L224">
        <v>163.5</v>
      </c>
      <c r="M224" t="s">
        <v>30</v>
      </c>
      <c r="N224">
        <v>123.5</v>
      </c>
      <c r="O224" t="s">
        <v>20</v>
      </c>
      <c r="P224">
        <f t="shared" si="34"/>
        <v>287</v>
      </c>
      <c r="Q224">
        <f t="shared" si="35"/>
        <v>40</v>
      </c>
      <c r="R224" t="str">
        <f t="shared" si="36"/>
        <v>Graham/Michael</v>
      </c>
      <c r="S224" t="str">
        <f t="shared" si="37"/>
        <v>Dave/Nolan</v>
      </c>
      <c r="T224">
        <f t="shared" si="38"/>
        <v>163.5</v>
      </c>
      <c r="U224">
        <f t="shared" si="39"/>
        <v>123.5</v>
      </c>
    </row>
    <row r="225" spans="1:21" x14ac:dyDescent="0.3">
      <c r="A225">
        <v>224</v>
      </c>
      <c r="B225" t="str">
        <f>H225&amp;R225&amp;I225</f>
        <v>2016David/Marshall6</v>
      </c>
      <c r="C225" t="str">
        <f>H225&amp;S225&amp;I225</f>
        <v>2016Brian/Travis6</v>
      </c>
      <c r="D225">
        <f t="shared" si="30"/>
        <v>476</v>
      </c>
      <c r="E225">
        <f t="shared" si="31"/>
        <v>819</v>
      </c>
      <c r="F225">
        <f t="shared" si="32"/>
        <v>819</v>
      </c>
      <c r="G225">
        <f t="shared" si="33"/>
        <v>784</v>
      </c>
      <c r="H225">
        <v>2016</v>
      </c>
      <c r="I225">
        <v>6</v>
      </c>
      <c r="J225">
        <v>28</v>
      </c>
      <c r="K225" t="s">
        <v>32</v>
      </c>
      <c r="L225">
        <v>71</v>
      </c>
      <c r="M225" t="s">
        <v>38</v>
      </c>
      <c r="N225">
        <v>90</v>
      </c>
      <c r="O225" t="s">
        <v>20</v>
      </c>
      <c r="P225">
        <f t="shared" si="34"/>
        <v>161</v>
      </c>
      <c r="Q225">
        <f t="shared" si="35"/>
        <v>19</v>
      </c>
      <c r="R225" t="str">
        <f t="shared" si="36"/>
        <v>David/Marshall</v>
      </c>
      <c r="S225" t="str">
        <f t="shared" si="37"/>
        <v>Brian/Travis</v>
      </c>
      <c r="T225">
        <f t="shared" si="38"/>
        <v>90</v>
      </c>
      <c r="U225">
        <f t="shared" si="39"/>
        <v>71</v>
      </c>
    </row>
    <row r="226" spans="1:21" x14ac:dyDescent="0.3">
      <c r="A226">
        <v>225</v>
      </c>
      <c r="B226" t="str">
        <f>H226&amp;R226&amp;I226</f>
        <v>2016Trent/Colin6</v>
      </c>
      <c r="C226" t="str">
        <f>H226&amp;S226&amp;I226</f>
        <v>2016Clay/Ryan6</v>
      </c>
      <c r="D226">
        <f t="shared" si="30"/>
        <v>171</v>
      </c>
      <c r="E226">
        <f t="shared" si="31"/>
        <v>749</v>
      </c>
      <c r="F226">
        <f t="shared" si="32"/>
        <v>588</v>
      </c>
      <c r="G226">
        <f t="shared" si="33"/>
        <v>807</v>
      </c>
      <c r="H226">
        <v>2016</v>
      </c>
      <c r="I226">
        <v>6</v>
      </c>
      <c r="J226">
        <v>29</v>
      </c>
      <c r="K226" t="s">
        <v>33</v>
      </c>
      <c r="L226">
        <v>110</v>
      </c>
      <c r="M226" t="s">
        <v>35</v>
      </c>
      <c r="N226">
        <v>68</v>
      </c>
      <c r="O226" t="s">
        <v>20</v>
      </c>
      <c r="P226">
        <f t="shared" si="34"/>
        <v>178</v>
      </c>
      <c r="Q226">
        <f t="shared" si="35"/>
        <v>42</v>
      </c>
      <c r="R226" t="str">
        <f t="shared" si="36"/>
        <v>Trent/Colin</v>
      </c>
      <c r="S226" t="str">
        <f t="shared" si="37"/>
        <v>Clay/Ryan</v>
      </c>
      <c r="T226">
        <f t="shared" si="38"/>
        <v>110</v>
      </c>
      <c r="U226">
        <f t="shared" si="39"/>
        <v>68</v>
      </c>
    </row>
    <row r="227" spans="1:21" x14ac:dyDescent="0.3">
      <c r="A227">
        <v>226</v>
      </c>
      <c r="B227" t="str">
        <f>H227&amp;R227&amp;I227</f>
        <v>2016Walker/Cory7</v>
      </c>
      <c r="C227" t="str">
        <f>H227&amp;S227&amp;I227</f>
        <v>2016Pat/Tucker7</v>
      </c>
      <c r="D227">
        <f t="shared" si="30"/>
        <v>770</v>
      </c>
      <c r="E227">
        <f t="shared" si="31"/>
        <v>510</v>
      </c>
      <c r="F227">
        <f t="shared" si="32"/>
        <v>642</v>
      </c>
      <c r="G227">
        <f t="shared" si="33"/>
        <v>315</v>
      </c>
      <c r="H227">
        <v>2016</v>
      </c>
      <c r="I227">
        <v>7</v>
      </c>
      <c r="J227">
        <v>30</v>
      </c>
      <c r="K227" t="s">
        <v>36</v>
      </c>
      <c r="L227">
        <v>105.5</v>
      </c>
      <c r="M227" t="s">
        <v>31</v>
      </c>
      <c r="N227">
        <v>100.5</v>
      </c>
      <c r="O227" t="s">
        <v>20</v>
      </c>
      <c r="P227">
        <f t="shared" si="34"/>
        <v>206</v>
      </c>
      <c r="Q227">
        <f t="shared" si="35"/>
        <v>5</v>
      </c>
      <c r="R227" t="str">
        <f t="shared" si="36"/>
        <v>Walker/Cory</v>
      </c>
      <c r="S227" t="str">
        <f t="shared" si="37"/>
        <v>Pat/Tucker</v>
      </c>
      <c r="T227">
        <f t="shared" si="38"/>
        <v>105.5</v>
      </c>
      <c r="U227">
        <f t="shared" si="39"/>
        <v>100.5</v>
      </c>
    </row>
    <row r="228" spans="1:21" x14ac:dyDescent="0.3">
      <c r="A228">
        <v>227</v>
      </c>
      <c r="B228" t="str">
        <f>H228&amp;R228&amp;I228</f>
        <v>2016Dave/Nolan7</v>
      </c>
      <c r="C228" t="str">
        <f>H228&amp;S228&amp;I228</f>
        <v>2016Drew/Cam7</v>
      </c>
      <c r="D228">
        <f t="shared" si="30"/>
        <v>559</v>
      </c>
      <c r="E228">
        <f t="shared" si="31"/>
        <v>235</v>
      </c>
      <c r="F228">
        <f t="shared" si="32"/>
        <v>335</v>
      </c>
      <c r="G228">
        <f t="shared" si="33"/>
        <v>169</v>
      </c>
      <c r="H228">
        <v>2016</v>
      </c>
      <c r="I228">
        <v>7</v>
      </c>
      <c r="J228">
        <v>31</v>
      </c>
      <c r="K228" t="s">
        <v>30</v>
      </c>
      <c r="L228">
        <v>125</v>
      </c>
      <c r="M228" t="s">
        <v>37</v>
      </c>
      <c r="N228">
        <v>111</v>
      </c>
      <c r="O228" t="s">
        <v>20</v>
      </c>
      <c r="P228">
        <f t="shared" si="34"/>
        <v>236</v>
      </c>
      <c r="Q228">
        <f t="shared" si="35"/>
        <v>14</v>
      </c>
      <c r="R228" t="str">
        <f t="shared" si="36"/>
        <v>Dave/Nolan</v>
      </c>
      <c r="S228" t="str">
        <f t="shared" si="37"/>
        <v>Drew/Cam</v>
      </c>
      <c r="T228">
        <f t="shared" si="38"/>
        <v>125</v>
      </c>
      <c r="U228">
        <f t="shared" si="39"/>
        <v>111</v>
      </c>
    </row>
    <row r="229" spans="1:21" x14ac:dyDescent="0.3">
      <c r="A229">
        <v>228</v>
      </c>
      <c r="B229" t="str">
        <f>H229&amp;R229&amp;I229</f>
        <v>2016Graham/Michael7</v>
      </c>
      <c r="C229" t="str">
        <f>H229&amp;S229&amp;I229</f>
        <v>2016David/Marshall7</v>
      </c>
      <c r="D229">
        <f t="shared" si="30"/>
        <v>402</v>
      </c>
      <c r="E229">
        <f t="shared" si="31"/>
        <v>794</v>
      </c>
      <c r="F229">
        <f t="shared" si="32"/>
        <v>762</v>
      </c>
      <c r="G229">
        <f t="shared" si="33"/>
        <v>774</v>
      </c>
      <c r="H229">
        <v>2016</v>
      </c>
      <c r="I229">
        <v>7</v>
      </c>
      <c r="J229">
        <v>32</v>
      </c>
      <c r="K229" t="s">
        <v>38</v>
      </c>
      <c r="L229">
        <v>72.5</v>
      </c>
      <c r="M229" t="s">
        <v>29</v>
      </c>
      <c r="N229">
        <v>95.5</v>
      </c>
      <c r="O229" t="s">
        <v>20</v>
      </c>
      <c r="P229">
        <f t="shared" si="34"/>
        <v>168</v>
      </c>
      <c r="Q229">
        <f t="shared" si="35"/>
        <v>23</v>
      </c>
      <c r="R229" t="str">
        <f t="shared" si="36"/>
        <v>Graham/Michael</v>
      </c>
      <c r="S229" t="str">
        <f t="shared" si="37"/>
        <v>David/Marshall</v>
      </c>
      <c r="T229">
        <f t="shared" si="38"/>
        <v>95.5</v>
      </c>
      <c r="U229">
        <f t="shared" si="39"/>
        <v>72.5</v>
      </c>
    </row>
    <row r="230" spans="1:21" x14ac:dyDescent="0.3">
      <c r="A230">
        <v>229</v>
      </c>
      <c r="B230" t="str">
        <f>H230&amp;R230&amp;I230</f>
        <v>2016Clay/Ryan7</v>
      </c>
      <c r="C230" t="str">
        <f>H230&amp;S230&amp;I230</f>
        <v>2016Brian/Travis7</v>
      </c>
      <c r="D230">
        <f t="shared" si="30"/>
        <v>720</v>
      </c>
      <c r="E230">
        <f t="shared" si="31"/>
        <v>858</v>
      </c>
      <c r="F230">
        <f t="shared" si="32"/>
        <v>863</v>
      </c>
      <c r="G230">
        <f t="shared" si="33"/>
        <v>804</v>
      </c>
      <c r="H230">
        <v>2016</v>
      </c>
      <c r="I230">
        <v>7</v>
      </c>
      <c r="J230">
        <v>33</v>
      </c>
      <c r="K230" t="s">
        <v>35</v>
      </c>
      <c r="L230">
        <v>76</v>
      </c>
      <c r="M230" t="s">
        <v>32</v>
      </c>
      <c r="N230">
        <v>69</v>
      </c>
      <c r="O230" t="s">
        <v>20</v>
      </c>
      <c r="P230">
        <f t="shared" si="34"/>
        <v>145</v>
      </c>
      <c r="Q230">
        <f t="shared" si="35"/>
        <v>7</v>
      </c>
      <c r="R230" t="str">
        <f t="shared" si="36"/>
        <v>Clay/Ryan</v>
      </c>
      <c r="S230" t="str">
        <f t="shared" si="37"/>
        <v>Brian/Travis</v>
      </c>
      <c r="T230">
        <f t="shared" si="38"/>
        <v>76</v>
      </c>
      <c r="U230">
        <f t="shared" si="39"/>
        <v>69</v>
      </c>
    </row>
    <row r="231" spans="1:21" x14ac:dyDescent="0.3">
      <c r="A231">
        <v>230</v>
      </c>
      <c r="B231" t="str">
        <f>H231&amp;R231&amp;I231</f>
        <v>2016Eric/Blake7</v>
      </c>
      <c r="C231" t="str">
        <f>H231&amp;S231&amp;I231</f>
        <v>2016Trent/Colin7</v>
      </c>
      <c r="D231">
        <f t="shared" si="30"/>
        <v>696</v>
      </c>
      <c r="E231">
        <f t="shared" si="31"/>
        <v>320</v>
      </c>
      <c r="F231">
        <f t="shared" si="32"/>
        <v>476</v>
      </c>
      <c r="G231">
        <f t="shared" si="33"/>
        <v>193</v>
      </c>
      <c r="H231">
        <v>2016</v>
      </c>
      <c r="I231">
        <v>7</v>
      </c>
      <c r="J231">
        <v>34</v>
      </c>
      <c r="K231" t="s">
        <v>34</v>
      </c>
      <c r="L231">
        <v>117</v>
      </c>
      <c r="M231" t="s">
        <v>33</v>
      </c>
      <c r="N231">
        <v>109</v>
      </c>
      <c r="O231" t="s">
        <v>20</v>
      </c>
      <c r="P231">
        <f t="shared" si="34"/>
        <v>226</v>
      </c>
      <c r="Q231">
        <f t="shared" si="35"/>
        <v>8</v>
      </c>
      <c r="R231" t="str">
        <f t="shared" si="36"/>
        <v>Eric/Blake</v>
      </c>
      <c r="S231" t="str">
        <f t="shared" si="37"/>
        <v>Trent/Colin</v>
      </c>
      <c r="T231">
        <f t="shared" si="38"/>
        <v>117</v>
      </c>
      <c r="U231">
        <f t="shared" si="39"/>
        <v>109</v>
      </c>
    </row>
    <row r="232" spans="1:21" x14ac:dyDescent="0.3">
      <c r="A232">
        <v>231</v>
      </c>
      <c r="B232" t="str">
        <f>H232&amp;R232&amp;I232</f>
        <v>2016Dave/Nolan8</v>
      </c>
      <c r="C232" t="str">
        <f>H232&amp;S232&amp;I232</f>
        <v>2016Pat/Tucker8</v>
      </c>
      <c r="D232">
        <f t="shared" si="30"/>
        <v>220</v>
      </c>
      <c r="E232">
        <f t="shared" si="31"/>
        <v>491</v>
      </c>
      <c r="F232">
        <f t="shared" si="32"/>
        <v>388</v>
      </c>
      <c r="G232">
        <f t="shared" si="33"/>
        <v>603</v>
      </c>
      <c r="H232">
        <v>2016</v>
      </c>
      <c r="I232">
        <v>8</v>
      </c>
      <c r="J232">
        <v>35</v>
      </c>
      <c r="K232" t="s">
        <v>31</v>
      </c>
      <c r="L232">
        <v>85.5</v>
      </c>
      <c r="M232" t="s">
        <v>30</v>
      </c>
      <c r="N232">
        <v>122.5</v>
      </c>
      <c r="O232" t="s">
        <v>20</v>
      </c>
      <c r="P232">
        <f t="shared" si="34"/>
        <v>208</v>
      </c>
      <c r="Q232">
        <f t="shared" si="35"/>
        <v>37</v>
      </c>
      <c r="R232" t="str">
        <f t="shared" si="36"/>
        <v>Dave/Nolan</v>
      </c>
      <c r="S232" t="str">
        <f t="shared" si="37"/>
        <v>Pat/Tucker</v>
      </c>
      <c r="T232">
        <f t="shared" si="38"/>
        <v>122.5</v>
      </c>
      <c r="U232">
        <f t="shared" si="39"/>
        <v>85.5</v>
      </c>
    </row>
    <row r="233" spans="1:21" x14ac:dyDescent="0.3">
      <c r="A233">
        <v>232</v>
      </c>
      <c r="B233" t="str">
        <f>H233&amp;R233&amp;I233</f>
        <v>2016Drew/Cam8</v>
      </c>
      <c r="C233" t="str">
        <f>H233&amp;S233&amp;I233</f>
        <v>2016David/Marshall8</v>
      </c>
      <c r="D233">
        <f t="shared" si="30"/>
        <v>836</v>
      </c>
      <c r="E233">
        <f t="shared" si="31"/>
        <v>839</v>
      </c>
      <c r="F233">
        <f t="shared" si="32"/>
        <v>861</v>
      </c>
      <c r="G233">
        <f t="shared" si="33"/>
        <v>724</v>
      </c>
      <c r="H233">
        <v>2016</v>
      </c>
      <c r="I233">
        <v>8</v>
      </c>
      <c r="J233">
        <v>36</v>
      </c>
      <c r="K233" t="s">
        <v>37</v>
      </c>
      <c r="L233">
        <v>77</v>
      </c>
      <c r="M233" t="s">
        <v>38</v>
      </c>
      <c r="N233">
        <v>75.5</v>
      </c>
      <c r="O233" t="s">
        <v>20</v>
      </c>
      <c r="P233">
        <f t="shared" si="34"/>
        <v>152.5</v>
      </c>
      <c r="Q233">
        <f t="shared" si="35"/>
        <v>1.5</v>
      </c>
      <c r="R233" t="str">
        <f t="shared" si="36"/>
        <v>Drew/Cam</v>
      </c>
      <c r="S233" t="str">
        <f t="shared" si="37"/>
        <v>David/Marshall</v>
      </c>
      <c r="T233">
        <f t="shared" si="38"/>
        <v>77</v>
      </c>
      <c r="U233">
        <f t="shared" si="39"/>
        <v>75.5</v>
      </c>
    </row>
    <row r="234" spans="1:21" x14ac:dyDescent="0.3">
      <c r="A234">
        <v>233</v>
      </c>
      <c r="B234" t="str">
        <f>H234&amp;R234&amp;I234</f>
        <v>2016Clay/Ryan8</v>
      </c>
      <c r="C234" t="str">
        <f>H234&amp;S234&amp;I234</f>
        <v>2016Graham/Michael8</v>
      </c>
      <c r="D234">
        <f t="shared" si="30"/>
        <v>313</v>
      </c>
      <c r="E234">
        <f t="shared" si="31"/>
        <v>394</v>
      </c>
      <c r="F234">
        <f t="shared" si="32"/>
        <v>363</v>
      </c>
      <c r="G234">
        <f t="shared" si="33"/>
        <v>421</v>
      </c>
      <c r="H234">
        <v>2016</v>
      </c>
      <c r="I234">
        <v>8</v>
      </c>
      <c r="J234">
        <v>37</v>
      </c>
      <c r="K234" t="s">
        <v>29</v>
      </c>
      <c r="L234">
        <v>94.5</v>
      </c>
      <c r="M234" t="s">
        <v>35</v>
      </c>
      <c r="N234">
        <v>123.5</v>
      </c>
      <c r="O234" t="s">
        <v>20</v>
      </c>
      <c r="P234">
        <f t="shared" si="34"/>
        <v>218</v>
      </c>
      <c r="Q234">
        <f t="shared" si="35"/>
        <v>29</v>
      </c>
      <c r="R234" t="str">
        <f t="shared" si="36"/>
        <v>Clay/Ryan</v>
      </c>
      <c r="S234" t="str">
        <f t="shared" si="37"/>
        <v>Graham/Michael</v>
      </c>
      <c r="T234">
        <f t="shared" si="38"/>
        <v>123.5</v>
      </c>
      <c r="U234">
        <f t="shared" si="39"/>
        <v>94.5</v>
      </c>
    </row>
    <row r="235" spans="1:21" x14ac:dyDescent="0.3">
      <c r="A235">
        <v>234</v>
      </c>
      <c r="B235" t="str">
        <f>H235&amp;R235&amp;I235</f>
        <v>2016Eric/Blake8</v>
      </c>
      <c r="C235" t="str">
        <f>H235&amp;S235&amp;I235</f>
        <v>2016Brian/Travis8</v>
      </c>
      <c r="D235">
        <f t="shared" si="30"/>
        <v>142</v>
      </c>
      <c r="E235">
        <f t="shared" si="31"/>
        <v>482</v>
      </c>
      <c r="F235">
        <f t="shared" si="32"/>
        <v>312</v>
      </c>
      <c r="G235">
        <f t="shared" si="33"/>
        <v>655</v>
      </c>
      <c r="H235">
        <v>2016</v>
      </c>
      <c r="I235">
        <v>8</v>
      </c>
      <c r="J235">
        <v>38</v>
      </c>
      <c r="K235" t="s">
        <v>32</v>
      </c>
      <c r="L235">
        <v>82</v>
      </c>
      <c r="M235" t="s">
        <v>34</v>
      </c>
      <c r="N235">
        <v>126.5</v>
      </c>
      <c r="O235" t="s">
        <v>20</v>
      </c>
      <c r="P235">
        <f t="shared" si="34"/>
        <v>208.5</v>
      </c>
      <c r="Q235">
        <f t="shared" si="35"/>
        <v>44.5</v>
      </c>
      <c r="R235" t="str">
        <f t="shared" si="36"/>
        <v>Eric/Blake</v>
      </c>
      <c r="S235" t="str">
        <f t="shared" si="37"/>
        <v>Brian/Travis</v>
      </c>
      <c r="T235">
        <f t="shared" si="38"/>
        <v>126.5</v>
      </c>
      <c r="U235">
        <f t="shared" si="39"/>
        <v>82</v>
      </c>
    </row>
    <row r="236" spans="1:21" x14ac:dyDescent="0.3">
      <c r="A236">
        <v>235</v>
      </c>
      <c r="B236" t="str">
        <f>H236&amp;R236&amp;I236</f>
        <v>2016Trent/Colin8</v>
      </c>
      <c r="C236" t="str">
        <f>H236&amp;S236&amp;I236</f>
        <v>2016Walker/Cory8</v>
      </c>
      <c r="D236">
        <f t="shared" si="30"/>
        <v>220</v>
      </c>
      <c r="E236">
        <f t="shared" si="31"/>
        <v>463</v>
      </c>
      <c r="F236">
        <f t="shared" si="32"/>
        <v>363</v>
      </c>
      <c r="G236">
        <f t="shared" si="33"/>
        <v>587</v>
      </c>
      <c r="H236">
        <v>2016</v>
      </c>
      <c r="I236">
        <v>8</v>
      </c>
      <c r="J236">
        <v>39</v>
      </c>
      <c r="K236" t="s">
        <v>33</v>
      </c>
      <c r="L236">
        <v>123.5</v>
      </c>
      <c r="M236" t="s">
        <v>36</v>
      </c>
      <c r="N236">
        <v>86.5</v>
      </c>
      <c r="O236" t="s">
        <v>20</v>
      </c>
      <c r="P236">
        <f t="shared" si="34"/>
        <v>210</v>
      </c>
      <c r="Q236">
        <f t="shared" si="35"/>
        <v>37</v>
      </c>
      <c r="R236" t="str">
        <f t="shared" si="36"/>
        <v>Trent/Colin</v>
      </c>
      <c r="S236" t="str">
        <f t="shared" si="37"/>
        <v>Walker/Cory</v>
      </c>
      <c r="T236">
        <f t="shared" si="38"/>
        <v>123.5</v>
      </c>
      <c r="U236">
        <f t="shared" si="39"/>
        <v>86.5</v>
      </c>
    </row>
    <row r="237" spans="1:21" x14ac:dyDescent="0.3">
      <c r="A237">
        <v>236</v>
      </c>
      <c r="B237" t="str">
        <f>H237&amp;R237&amp;I237</f>
        <v>2016Pat/Tucker9</v>
      </c>
      <c r="C237" t="str">
        <f>H237&amp;S237&amp;I237</f>
        <v>2016David/Marshall9</v>
      </c>
      <c r="D237">
        <f t="shared" si="30"/>
        <v>130</v>
      </c>
      <c r="E237">
        <f t="shared" si="31"/>
        <v>48</v>
      </c>
      <c r="F237">
        <f t="shared" si="32"/>
        <v>37</v>
      </c>
      <c r="G237">
        <f t="shared" si="33"/>
        <v>148</v>
      </c>
      <c r="H237">
        <v>2016</v>
      </c>
      <c r="I237">
        <v>9</v>
      </c>
      <c r="J237">
        <v>40</v>
      </c>
      <c r="K237" t="s">
        <v>38</v>
      </c>
      <c r="L237">
        <v>113</v>
      </c>
      <c r="M237" t="s">
        <v>31</v>
      </c>
      <c r="N237">
        <v>159</v>
      </c>
      <c r="O237" t="s">
        <v>20</v>
      </c>
      <c r="P237">
        <f t="shared" si="34"/>
        <v>272</v>
      </c>
      <c r="Q237">
        <f t="shared" si="35"/>
        <v>46</v>
      </c>
      <c r="R237" t="str">
        <f t="shared" si="36"/>
        <v>Pat/Tucker</v>
      </c>
      <c r="S237" t="str">
        <f t="shared" si="37"/>
        <v>David/Marshall</v>
      </c>
      <c r="T237">
        <f t="shared" si="38"/>
        <v>159</v>
      </c>
      <c r="U237">
        <f t="shared" si="39"/>
        <v>113</v>
      </c>
    </row>
    <row r="238" spans="1:21" x14ac:dyDescent="0.3">
      <c r="A238">
        <v>237</v>
      </c>
      <c r="B238" t="str">
        <f>H238&amp;R238&amp;I238</f>
        <v>2016Dave/Nolan9</v>
      </c>
      <c r="C238" t="str">
        <f>H238&amp;S238&amp;I238</f>
        <v>2016Clay/Ryan9</v>
      </c>
      <c r="D238">
        <f t="shared" si="30"/>
        <v>410</v>
      </c>
      <c r="E238">
        <f t="shared" si="31"/>
        <v>578</v>
      </c>
      <c r="F238">
        <f t="shared" si="32"/>
        <v>580</v>
      </c>
      <c r="G238">
        <f t="shared" si="33"/>
        <v>544</v>
      </c>
      <c r="H238">
        <v>2016</v>
      </c>
      <c r="I238">
        <v>9</v>
      </c>
      <c r="J238">
        <v>41</v>
      </c>
      <c r="K238" t="s">
        <v>35</v>
      </c>
      <c r="L238">
        <v>88</v>
      </c>
      <c r="M238" t="s">
        <v>30</v>
      </c>
      <c r="N238">
        <v>110.5</v>
      </c>
      <c r="O238" t="s">
        <v>20</v>
      </c>
      <c r="P238">
        <f t="shared" si="34"/>
        <v>198.5</v>
      </c>
      <c r="Q238">
        <f t="shared" si="35"/>
        <v>22.5</v>
      </c>
      <c r="R238" t="str">
        <f t="shared" si="36"/>
        <v>Dave/Nolan</v>
      </c>
      <c r="S238" t="str">
        <f t="shared" si="37"/>
        <v>Clay/Ryan</v>
      </c>
      <c r="T238">
        <f t="shared" si="38"/>
        <v>110.5</v>
      </c>
      <c r="U238">
        <f t="shared" si="39"/>
        <v>88</v>
      </c>
    </row>
    <row r="239" spans="1:21" x14ac:dyDescent="0.3">
      <c r="A239">
        <v>238</v>
      </c>
      <c r="B239" t="str">
        <f>H239&amp;R239&amp;I239</f>
        <v>2016Trent/Colin9</v>
      </c>
      <c r="C239" t="str">
        <f>H239&amp;S239&amp;I239</f>
        <v>2016Drew/Cam9</v>
      </c>
      <c r="D239">
        <f t="shared" si="30"/>
        <v>537</v>
      </c>
      <c r="E239">
        <f t="shared" si="31"/>
        <v>346</v>
      </c>
      <c r="F239">
        <f t="shared" si="32"/>
        <v>435</v>
      </c>
      <c r="G239">
        <f t="shared" si="33"/>
        <v>250</v>
      </c>
      <c r="H239">
        <v>2016</v>
      </c>
      <c r="I239">
        <v>9</v>
      </c>
      <c r="J239">
        <v>42</v>
      </c>
      <c r="K239" t="s">
        <v>37</v>
      </c>
      <c r="L239">
        <v>104</v>
      </c>
      <c r="M239" t="s">
        <v>33</v>
      </c>
      <c r="N239">
        <v>119.5</v>
      </c>
      <c r="O239" t="s">
        <v>20</v>
      </c>
      <c r="P239">
        <f t="shared" si="34"/>
        <v>223.5</v>
      </c>
      <c r="Q239">
        <f t="shared" si="35"/>
        <v>15.5</v>
      </c>
      <c r="R239" t="str">
        <f t="shared" si="36"/>
        <v>Trent/Colin</v>
      </c>
      <c r="S239" t="str">
        <f t="shared" si="37"/>
        <v>Drew/Cam</v>
      </c>
      <c r="T239">
        <f t="shared" si="38"/>
        <v>119.5</v>
      </c>
      <c r="U239">
        <f t="shared" si="39"/>
        <v>104</v>
      </c>
    </row>
    <row r="240" spans="1:21" x14ac:dyDescent="0.3">
      <c r="A240">
        <v>239</v>
      </c>
      <c r="B240" t="str">
        <f>H240&amp;R240&amp;I240</f>
        <v>2016Eric/Blake9</v>
      </c>
      <c r="C240" t="str">
        <f>H240&amp;S240&amp;I240</f>
        <v>2016Walker/Cory9</v>
      </c>
      <c r="D240">
        <f t="shared" si="30"/>
        <v>759</v>
      </c>
      <c r="E240">
        <f t="shared" si="31"/>
        <v>839</v>
      </c>
      <c r="F240">
        <f t="shared" si="32"/>
        <v>857</v>
      </c>
      <c r="G240">
        <f t="shared" si="33"/>
        <v>756</v>
      </c>
      <c r="H240">
        <v>2016</v>
      </c>
      <c r="I240">
        <v>9</v>
      </c>
      <c r="J240">
        <v>43</v>
      </c>
      <c r="K240" t="s">
        <v>34</v>
      </c>
      <c r="L240">
        <v>79</v>
      </c>
      <c r="M240" t="s">
        <v>36</v>
      </c>
      <c r="N240">
        <v>73.5</v>
      </c>
      <c r="O240" t="s">
        <v>20</v>
      </c>
      <c r="P240">
        <f t="shared" si="34"/>
        <v>152.5</v>
      </c>
      <c r="Q240">
        <f t="shared" si="35"/>
        <v>5.5</v>
      </c>
      <c r="R240" t="str">
        <f t="shared" si="36"/>
        <v>Eric/Blake</v>
      </c>
      <c r="S240" t="str">
        <f t="shared" si="37"/>
        <v>Walker/Cory</v>
      </c>
      <c r="T240">
        <f t="shared" si="38"/>
        <v>79</v>
      </c>
      <c r="U240">
        <f t="shared" si="39"/>
        <v>73.5</v>
      </c>
    </row>
    <row r="241" spans="1:21" x14ac:dyDescent="0.3">
      <c r="A241">
        <v>240</v>
      </c>
      <c r="B241" t="str">
        <f>H241&amp;R241&amp;I241</f>
        <v>2016Graham/Michael9</v>
      </c>
      <c r="C241" t="str">
        <f>H241&amp;S241&amp;I241</f>
        <v>2016Brian/Travis9</v>
      </c>
      <c r="D241">
        <f t="shared" si="30"/>
        <v>640</v>
      </c>
      <c r="E241">
        <f t="shared" si="31"/>
        <v>682</v>
      </c>
      <c r="F241">
        <f t="shared" si="32"/>
        <v>724</v>
      </c>
      <c r="G241">
        <f t="shared" si="33"/>
        <v>544</v>
      </c>
      <c r="H241">
        <v>2016</v>
      </c>
      <c r="I241">
        <v>9</v>
      </c>
      <c r="J241">
        <v>44</v>
      </c>
      <c r="K241" t="s">
        <v>29</v>
      </c>
      <c r="L241">
        <v>98.5</v>
      </c>
      <c r="M241" t="s">
        <v>32</v>
      </c>
      <c r="N241">
        <v>88</v>
      </c>
      <c r="O241" t="s">
        <v>20</v>
      </c>
      <c r="P241">
        <f t="shared" si="34"/>
        <v>186.5</v>
      </c>
      <c r="Q241">
        <f t="shared" si="35"/>
        <v>10.5</v>
      </c>
      <c r="R241" t="str">
        <f t="shared" si="36"/>
        <v>Graham/Michael</v>
      </c>
      <c r="S241" t="str">
        <f t="shared" si="37"/>
        <v>Brian/Travis</v>
      </c>
      <c r="T241">
        <f t="shared" si="38"/>
        <v>98.5</v>
      </c>
      <c r="U241">
        <f t="shared" si="39"/>
        <v>88</v>
      </c>
    </row>
    <row r="242" spans="1:21" x14ac:dyDescent="0.3">
      <c r="A242">
        <v>241</v>
      </c>
      <c r="B242" t="str">
        <f>H242&amp;R242&amp;I242</f>
        <v>2016Drew/Cam10</v>
      </c>
      <c r="C242" t="str">
        <f>H242&amp;S242&amp;I242</f>
        <v>2016Clay/Ryan10</v>
      </c>
      <c r="D242">
        <f t="shared" si="30"/>
        <v>537</v>
      </c>
      <c r="E242">
        <f t="shared" si="31"/>
        <v>405</v>
      </c>
      <c r="F242">
        <f t="shared" si="32"/>
        <v>490</v>
      </c>
      <c r="G242">
        <f t="shared" si="33"/>
        <v>315</v>
      </c>
      <c r="H242">
        <v>2016</v>
      </c>
      <c r="I242">
        <v>10</v>
      </c>
      <c r="J242">
        <v>45</v>
      </c>
      <c r="K242" t="s">
        <v>35</v>
      </c>
      <c r="L242">
        <v>100.5</v>
      </c>
      <c r="M242" t="s">
        <v>37</v>
      </c>
      <c r="N242">
        <v>116</v>
      </c>
      <c r="O242" t="s">
        <v>20</v>
      </c>
      <c r="P242">
        <f t="shared" si="34"/>
        <v>216.5</v>
      </c>
      <c r="Q242">
        <f t="shared" si="35"/>
        <v>15.5</v>
      </c>
      <c r="R242" t="str">
        <f t="shared" si="36"/>
        <v>Drew/Cam</v>
      </c>
      <c r="S242" t="str">
        <f t="shared" si="37"/>
        <v>Clay/Ryan</v>
      </c>
      <c r="T242">
        <f t="shared" si="38"/>
        <v>116</v>
      </c>
      <c r="U242">
        <f t="shared" si="39"/>
        <v>100.5</v>
      </c>
    </row>
    <row r="243" spans="1:21" x14ac:dyDescent="0.3">
      <c r="A243">
        <v>242</v>
      </c>
      <c r="B243" t="str">
        <f>H243&amp;R243&amp;I243</f>
        <v>2016David/Marshall10</v>
      </c>
      <c r="C243" t="str">
        <f>H243&amp;S243&amp;I243</f>
        <v>2016Eric/Blake10</v>
      </c>
      <c r="D243">
        <f t="shared" si="30"/>
        <v>470</v>
      </c>
      <c r="E243">
        <f t="shared" si="31"/>
        <v>789</v>
      </c>
      <c r="F243">
        <f t="shared" si="32"/>
        <v>773</v>
      </c>
      <c r="G243">
        <f t="shared" si="33"/>
        <v>730</v>
      </c>
      <c r="H243">
        <v>2016</v>
      </c>
      <c r="I243">
        <v>10</v>
      </c>
      <c r="J243">
        <v>46</v>
      </c>
      <c r="K243" t="s">
        <v>34</v>
      </c>
      <c r="L243">
        <v>75</v>
      </c>
      <c r="M243" t="s">
        <v>38</v>
      </c>
      <c r="N243">
        <v>94.5</v>
      </c>
      <c r="O243" t="s">
        <v>20</v>
      </c>
      <c r="P243">
        <f t="shared" si="34"/>
        <v>169.5</v>
      </c>
      <c r="Q243">
        <f t="shared" si="35"/>
        <v>19.5</v>
      </c>
      <c r="R243" t="str">
        <f t="shared" si="36"/>
        <v>David/Marshall</v>
      </c>
      <c r="S243" t="str">
        <f t="shared" si="37"/>
        <v>Eric/Blake</v>
      </c>
      <c r="T243">
        <f t="shared" si="38"/>
        <v>94.5</v>
      </c>
      <c r="U243">
        <f t="shared" si="39"/>
        <v>75</v>
      </c>
    </row>
    <row r="244" spans="1:21" x14ac:dyDescent="0.3">
      <c r="A244">
        <v>243</v>
      </c>
      <c r="B244" t="str">
        <f>H244&amp;R244&amp;I244</f>
        <v>2016Pat/Tucker10</v>
      </c>
      <c r="C244" t="str">
        <f>H244&amp;S244&amp;I244</f>
        <v>2016Graham/Michael10</v>
      </c>
      <c r="D244">
        <f t="shared" si="30"/>
        <v>438</v>
      </c>
      <c r="E244">
        <f t="shared" si="31"/>
        <v>446</v>
      </c>
      <c r="F244">
        <f t="shared" si="32"/>
        <v>485</v>
      </c>
      <c r="G244">
        <f t="shared" si="33"/>
        <v>418</v>
      </c>
      <c r="H244">
        <v>2016</v>
      </c>
      <c r="I244">
        <v>10</v>
      </c>
      <c r="J244">
        <v>47</v>
      </c>
      <c r="K244" t="s">
        <v>31</v>
      </c>
      <c r="L244">
        <v>116.5</v>
      </c>
      <c r="M244" t="s">
        <v>29</v>
      </c>
      <c r="N244">
        <v>95</v>
      </c>
      <c r="O244" t="s">
        <v>20</v>
      </c>
      <c r="P244">
        <f t="shared" si="34"/>
        <v>211.5</v>
      </c>
      <c r="Q244">
        <f t="shared" si="35"/>
        <v>21.5</v>
      </c>
      <c r="R244" t="str">
        <f t="shared" si="36"/>
        <v>Pat/Tucker</v>
      </c>
      <c r="S244" t="str">
        <f t="shared" si="37"/>
        <v>Graham/Michael</v>
      </c>
      <c r="T244">
        <f t="shared" si="38"/>
        <v>116.5</v>
      </c>
      <c r="U244">
        <f t="shared" si="39"/>
        <v>95</v>
      </c>
    </row>
    <row r="245" spans="1:21" x14ac:dyDescent="0.3">
      <c r="A245">
        <v>244</v>
      </c>
      <c r="B245" t="str">
        <f>H245&amp;R245&amp;I245</f>
        <v>2016Walker/Cory10</v>
      </c>
      <c r="C245" t="str">
        <f>H245&amp;S245&amp;I245</f>
        <v>2016Dave/Nolan10</v>
      </c>
      <c r="D245">
        <f t="shared" si="30"/>
        <v>465</v>
      </c>
      <c r="E245">
        <f t="shared" si="31"/>
        <v>541</v>
      </c>
      <c r="F245">
        <f t="shared" si="32"/>
        <v>563</v>
      </c>
      <c r="G245">
        <f t="shared" si="33"/>
        <v>475</v>
      </c>
      <c r="H245">
        <v>2016</v>
      </c>
      <c r="I245">
        <v>10</v>
      </c>
      <c r="J245">
        <v>48</v>
      </c>
      <c r="K245" t="s">
        <v>36</v>
      </c>
      <c r="L245">
        <v>111.5</v>
      </c>
      <c r="M245" t="s">
        <v>30</v>
      </c>
      <c r="N245">
        <v>91.5</v>
      </c>
      <c r="O245" t="s">
        <v>20</v>
      </c>
      <c r="P245">
        <f t="shared" si="34"/>
        <v>203</v>
      </c>
      <c r="Q245">
        <f t="shared" si="35"/>
        <v>20</v>
      </c>
      <c r="R245" t="str">
        <f t="shared" si="36"/>
        <v>Walker/Cory</v>
      </c>
      <c r="S245" t="str">
        <f t="shared" si="37"/>
        <v>Dave/Nolan</v>
      </c>
      <c r="T245">
        <f t="shared" si="38"/>
        <v>111.5</v>
      </c>
      <c r="U245">
        <f t="shared" si="39"/>
        <v>91.5</v>
      </c>
    </row>
    <row r="246" spans="1:21" x14ac:dyDescent="0.3">
      <c r="A246">
        <v>245</v>
      </c>
      <c r="B246" t="str">
        <f>H246&amp;R246&amp;I246</f>
        <v>2016Trent/Colin10</v>
      </c>
      <c r="C246" t="str">
        <f>H246&amp;S246&amp;I246</f>
        <v>2016Brian/Travis10</v>
      </c>
      <c r="D246">
        <f t="shared" si="30"/>
        <v>505</v>
      </c>
      <c r="E246">
        <f t="shared" si="31"/>
        <v>14</v>
      </c>
      <c r="F246">
        <f t="shared" si="32"/>
        <v>59</v>
      </c>
      <c r="G246">
        <f t="shared" si="33"/>
        <v>15</v>
      </c>
      <c r="H246">
        <v>2016</v>
      </c>
      <c r="I246">
        <v>10</v>
      </c>
      <c r="J246">
        <v>49</v>
      </c>
      <c r="K246" t="s">
        <v>33</v>
      </c>
      <c r="L246">
        <v>152.5</v>
      </c>
      <c r="M246" t="s">
        <v>32</v>
      </c>
      <c r="N246">
        <v>135</v>
      </c>
      <c r="O246" t="s">
        <v>20</v>
      </c>
      <c r="P246">
        <f t="shared" si="34"/>
        <v>287.5</v>
      </c>
      <c r="Q246">
        <f t="shared" si="35"/>
        <v>17.5</v>
      </c>
      <c r="R246" t="str">
        <f t="shared" si="36"/>
        <v>Trent/Colin</v>
      </c>
      <c r="S246" t="str">
        <f t="shared" si="37"/>
        <v>Brian/Travis</v>
      </c>
      <c r="T246">
        <f t="shared" si="38"/>
        <v>152.5</v>
      </c>
      <c r="U246">
        <f t="shared" si="39"/>
        <v>135</v>
      </c>
    </row>
    <row r="247" spans="1:21" x14ac:dyDescent="0.3">
      <c r="A247">
        <v>246</v>
      </c>
      <c r="B247" t="str">
        <f>H247&amp;R247&amp;I247</f>
        <v>2016Eric/Blake11</v>
      </c>
      <c r="C247" t="str">
        <f>H247&amp;S247&amp;I247</f>
        <v>2016Graham/Michael11</v>
      </c>
      <c r="D247">
        <f t="shared" si="30"/>
        <v>410</v>
      </c>
      <c r="E247">
        <f t="shared" si="31"/>
        <v>638</v>
      </c>
      <c r="F247">
        <f t="shared" si="32"/>
        <v>623</v>
      </c>
      <c r="G247">
        <f t="shared" si="33"/>
        <v>624</v>
      </c>
      <c r="H247">
        <v>2016</v>
      </c>
      <c r="I247">
        <v>11</v>
      </c>
      <c r="J247">
        <v>50</v>
      </c>
      <c r="K247" t="s">
        <v>34</v>
      </c>
      <c r="L247">
        <v>107</v>
      </c>
      <c r="M247" t="s">
        <v>29</v>
      </c>
      <c r="N247">
        <v>84.5</v>
      </c>
      <c r="O247" t="s">
        <v>20</v>
      </c>
      <c r="P247">
        <f t="shared" si="34"/>
        <v>191.5</v>
      </c>
      <c r="Q247">
        <f t="shared" si="35"/>
        <v>22.5</v>
      </c>
      <c r="R247" t="str">
        <f t="shared" si="36"/>
        <v>Eric/Blake</v>
      </c>
      <c r="S247" t="str">
        <f t="shared" si="37"/>
        <v>Graham/Michael</v>
      </c>
      <c r="T247">
        <f t="shared" si="38"/>
        <v>107</v>
      </c>
      <c r="U247">
        <f t="shared" si="39"/>
        <v>84.5</v>
      </c>
    </row>
    <row r="248" spans="1:21" x14ac:dyDescent="0.3">
      <c r="A248">
        <v>247</v>
      </c>
      <c r="B248" t="str">
        <f>H248&amp;R248&amp;I248</f>
        <v>2016Clay/Ryan11</v>
      </c>
      <c r="C248" t="str">
        <f>H248&amp;S248&amp;I248</f>
        <v>2016Walker/Cory11</v>
      </c>
      <c r="D248">
        <f t="shared" si="30"/>
        <v>375</v>
      </c>
      <c r="E248">
        <f t="shared" si="31"/>
        <v>294</v>
      </c>
      <c r="F248">
        <f t="shared" si="32"/>
        <v>312</v>
      </c>
      <c r="G248">
        <f t="shared" si="33"/>
        <v>286</v>
      </c>
      <c r="H248">
        <v>2016</v>
      </c>
      <c r="I248">
        <v>11</v>
      </c>
      <c r="J248">
        <v>51</v>
      </c>
      <c r="K248" t="s">
        <v>35</v>
      </c>
      <c r="L248">
        <v>126.5</v>
      </c>
      <c r="M248" t="s">
        <v>36</v>
      </c>
      <c r="N248">
        <v>102</v>
      </c>
      <c r="O248" t="s">
        <v>20</v>
      </c>
      <c r="P248">
        <f t="shared" si="34"/>
        <v>228.5</v>
      </c>
      <c r="Q248">
        <f t="shared" si="35"/>
        <v>24.5</v>
      </c>
      <c r="R248" t="str">
        <f t="shared" si="36"/>
        <v>Clay/Ryan</v>
      </c>
      <c r="S248" t="str">
        <f t="shared" si="37"/>
        <v>Walker/Cory</v>
      </c>
      <c r="T248">
        <f t="shared" si="38"/>
        <v>126.5</v>
      </c>
      <c r="U248">
        <f t="shared" si="39"/>
        <v>102</v>
      </c>
    </row>
    <row r="249" spans="1:21" x14ac:dyDescent="0.3">
      <c r="A249">
        <v>248</v>
      </c>
      <c r="B249" t="str">
        <f>H249&amp;R249&amp;I249</f>
        <v>2016Brian/Travis11</v>
      </c>
      <c r="C249" t="str">
        <f>H249&amp;S249&amp;I249</f>
        <v>2016Drew/Cam11</v>
      </c>
      <c r="D249">
        <f t="shared" si="30"/>
        <v>438</v>
      </c>
      <c r="E249">
        <f t="shared" si="31"/>
        <v>458</v>
      </c>
      <c r="F249">
        <f t="shared" si="32"/>
        <v>490</v>
      </c>
      <c r="G249">
        <f t="shared" si="33"/>
        <v>421</v>
      </c>
      <c r="H249">
        <v>2016</v>
      </c>
      <c r="I249">
        <v>11</v>
      </c>
      <c r="J249">
        <v>52</v>
      </c>
      <c r="K249" t="s">
        <v>32</v>
      </c>
      <c r="L249">
        <v>116</v>
      </c>
      <c r="M249" t="s">
        <v>37</v>
      </c>
      <c r="N249">
        <v>94.5</v>
      </c>
      <c r="O249" t="s">
        <v>20</v>
      </c>
      <c r="P249">
        <f t="shared" si="34"/>
        <v>210.5</v>
      </c>
      <c r="Q249">
        <f t="shared" si="35"/>
        <v>21.5</v>
      </c>
      <c r="R249" t="str">
        <f t="shared" si="36"/>
        <v>Brian/Travis</v>
      </c>
      <c r="S249" t="str">
        <f t="shared" si="37"/>
        <v>Drew/Cam</v>
      </c>
      <c r="T249">
        <f t="shared" si="38"/>
        <v>116</v>
      </c>
      <c r="U249">
        <f t="shared" si="39"/>
        <v>94.5</v>
      </c>
    </row>
    <row r="250" spans="1:21" x14ac:dyDescent="0.3">
      <c r="A250">
        <v>249</v>
      </c>
      <c r="B250" t="str">
        <f>H250&amp;R250&amp;I250</f>
        <v>2016David/Marshall11</v>
      </c>
      <c r="C250" t="str">
        <f>H250&amp;S250&amp;I250</f>
        <v>2016Dave/Nolan11</v>
      </c>
      <c r="D250">
        <f t="shared" si="30"/>
        <v>382</v>
      </c>
      <c r="E250">
        <f t="shared" si="31"/>
        <v>725</v>
      </c>
      <c r="F250">
        <f t="shared" si="32"/>
        <v>685</v>
      </c>
      <c r="G250">
        <f t="shared" si="33"/>
        <v>691</v>
      </c>
      <c r="H250">
        <v>2016</v>
      </c>
      <c r="I250">
        <v>11</v>
      </c>
      <c r="J250">
        <v>53</v>
      </c>
      <c r="K250" t="s">
        <v>38</v>
      </c>
      <c r="L250">
        <v>102.5</v>
      </c>
      <c r="M250" t="s">
        <v>30</v>
      </c>
      <c r="N250">
        <v>78.5</v>
      </c>
      <c r="O250" t="s">
        <v>20</v>
      </c>
      <c r="P250">
        <f t="shared" si="34"/>
        <v>181</v>
      </c>
      <c r="Q250">
        <f t="shared" si="35"/>
        <v>24</v>
      </c>
      <c r="R250" t="str">
        <f t="shared" si="36"/>
        <v>David/Marshall</v>
      </c>
      <c r="S250" t="str">
        <f t="shared" si="37"/>
        <v>Dave/Nolan</v>
      </c>
      <c r="T250">
        <f t="shared" si="38"/>
        <v>102.5</v>
      </c>
      <c r="U250">
        <f t="shared" si="39"/>
        <v>78.5</v>
      </c>
    </row>
    <row r="251" spans="1:21" x14ac:dyDescent="0.3">
      <c r="A251">
        <v>250</v>
      </c>
      <c r="B251" t="str">
        <f>H251&amp;R251&amp;I251</f>
        <v>2016Trent/Colin11</v>
      </c>
      <c r="C251" t="str">
        <f>H251&amp;S251&amp;I251</f>
        <v>2016Pat/Tucker11</v>
      </c>
      <c r="D251">
        <f t="shared" si="30"/>
        <v>849</v>
      </c>
      <c r="E251">
        <f t="shared" si="31"/>
        <v>813</v>
      </c>
      <c r="F251">
        <f t="shared" si="32"/>
        <v>849</v>
      </c>
      <c r="G251">
        <f t="shared" si="33"/>
        <v>678</v>
      </c>
      <c r="H251">
        <v>2016</v>
      </c>
      <c r="I251">
        <v>11</v>
      </c>
      <c r="J251">
        <v>54</v>
      </c>
      <c r="K251" t="s">
        <v>33</v>
      </c>
      <c r="L251">
        <v>81.5</v>
      </c>
      <c r="M251" t="s">
        <v>31</v>
      </c>
      <c r="N251">
        <v>80.5</v>
      </c>
      <c r="O251" t="s">
        <v>20</v>
      </c>
      <c r="P251">
        <f t="shared" si="34"/>
        <v>162</v>
      </c>
      <c r="Q251">
        <f t="shared" si="35"/>
        <v>1</v>
      </c>
      <c r="R251" t="str">
        <f t="shared" si="36"/>
        <v>Trent/Colin</v>
      </c>
      <c r="S251" t="str">
        <f t="shared" si="37"/>
        <v>Pat/Tucker</v>
      </c>
      <c r="T251">
        <f t="shared" si="38"/>
        <v>81.5</v>
      </c>
      <c r="U251">
        <f t="shared" si="39"/>
        <v>80.5</v>
      </c>
    </row>
    <row r="252" spans="1:21" x14ac:dyDescent="0.3">
      <c r="A252">
        <v>251</v>
      </c>
      <c r="B252" t="str">
        <f>H252&amp;R252&amp;I252</f>
        <v>2016Brian/Travis12</v>
      </c>
      <c r="C252" t="str">
        <f>H252&amp;S252&amp;I252</f>
        <v>2016Walker/Cory12</v>
      </c>
      <c r="D252">
        <f t="shared" si="30"/>
        <v>738</v>
      </c>
      <c r="E252">
        <f t="shared" si="31"/>
        <v>719</v>
      </c>
      <c r="F252">
        <f t="shared" si="32"/>
        <v>773</v>
      </c>
      <c r="G252">
        <f t="shared" si="33"/>
        <v>544</v>
      </c>
      <c r="H252">
        <v>2016</v>
      </c>
      <c r="I252">
        <v>12</v>
      </c>
      <c r="J252">
        <v>55</v>
      </c>
      <c r="K252" t="s">
        <v>36</v>
      </c>
      <c r="L252">
        <v>88</v>
      </c>
      <c r="M252" t="s">
        <v>32</v>
      </c>
      <c r="N252">
        <v>94.5</v>
      </c>
      <c r="O252" t="s">
        <v>20</v>
      </c>
      <c r="P252">
        <f t="shared" si="34"/>
        <v>182.5</v>
      </c>
      <c r="Q252">
        <f t="shared" si="35"/>
        <v>6.5</v>
      </c>
      <c r="R252" t="str">
        <f t="shared" si="36"/>
        <v>Brian/Travis</v>
      </c>
      <c r="S252" t="str">
        <f t="shared" si="37"/>
        <v>Walker/Cory</v>
      </c>
      <c r="T252">
        <f t="shared" si="38"/>
        <v>94.5</v>
      </c>
      <c r="U252">
        <f t="shared" si="39"/>
        <v>88</v>
      </c>
    </row>
    <row r="253" spans="1:21" x14ac:dyDescent="0.3">
      <c r="A253">
        <v>252</v>
      </c>
      <c r="B253" t="str">
        <f>H253&amp;R253&amp;I253</f>
        <v>2016Dave/Nolan12</v>
      </c>
      <c r="C253" t="str">
        <f>H253&amp;S253&amp;I253</f>
        <v>2016Eric/Blake12</v>
      </c>
      <c r="D253">
        <f t="shared" si="30"/>
        <v>322</v>
      </c>
      <c r="E253">
        <f t="shared" si="31"/>
        <v>610</v>
      </c>
      <c r="F253">
        <f t="shared" si="32"/>
        <v>563</v>
      </c>
      <c r="G253">
        <f t="shared" si="33"/>
        <v>647</v>
      </c>
      <c r="H253">
        <v>2016</v>
      </c>
      <c r="I253">
        <v>12</v>
      </c>
      <c r="J253">
        <v>56</v>
      </c>
      <c r="K253" t="s">
        <v>30</v>
      </c>
      <c r="L253">
        <v>111.5</v>
      </c>
      <c r="M253" t="s">
        <v>34</v>
      </c>
      <c r="N253">
        <v>83</v>
      </c>
      <c r="O253" t="s">
        <v>20</v>
      </c>
      <c r="P253">
        <f t="shared" si="34"/>
        <v>194.5</v>
      </c>
      <c r="Q253">
        <f t="shared" si="35"/>
        <v>28.5</v>
      </c>
      <c r="R253" t="str">
        <f t="shared" si="36"/>
        <v>Dave/Nolan</v>
      </c>
      <c r="S253" t="str">
        <f t="shared" si="37"/>
        <v>Eric/Blake</v>
      </c>
      <c r="T253">
        <f t="shared" si="38"/>
        <v>111.5</v>
      </c>
      <c r="U253">
        <f t="shared" si="39"/>
        <v>83</v>
      </c>
    </row>
    <row r="254" spans="1:21" x14ac:dyDescent="0.3">
      <c r="A254">
        <v>253</v>
      </c>
      <c r="B254" t="str">
        <f>H254&amp;R254&amp;I254</f>
        <v>2016Trent/Colin12</v>
      </c>
      <c r="C254" t="str">
        <f>H254&amp;S254&amp;I254</f>
        <v>2016Graham/Michael12</v>
      </c>
      <c r="D254">
        <f t="shared" si="30"/>
        <v>759</v>
      </c>
      <c r="E254">
        <f t="shared" si="31"/>
        <v>534</v>
      </c>
      <c r="F254">
        <f t="shared" si="32"/>
        <v>656</v>
      </c>
      <c r="G254">
        <f t="shared" si="33"/>
        <v>349</v>
      </c>
      <c r="H254">
        <v>2016</v>
      </c>
      <c r="I254">
        <v>12</v>
      </c>
      <c r="J254">
        <v>57</v>
      </c>
      <c r="K254" t="s">
        <v>29</v>
      </c>
      <c r="L254">
        <v>99</v>
      </c>
      <c r="M254" t="s">
        <v>33</v>
      </c>
      <c r="N254">
        <v>104.5</v>
      </c>
      <c r="O254" t="s">
        <v>20</v>
      </c>
      <c r="P254">
        <f t="shared" si="34"/>
        <v>203.5</v>
      </c>
      <c r="Q254">
        <f t="shared" si="35"/>
        <v>5.5</v>
      </c>
      <c r="R254" t="str">
        <f t="shared" si="36"/>
        <v>Trent/Colin</v>
      </c>
      <c r="S254" t="str">
        <f t="shared" si="37"/>
        <v>Graham/Michael</v>
      </c>
      <c r="T254">
        <f t="shared" si="38"/>
        <v>104.5</v>
      </c>
      <c r="U254">
        <f t="shared" si="39"/>
        <v>99</v>
      </c>
    </row>
    <row r="255" spans="1:21" x14ac:dyDescent="0.3">
      <c r="A255">
        <v>254</v>
      </c>
      <c r="B255" t="str">
        <f>H255&amp;R255&amp;I255</f>
        <v>2016Clay/Ryan12</v>
      </c>
      <c r="C255" t="str">
        <f>H255&amp;S255&amp;I255</f>
        <v>2016David/Marshall12</v>
      </c>
      <c r="D255">
        <f t="shared" si="30"/>
        <v>254</v>
      </c>
      <c r="E255">
        <f t="shared" si="31"/>
        <v>550</v>
      </c>
      <c r="F255">
        <f t="shared" si="32"/>
        <v>456</v>
      </c>
      <c r="G255">
        <f t="shared" si="33"/>
        <v>628</v>
      </c>
      <c r="H255">
        <v>2016</v>
      </c>
      <c r="I255">
        <v>12</v>
      </c>
      <c r="J255">
        <v>58</v>
      </c>
      <c r="K255" t="s">
        <v>38</v>
      </c>
      <c r="L255">
        <v>84</v>
      </c>
      <c r="M255" t="s">
        <v>35</v>
      </c>
      <c r="N255">
        <v>118</v>
      </c>
      <c r="O255" t="s">
        <v>20</v>
      </c>
      <c r="P255">
        <f t="shared" si="34"/>
        <v>202</v>
      </c>
      <c r="Q255">
        <f t="shared" si="35"/>
        <v>34</v>
      </c>
      <c r="R255" t="str">
        <f t="shared" si="36"/>
        <v>Clay/Ryan</v>
      </c>
      <c r="S255" t="str">
        <f t="shared" si="37"/>
        <v>David/Marshall</v>
      </c>
      <c r="T255">
        <f t="shared" si="38"/>
        <v>118</v>
      </c>
      <c r="U255">
        <f t="shared" si="39"/>
        <v>84</v>
      </c>
    </row>
    <row r="256" spans="1:21" x14ac:dyDescent="0.3">
      <c r="A256">
        <v>255</v>
      </c>
      <c r="B256" t="str">
        <f>H256&amp;R256&amp;I256</f>
        <v>2016Drew/Cam12</v>
      </c>
      <c r="C256" t="str">
        <f>H256&amp;S256&amp;I256</f>
        <v>2016Pat/Tucker12</v>
      </c>
      <c r="D256">
        <f t="shared" si="30"/>
        <v>813</v>
      </c>
      <c r="E256">
        <f t="shared" si="31"/>
        <v>190</v>
      </c>
      <c r="F256">
        <f t="shared" si="32"/>
        <v>388</v>
      </c>
      <c r="G256">
        <f t="shared" si="33"/>
        <v>80</v>
      </c>
      <c r="H256">
        <v>2016</v>
      </c>
      <c r="I256">
        <v>12</v>
      </c>
      <c r="J256">
        <v>59</v>
      </c>
      <c r="K256" t="s">
        <v>37</v>
      </c>
      <c r="L256">
        <v>122.5</v>
      </c>
      <c r="M256" t="s">
        <v>31</v>
      </c>
      <c r="N256">
        <v>119.5</v>
      </c>
      <c r="O256" t="s">
        <v>20</v>
      </c>
      <c r="P256">
        <f t="shared" si="34"/>
        <v>242</v>
      </c>
      <c r="Q256">
        <f t="shared" si="35"/>
        <v>3</v>
      </c>
      <c r="R256" t="str">
        <f t="shared" si="36"/>
        <v>Drew/Cam</v>
      </c>
      <c r="S256" t="str">
        <f t="shared" si="37"/>
        <v>Pat/Tucker</v>
      </c>
      <c r="T256">
        <f t="shared" si="38"/>
        <v>122.5</v>
      </c>
      <c r="U256">
        <f t="shared" si="39"/>
        <v>119.5</v>
      </c>
    </row>
    <row r="257" spans="1:21" x14ac:dyDescent="0.3">
      <c r="A257">
        <v>256</v>
      </c>
      <c r="B257" t="str">
        <f>H257&amp;R257&amp;I257</f>
        <v>2016Dave/Nolan13</v>
      </c>
      <c r="C257" t="str">
        <f>H257&amp;S257&amp;I257</f>
        <v>2016Trent/Colin13</v>
      </c>
      <c r="D257">
        <f t="shared" si="30"/>
        <v>748</v>
      </c>
      <c r="E257">
        <f t="shared" si="31"/>
        <v>374</v>
      </c>
      <c r="F257">
        <f t="shared" si="32"/>
        <v>523</v>
      </c>
      <c r="G257">
        <f t="shared" si="33"/>
        <v>215</v>
      </c>
      <c r="H257">
        <v>2016</v>
      </c>
      <c r="I257">
        <v>13</v>
      </c>
      <c r="J257">
        <v>60</v>
      </c>
      <c r="K257" t="s">
        <v>30</v>
      </c>
      <c r="L257">
        <v>113.5</v>
      </c>
      <c r="M257" t="s">
        <v>33</v>
      </c>
      <c r="N257">
        <v>107.5</v>
      </c>
      <c r="O257" t="s">
        <v>20</v>
      </c>
      <c r="P257">
        <f t="shared" si="34"/>
        <v>221</v>
      </c>
      <c r="Q257">
        <f t="shared" si="35"/>
        <v>6</v>
      </c>
      <c r="R257" t="str">
        <f t="shared" si="36"/>
        <v>Dave/Nolan</v>
      </c>
      <c r="S257" t="str">
        <f t="shared" si="37"/>
        <v>Trent/Colin</v>
      </c>
      <c r="T257">
        <f t="shared" si="38"/>
        <v>113.5</v>
      </c>
      <c r="U257">
        <f t="shared" si="39"/>
        <v>107.5</v>
      </c>
    </row>
    <row r="258" spans="1:21" x14ac:dyDescent="0.3">
      <c r="A258">
        <v>257</v>
      </c>
      <c r="B258" t="str">
        <f>H258&amp;R258&amp;I258</f>
        <v>2016Walker/Cory13</v>
      </c>
      <c r="C258" t="str">
        <f>H258&amp;S258&amp;I258</f>
        <v>2016David/Marshall13</v>
      </c>
      <c r="D258">
        <f t="shared" ref="D258:D321" si="40">RANK(Q258,Q:Q)</f>
        <v>402</v>
      </c>
      <c r="E258">
        <f t="shared" ref="E258:E321" si="41">RANK(P258,P:P)</f>
        <v>320</v>
      </c>
      <c r="F258">
        <f t="shared" ref="F258:F321" si="42">RANK(T258,T:T)</f>
        <v>346</v>
      </c>
      <c r="G258">
        <f t="shared" ref="G258:G321" si="43">RANK(U258,U:U)</f>
        <v>293</v>
      </c>
      <c r="H258">
        <v>2016</v>
      </c>
      <c r="I258">
        <v>13</v>
      </c>
      <c r="J258">
        <v>61</v>
      </c>
      <c r="K258" t="s">
        <v>36</v>
      </c>
      <c r="L258">
        <v>124.5</v>
      </c>
      <c r="M258" t="s">
        <v>38</v>
      </c>
      <c r="N258">
        <v>101.5</v>
      </c>
      <c r="O258" t="s">
        <v>20</v>
      </c>
      <c r="P258">
        <f t="shared" ref="P258:P321" si="44">SUM(L258,N258)</f>
        <v>226</v>
      </c>
      <c r="Q258">
        <f t="shared" ref="Q258:Q321" si="45">ABS(L258-N258)</f>
        <v>23</v>
      </c>
      <c r="R258" t="str">
        <f t="shared" ref="R258:R321" si="46">IF(L258&gt;N258,K258,M258)</f>
        <v>Walker/Cory</v>
      </c>
      <c r="S258" t="str">
        <f t="shared" ref="S258:S321" si="47">IF(L258&gt;N258,M258,K258)</f>
        <v>David/Marshall</v>
      </c>
      <c r="T258">
        <f t="shared" ref="T258:T321" si="48">IF(L258&gt;N258,L258,N258)</f>
        <v>124.5</v>
      </c>
      <c r="U258">
        <f t="shared" ref="U258:U321" si="49">IF(L258&gt;N258,N258,L258)</f>
        <v>101.5</v>
      </c>
    </row>
    <row r="259" spans="1:21" x14ac:dyDescent="0.3">
      <c r="A259">
        <v>258</v>
      </c>
      <c r="B259" t="str">
        <f>H259&amp;R259&amp;I259</f>
        <v>2016Pat/Tucker13</v>
      </c>
      <c r="C259" t="str">
        <f>H259&amp;S259&amp;I259</f>
        <v>2016Brian/Travis13</v>
      </c>
      <c r="D259">
        <f t="shared" si="40"/>
        <v>626</v>
      </c>
      <c r="E259">
        <f t="shared" si="41"/>
        <v>779</v>
      </c>
      <c r="F259">
        <f t="shared" si="42"/>
        <v>808</v>
      </c>
      <c r="G259">
        <f t="shared" si="43"/>
        <v>682</v>
      </c>
      <c r="H259">
        <v>2016</v>
      </c>
      <c r="I259">
        <v>13</v>
      </c>
      <c r="J259">
        <v>62</v>
      </c>
      <c r="K259" t="s">
        <v>31</v>
      </c>
      <c r="L259">
        <v>91</v>
      </c>
      <c r="M259" t="s">
        <v>32</v>
      </c>
      <c r="N259">
        <v>80</v>
      </c>
      <c r="O259" t="s">
        <v>20</v>
      </c>
      <c r="P259">
        <f t="shared" si="44"/>
        <v>171</v>
      </c>
      <c r="Q259">
        <f t="shared" si="45"/>
        <v>11</v>
      </c>
      <c r="R259" t="str">
        <f t="shared" si="46"/>
        <v>Pat/Tucker</v>
      </c>
      <c r="S259" t="str">
        <f t="shared" si="47"/>
        <v>Brian/Travis</v>
      </c>
      <c r="T259">
        <f t="shared" si="48"/>
        <v>91</v>
      </c>
      <c r="U259">
        <f t="shared" si="49"/>
        <v>80</v>
      </c>
    </row>
    <row r="260" spans="1:21" x14ac:dyDescent="0.3">
      <c r="A260">
        <v>259</v>
      </c>
      <c r="B260" t="str">
        <f>H260&amp;R260&amp;I260</f>
        <v>2016Eric/Blake13</v>
      </c>
      <c r="C260" t="str">
        <f>H260&amp;S260&amp;I260</f>
        <v>2016Clay/Ryan13</v>
      </c>
      <c r="D260">
        <f t="shared" si="40"/>
        <v>171</v>
      </c>
      <c r="E260">
        <f t="shared" si="41"/>
        <v>411</v>
      </c>
      <c r="F260">
        <f t="shared" si="42"/>
        <v>271</v>
      </c>
      <c r="G260">
        <f t="shared" si="43"/>
        <v>574</v>
      </c>
      <c r="H260">
        <v>2016</v>
      </c>
      <c r="I260">
        <v>13</v>
      </c>
      <c r="J260">
        <v>63</v>
      </c>
      <c r="K260" t="s">
        <v>34</v>
      </c>
      <c r="L260">
        <v>129</v>
      </c>
      <c r="M260" t="s">
        <v>35</v>
      </c>
      <c r="N260">
        <v>87</v>
      </c>
      <c r="O260" t="s">
        <v>20</v>
      </c>
      <c r="P260">
        <f t="shared" si="44"/>
        <v>216</v>
      </c>
      <c r="Q260">
        <f t="shared" si="45"/>
        <v>42</v>
      </c>
      <c r="R260" t="str">
        <f t="shared" si="46"/>
        <v>Eric/Blake</v>
      </c>
      <c r="S260" t="str">
        <f t="shared" si="47"/>
        <v>Clay/Ryan</v>
      </c>
      <c r="T260">
        <f t="shared" si="48"/>
        <v>129</v>
      </c>
      <c r="U260">
        <f t="shared" si="49"/>
        <v>87</v>
      </c>
    </row>
    <row r="261" spans="1:21" x14ac:dyDescent="0.3">
      <c r="A261">
        <v>260</v>
      </c>
      <c r="B261" t="str">
        <f>H261&amp;R261&amp;I261</f>
        <v>2016Graham/Michael13</v>
      </c>
      <c r="C261" t="str">
        <f>H261&amp;S261&amp;I261</f>
        <v>2016Drew/Cam13</v>
      </c>
      <c r="D261">
        <f t="shared" si="40"/>
        <v>559</v>
      </c>
      <c r="E261">
        <f t="shared" si="41"/>
        <v>616</v>
      </c>
      <c r="F261">
        <f t="shared" si="42"/>
        <v>663</v>
      </c>
      <c r="G261">
        <f t="shared" si="43"/>
        <v>501</v>
      </c>
      <c r="H261">
        <v>2016</v>
      </c>
      <c r="I261">
        <v>13</v>
      </c>
      <c r="J261">
        <v>64</v>
      </c>
      <c r="K261" t="s">
        <v>37</v>
      </c>
      <c r="L261">
        <v>90</v>
      </c>
      <c r="M261" t="s">
        <v>29</v>
      </c>
      <c r="N261">
        <v>104</v>
      </c>
      <c r="O261" t="s">
        <v>20</v>
      </c>
      <c r="P261">
        <f t="shared" si="44"/>
        <v>194</v>
      </c>
      <c r="Q261">
        <f t="shared" si="45"/>
        <v>14</v>
      </c>
      <c r="R261" t="str">
        <f t="shared" si="46"/>
        <v>Graham/Michael</v>
      </c>
      <c r="S261" t="str">
        <f t="shared" si="47"/>
        <v>Drew/Cam</v>
      </c>
      <c r="T261">
        <f t="shared" si="48"/>
        <v>104</v>
      </c>
      <c r="U261">
        <f t="shared" si="49"/>
        <v>90</v>
      </c>
    </row>
    <row r="262" spans="1:21" x14ac:dyDescent="0.3">
      <c r="A262">
        <v>261</v>
      </c>
      <c r="B262" t="str">
        <f>H262&amp;R262&amp;I262</f>
        <v>2017Pat/Tucker1</v>
      </c>
      <c r="C262" t="str">
        <f>H262&amp;S262&amp;I262</f>
        <v>2017Clay/Ryan1</v>
      </c>
      <c r="D262">
        <f t="shared" si="40"/>
        <v>759</v>
      </c>
      <c r="E262">
        <f t="shared" si="41"/>
        <v>623</v>
      </c>
      <c r="F262">
        <f t="shared" si="42"/>
        <v>713</v>
      </c>
      <c r="G262">
        <f t="shared" si="43"/>
        <v>435</v>
      </c>
      <c r="H262">
        <v>2017</v>
      </c>
      <c r="I262">
        <v>1</v>
      </c>
      <c r="J262">
        <v>0</v>
      </c>
      <c r="K262" t="s">
        <v>35</v>
      </c>
      <c r="L262">
        <v>94</v>
      </c>
      <c r="M262" t="s">
        <v>31</v>
      </c>
      <c r="N262">
        <v>99.5</v>
      </c>
      <c r="O262" t="s">
        <v>20</v>
      </c>
      <c r="P262">
        <f t="shared" si="44"/>
        <v>193.5</v>
      </c>
      <c r="Q262">
        <f t="shared" si="45"/>
        <v>5.5</v>
      </c>
      <c r="R262" t="str">
        <f t="shared" si="46"/>
        <v>Pat/Tucker</v>
      </c>
      <c r="S262" t="str">
        <f t="shared" si="47"/>
        <v>Clay/Ryan</v>
      </c>
      <c r="T262">
        <f t="shared" si="48"/>
        <v>99.5</v>
      </c>
      <c r="U262">
        <f t="shared" si="49"/>
        <v>94</v>
      </c>
    </row>
    <row r="263" spans="1:21" x14ac:dyDescent="0.3">
      <c r="A263">
        <v>262</v>
      </c>
      <c r="B263" t="str">
        <f>H263&amp;R263&amp;I263</f>
        <v>2017Eric/Blake1</v>
      </c>
      <c r="C263" t="str">
        <f>H263&amp;S263&amp;I263</f>
        <v>2017David/Marshall1</v>
      </c>
      <c r="D263">
        <f t="shared" si="40"/>
        <v>759</v>
      </c>
      <c r="E263">
        <f t="shared" si="41"/>
        <v>647</v>
      </c>
      <c r="F263">
        <f t="shared" si="42"/>
        <v>736</v>
      </c>
      <c r="G263">
        <f t="shared" si="43"/>
        <v>457</v>
      </c>
      <c r="H263">
        <v>2017</v>
      </c>
      <c r="I263">
        <v>1</v>
      </c>
      <c r="J263">
        <v>1</v>
      </c>
      <c r="K263" t="s">
        <v>38</v>
      </c>
      <c r="L263">
        <v>92.5</v>
      </c>
      <c r="M263" t="s">
        <v>34</v>
      </c>
      <c r="N263">
        <v>98</v>
      </c>
      <c r="O263" t="s">
        <v>20</v>
      </c>
      <c r="P263">
        <f t="shared" si="44"/>
        <v>190.5</v>
      </c>
      <c r="Q263">
        <f t="shared" si="45"/>
        <v>5.5</v>
      </c>
      <c r="R263" t="str">
        <f t="shared" si="46"/>
        <v>Eric/Blake</v>
      </c>
      <c r="S263" t="str">
        <f t="shared" si="47"/>
        <v>David/Marshall</v>
      </c>
      <c r="T263">
        <f t="shared" si="48"/>
        <v>98</v>
      </c>
      <c r="U263">
        <f t="shared" si="49"/>
        <v>92.5</v>
      </c>
    </row>
    <row r="264" spans="1:21" x14ac:dyDescent="0.3">
      <c r="A264">
        <v>263</v>
      </c>
      <c r="B264" t="str">
        <f>H264&amp;R264&amp;I264</f>
        <v>2017Trent/Colin1</v>
      </c>
      <c r="C264" t="str">
        <f>H264&amp;S264&amp;I264</f>
        <v>2017Drew/Cam1</v>
      </c>
      <c r="D264">
        <f t="shared" si="40"/>
        <v>285</v>
      </c>
      <c r="E264">
        <f t="shared" si="41"/>
        <v>739</v>
      </c>
      <c r="F264">
        <f t="shared" si="42"/>
        <v>642</v>
      </c>
      <c r="G264">
        <f t="shared" si="43"/>
        <v>743</v>
      </c>
      <c r="H264">
        <v>2017</v>
      </c>
      <c r="I264">
        <v>1</v>
      </c>
      <c r="J264">
        <v>2</v>
      </c>
      <c r="K264" t="s">
        <v>33</v>
      </c>
      <c r="L264">
        <v>105.5</v>
      </c>
      <c r="M264" t="s">
        <v>37</v>
      </c>
      <c r="N264">
        <v>74</v>
      </c>
      <c r="O264" t="s">
        <v>20</v>
      </c>
      <c r="P264">
        <f t="shared" si="44"/>
        <v>179.5</v>
      </c>
      <c r="Q264">
        <f t="shared" si="45"/>
        <v>31.5</v>
      </c>
      <c r="R264" t="str">
        <f t="shared" si="46"/>
        <v>Trent/Colin</v>
      </c>
      <c r="S264" t="str">
        <f t="shared" si="47"/>
        <v>Drew/Cam</v>
      </c>
      <c r="T264">
        <f t="shared" si="48"/>
        <v>105.5</v>
      </c>
      <c r="U264">
        <f t="shared" si="49"/>
        <v>74</v>
      </c>
    </row>
    <row r="265" spans="1:21" x14ac:dyDescent="0.3">
      <c r="A265">
        <v>264</v>
      </c>
      <c r="B265" t="str">
        <f>H265&amp;R265&amp;I265</f>
        <v>2017Walker/Cory1</v>
      </c>
      <c r="C265" t="str">
        <f>H265&amp;S265&amp;I265</f>
        <v>2017Dave/Nolan1</v>
      </c>
      <c r="D265">
        <f t="shared" si="40"/>
        <v>445</v>
      </c>
      <c r="E265">
        <f t="shared" si="41"/>
        <v>616</v>
      </c>
      <c r="F265">
        <f t="shared" si="42"/>
        <v>613</v>
      </c>
      <c r="G265">
        <f t="shared" si="43"/>
        <v>587</v>
      </c>
      <c r="H265">
        <v>2017</v>
      </c>
      <c r="I265">
        <v>1</v>
      </c>
      <c r="J265">
        <v>3</v>
      </c>
      <c r="K265" t="s">
        <v>30</v>
      </c>
      <c r="L265">
        <v>86.5</v>
      </c>
      <c r="M265" t="s">
        <v>36</v>
      </c>
      <c r="N265">
        <v>107.5</v>
      </c>
      <c r="O265" t="s">
        <v>20</v>
      </c>
      <c r="P265">
        <f t="shared" si="44"/>
        <v>194</v>
      </c>
      <c r="Q265">
        <f t="shared" si="45"/>
        <v>21</v>
      </c>
      <c r="R265" t="str">
        <f t="shared" si="46"/>
        <v>Walker/Cory</v>
      </c>
      <c r="S265" t="str">
        <f t="shared" si="47"/>
        <v>Dave/Nolan</v>
      </c>
      <c r="T265">
        <f t="shared" si="48"/>
        <v>107.5</v>
      </c>
      <c r="U265">
        <f t="shared" si="49"/>
        <v>86.5</v>
      </c>
    </row>
    <row r="266" spans="1:21" x14ac:dyDescent="0.3">
      <c r="A266">
        <v>265</v>
      </c>
      <c r="B266" t="str">
        <f>H266&amp;R266&amp;I266</f>
        <v>2017Graham/Michael1</v>
      </c>
      <c r="C266" t="str">
        <f>H266&amp;S266&amp;I266</f>
        <v>2017Brian/Travis1</v>
      </c>
      <c r="D266">
        <f t="shared" si="40"/>
        <v>351</v>
      </c>
      <c r="E266">
        <f t="shared" si="41"/>
        <v>782</v>
      </c>
      <c r="F266">
        <f t="shared" si="42"/>
        <v>724</v>
      </c>
      <c r="G266">
        <f t="shared" si="43"/>
        <v>775</v>
      </c>
      <c r="H266">
        <v>2017</v>
      </c>
      <c r="I266">
        <v>1</v>
      </c>
      <c r="J266">
        <v>4</v>
      </c>
      <c r="K266" t="s">
        <v>32</v>
      </c>
      <c r="L266">
        <v>72</v>
      </c>
      <c r="M266" t="s">
        <v>29</v>
      </c>
      <c r="N266">
        <v>98.5</v>
      </c>
      <c r="O266" t="s">
        <v>20</v>
      </c>
      <c r="P266">
        <f t="shared" si="44"/>
        <v>170.5</v>
      </c>
      <c r="Q266">
        <f t="shared" si="45"/>
        <v>26.5</v>
      </c>
      <c r="R266" t="str">
        <f t="shared" si="46"/>
        <v>Graham/Michael</v>
      </c>
      <c r="S266" t="str">
        <f t="shared" si="47"/>
        <v>Brian/Travis</v>
      </c>
      <c r="T266">
        <f t="shared" si="48"/>
        <v>98.5</v>
      </c>
      <c r="U266">
        <f t="shared" si="49"/>
        <v>72</v>
      </c>
    </row>
    <row r="267" spans="1:21" x14ac:dyDescent="0.3">
      <c r="A267">
        <v>266</v>
      </c>
      <c r="B267" t="str">
        <f>H267&amp;R267&amp;I267</f>
        <v>2017Eric/Blake2</v>
      </c>
      <c r="C267" t="str">
        <f>H267&amp;S267&amp;I267</f>
        <v>2017Drew/Cam2</v>
      </c>
      <c r="D267">
        <f t="shared" si="40"/>
        <v>392</v>
      </c>
      <c r="E267">
        <f t="shared" si="41"/>
        <v>416</v>
      </c>
      <c r="F267">
        <f t="shared" si="42"/>
        <v>435</v>
      </c>
      <c r="G267">
        <f t="shared" si="43"/>
        <v>406</v>
      </c>
      <c r="H267">
        <v>2017</v>
      </c>
      <c r="I267">
        <v>2</v>
      </c>
      <c r="J267">
        <v>5</v>
      </c>
      <c r="K267" t="s">
        <v>34</v>
      </c>
      <c r="L267">
        <v>119.5</v>
      </c>
      <c r="M267" t="s">
        <v>37</v>
      </c>
      <c r="N267">
        <v>96</v>
      </c>
      <c r="O267" t="s">
        <v>20</v>
      </c>
      <c r="P267">
        <f t="shared" si="44"/>
        <v>215.5</v>
      </c>
      <c r="Q267">
        <f t="shared" si="45"/>
        <v>23.5</v>
      </c>
      <c r="R267" t="str">
        <f t="shared" si="46"/>
        <v>Eric/Blake</v>
      </c>
      <c r="S267" t="str">
        <f t="shared" si="47"/>
        <v>Drew/Cam</v>
      </c>
      <c r="T267">
        <f t="shared" si="48"/>
        <v>119.5</v>
      </c>
      <c r="U267">
        <f t="shared" si="49"/>
        <v>96</v>
      </c>
    </row>
    <row r="268" spans="1:21" x14ac:dyDescent="0.3">
      <c r="A268">
        <v>267</v>
      </c>
      <c r="B268" t="str">
        <f>H268&amp;R268&amp;I268</f>
        <v>2017Clay/Ryan2</v>
      </c>
      <c r="C268" t="str">
        <f>H268&amp;S268&amp;I268</f>
        <v>2017Walker/Cory2</v>
      </c>
      <c r="D268">
        <f t="shared" si="40"/>
        <v>295</v>
      </c>
      <c r="E268">
        <f t="shared" si="41"/>
        <v>446</v>
      </c>
      <c r="F268">
        <f t="shared" si="42"/>
        <v>411</v>
      </c>
      <c r="G268">
        <f t="shared" si="43"/>
        <v>497</v>
      </c>
      <c r="H268">
        <v>2017</v>
      </c>
      <c r="I268">
        <v>2</v>
      </c>
      <c r="J268">
        <v>6</v>
      </c>
      <c r="K268" t="s">
        <v>36</v>
      </c>
      <c r="L268">
        <v>90.5</v>
      </c>
      <c r="M268" t="s">
        <v>35</v>
      </c>
      <c r="N268">
        <v>121</v>
      </c>
      <c r="O268" t="s">
        <v>20</v>
      </c>
      <c r="P268">
        <f t="shared" si="44"/>
        <v>211.5</v>
      </c>
      <c r="Q268">
        <f t="shared" si="45"/>
        <v>30.5</v>
      </c>
      <c r="R268" t="str">
        <f t="shared" si="46"/>
        <v>Clay/Ryan</v>
      </c>
      <c r="S268" t="str">
        <f t="shared" si="47"/>
        <v>Walker/Cory</v>
      </c>
      <c r="T268">
        <f t="shared" si="48"/>
        <v>121</v>
      </c>
      <c r="U268">
        <f t="shared" si="49"/>
        <v>90.5</v>
      </c>
    </row>
    <row r="269" spans="1:21" x14ac:dyDescent="0.3">
      <c r="A269">
        <v>268</v>
      </c>
      <c r="B269" t="str">
        <f>H269&amp;R269&amp;I269</f>
        <v>2017Pat/Tucker2</v>
      </c>
      <c r="C269" t="str">
        <f>H269&amp;S269&amp;I269</f>
        <v>2017Graham/Michael2</v>
      </c>
      <c r="D269">
        <f t="shared" si="40"/>
        <v>559</v>
      </c>
      <c r="E269">
        <f t="shared" si="41"/>
        <v>749</v>
      </c>
      <c r="F269">
        <f t="shared" si="42"/>
        <v>759</v>
      </c>
      <c r="G269">
        <f t="shared" si="43"/>
        <v>655</v>
      </c>
      <c r="H269">
        <v>2017</v>
      </c>
      <c r="I269">
        <v>2</v>
      </c>
      <c r="J269">
        <v>7</v>
      </c>
      <c r="K269" t="s">
        <v>29</v>
      </c>
      <c r="L269">
        <v>82</v>
      </c>
      <c r="M269" t="s">
        <v>31</v>
      </c>
      <c r="N269">
        <v>96</v>
      </c>
      <c r="O269" t="s">
        <v>20</v>
      </c>
      <c r="P269">
        <f t="shared" si="44"/>
        <v>178</v>
      </c>
      <c r="Q269">
        <f t="shared" si="45"/>
        <v>14</v>
      </c>
      <c r="R269" t="str">
        <f t="shared" si="46"/>
        <v>Pat/Tucker</v>
      </c>
      <c r="S269" t="str">
        <f t="shared" si="47"/>
        <v>Graham/Michael</v>
      </c>
      <c r="T269">
        <f t="shared" si="48"/>
        <v>96</v>
      </c>
      <c r="U269">
        <f t="shared" si="49"/>
        <v>82</v>
      </c>
    </row>
    <row r="270" spans="1:21" x14ac:dyDescent="0.3">
      <c r="A270">
        <v>269</v>
      </c>
      <c r="B270" t="str">
        <f>H270&amp;R270&amp;I270</f>
        <v>2017Dave/Nolan2</v>
      </c>
      <c r="C270" t="str">
        <f>H270&amp;S270&amp;I270</f>
        <v>2017David/Marshall2</v>
      </c>
      <c r="D270">
        <f t="shared" si="40"/>
        <v>269</v>
      </c>
      <c r="E270">
        <f t="shared" si="41"/>
        <v>545</v>
      </c>
      <c r="F270">
        <f t="shared" si="42"/>
        <v>467</v>
      </c>
      <c r="G270">
        <f t="shared" si="43"/>
        <v>615</v>
      </c>
      <c r="H270">
        <v>2017</v>
      </c>
      <c r="I270">
        <v>2</v>
      </c>
      <c r="J270">
        <v>8</v>
      </c>
      <c r="K270" t="s">
        <v>30</v>
      </c>
      <c r="L270">
        <v>117.5</v>
      </c>
      <c r="M270" t="s">
        <v>38</v>
      </c>
      <c r="N270">
        <v>85</v>
      </c>
      <c r="O270" t="s">
        <v>20</v>
      </c>
      <c r="P270">
        <f t="shared" si="44"/>
        <v>202.5</v>
      </c>
      <c r="Q270">
        <f t="shared" si="45"/>
        <v>32.5</v>
      </c>
      <c r="R270" t="str">
        <f t="shared" si="46"/>
        <v>Dave/Nolan</v>
      </c>
      <c r="S270" t="str">
        <f t="shared" si="47"/>
        <v>David/Marshall</v>
      </c>
      <c r="T270">
        <f t="shared" si="48"/>
        <v>117.5</v>
      </c>
      <c r="U270">
        <f t="shared" si="49"/>
        <v>85</v>
      </c>
    </row>
    <row r="271" spans="1:21" x14ac:dyDescent="0.3">
      <c r="A271">
        <v>270</v>
      </c>
      <c r="B271" t="str">
        <f>H271&amp;R271&amp;I271</f>
        <v>2017Trent/Colin2</v>
      </c>
      <c r="C271" t="str">
        <f>H271&amp;S271&amp;I271</f>
        <v>2017Brian/Travis2</v>
      </c>
      <c r="D271">
        <f t="shared" si="40"/>
        <v>869</v>
      </c>
      <c r="E271">
        <f t="shared" si="41"/>
        <v>676</v>
      </c>
      <c r="F271">
        <f t="shared" si="42"/>
        <v>788</v>
      </c>
      <c r="G271">
        <f t="shared" si="43"/>
        <v>446</v>
      </c>
      <c r="H271">
        <v>2017</v>
      </c>
      <c r="I271">
        <v>2</v>
      </c>
      <c r="J271">
        <v>9</v>
      </c>
      <c r="K271" t="s">
        <v>32</v>
      </c>
      <c r="L271">
        <v>93.5</v>
      </c>
      <c r="M271" t="s">
        <v>33</v>
      </c>
      <c r="N271">
        <v>93.5</v>
      </c>
      <c r="O271" t="s">
        <v>20</v>
      </c>
      <c r="P271">
        <f t="shared" si="44"/>
        <v>187</v>
      </c>
      <c r="Q271">
        <f t="shared" si="45"/>
        <v>0</v>
      </c>
      <c r="R271" t="str">
        <f t="shared" si="46"/>
        <v>Trent/Colin</v>
      </c>
      <c r="S271" t="str">
        <f t="shared" si="47"/>
        <v>Brian/Travis</v>
      </c>
      <c r="T271">
        <f t="shared" si="48"/>
        <v>93.5</v>
      </c>
      <c r="U271">
        <f t="shared" si="49"/>
        <v>93.5</v>
      </c>
    </row>
    <row r="272" spans="1:21" x14ac:dyDescent="0.3">
      <c r="A272">
        <v>271</v>
      </c>
      <c r="B272" t="str">
        <f>H272&amp;R272&amp;I272</f>
        <v>2017Walker/Cory3</v>
      </c>
      <c r="C272" t="str">
        <f>H272&amp;S272&amp;I272</f>
        <v>2017Graham/Michael3</v>
      </c>
      <c r="D272">
        <f t="shared" si="40"/>
        <v>780</v>
      </c>
      <c r="E272">
        <f t="shared" si="41"/>
        <v>772</v>
      </c>
      <c r="F272">
        <f t="shared" si="42"/>
        <v>833</v>
      </c>
      <c r="G272">
        <f t="shared" si="43"/>
        <v>628</v>
      </c>
      <c r="H272">
        <v>2017</v>
      </c>
      <c r="I272">
        <v>3</v>
      </c>
      <c r="J272">
        <v>10</v>
      </c>
      <c r="K272" t="s">
        <v>36</v>
      </c>
      <c r="L272">
        <v>88.5</v>
      </c>
      <c r="M272" t="s">
        <v>29</v>
      </c>
      <c r="N272">
        <v>84</v>
      </c>
      <c r="O272" t="s">
        <v>20</v>
      </c>
      <c r="P272">
        <f t="shared" si="44"/>
        <v>172.5</v>
      </c>
      <c r="Q272">
        <f t="shared" si="45"/>
        <v>4.5</v>
      </c>
      <c r="R272" t="str">
        <f t="shared" si="46"/>
        <v>Walker/Cory</v>
      </c>
      <c r="S272" t="str">
        <f t="shared" si="47"/>
        <v>Graham/Michael</v>
      </c>
      <c r="T272">
        <f t="shared" si="48"/>
        <v>88.5</v>
      </c>
      <c r="U272">
        <f t="shared" si="49"/>
        <v>84</v>
      </c>
    </row>
    <row r="273" spans="1:21" x14ac:dyDescent="0.3">
      <c r="A273">
        <v>272</v>
      </c>
      <c r="B273" t="str">
        <f>H273&amp;R273&amp;I273</f>
        <v>2017Eric/Blake3</v>
      </c>
      <c r="C273" t="str">
        <f>H273&amp;S273&amp;I273</f>
        <v>2017Dave/Nolan3</v>
      </c>
      <c r="D273">
        <f t="shared" si="40"/>
        <v>115</v>
      </c>
      <c r="E273">
        <f t="shared" si="41"/>
        <v>384</v>
      </c>
      <c r="F273">
        <f t="shared" si="42"/>
        <v>203</v>
      </c>
      <c r="G273">
        <f t="shared" si="43"/>
        <v>598</v>
      </c>
      <c r="H273">
        <v>2017</v>
      </c>
      <c r="I273">
        <v>3</v>
      </c>
      <c r="J273">
        <v>11</v>
      </c>
      <c r="K273" t="s">
        <v>34</v>
      </c>
      <c r="L273">
        <v>134</v>
      </c>
      <c r="M273" t="s">
        <v>30</v>
      </c>
      <c r="N273">
        <v>86</v>
      </c>
      <c r="O273" t="s">
        <v>20</v>
      </c>
      <c r="P273">
        <f t="shared" si="44"/>
        <v>220</v>
      </c>
      <c r="Q273">
        <f t="shared" si="45"/>
        <v>48</v>
      </c>
      <c r="R273" t="str">
        <f t="shared" si="46"/>
        <v>Eric/Blake</v>
      </c>
      <c r="S273" t="str">
        <f t="shared" si="47"/>
        <v>Dave/Nolan</v>
      </c>
      <c r="T273">
        <f t="shared" si="48"/>
        <v>134</v>
      </c>
      <c r="U273">
        <f t="shared" si="49"/>
        <v>86</v>
      </c>
    </row>
    <row r="274" spans="1:21" x14ac:dyDescent="0.3">
      <c r="A274">
        <v>273</v>
      </c>
      <c r="B274" t="str">
        <f>H274&amp;R274&amp;I274</f>
        <v>2017Drew/Cam3</v>
      </c>
      <c r="C274" t="str">
        <f>H274&amp;S274&amp;I274</f>
        <v>2017Brian/Travis3</v>
      </c>
      <c r="D274">
        <f t="shared" si="40"/>
        <v>748</v>
      </c>
      <c r="E274">
        <f t="shared" si="41"/>
        <v>867</v>
      </c>
      <c r="F274">
        <f t="shared" si="42"/>
        <v>870</v>
      </c>
      <c r="G274">
        <f t="shared" si="43"/>
        <v>835</v>
      </c>
      <c r="H274">
        <v>2017</v>
      </c>
      <c r="I274">
        <v>3</v>
      </c>
      <c r="J274">
        <v>12</v>
      </c>
      <c r="K274" t="s">
        <v>37</v>
      </c>
      <c r="L274">
        <v>69</v>
      </c>
      <c r="M274" t="s">
        <v>32</v>
      </c>
      <c r="N274">
        <v>63</v>
      </c>
      <c r="O274" t="s">
        <v>20</v>
      </c>
      <c r="P274">
        <f t="shared" si="44"/>
        <v>132</v>
      </c>
      <c r="Q274">
        <f t="shared" si="45"/>
        <v>6</v>
      </c>
      <c r="R274" t="str">
        <f t="shared" si="46"/>
        <v>Drew/Cam</v>
      </c>
      <c r="S274" t="str">
        <f t="shared" si="47"/>
        <v>Brian/Travis</v>
      </c>
      <c r="T274">
        <f t="shared" si="48"/>
        <v>69</v>
      </c>
      <c r="U274">
        <f t="shared" si="49"/>
        <v>63</v>
      </c>
    </row>
    <row r="275" spans="1:21" x14ac:dyDescent="0.3">
      <c r="A275">
        <v>274</v>
      </c>
      <c r="B275" t="str">
        <f>H275&amp;R275&amp;I275</f>
        <v>2017Clay/Ryan3</v>
      </c>
      <c r="C275" t="str">
        <f>H275&amp;S275&amp;I275</f>
        <v>2017David/Marshall3</v>
      </c>
      <c r="D275">
        <f t="shared" si="40"/>
        <v>351</v>
      </c>
      <c r="E275">
        <f t="shared" si="41"/>
        <v>346</v>
      </c>
      <c r="F275">
        <f t="shared" si="42"/>
        <v>335</v>
      </c>
      <c r="G275">
        <f t="shared" si="43"/>
        <v>355</v>
      </c>
      <c r="H275">
        <v>2017</v>
      </c>
      <c r="I275">
        <v>3</v>
      </c>
      <c r="J275">
        <v>13</v>
      </c>
      <c r="K275" t="s">
        <v>35</v>
      </c>
      <c r="L275">
        <v>125</v>
      </c>
      <c r="M275" t="s">
        <v>38</v>
      </c>
      <c r="N275">
        <v>98.5</v>
      </c>
      <c r="O275" t="s">
        <v>20</v>
      </c>
      <c r="P275">
        <f t="shared" si="44"/>
        <v>223.5</v>
      </c>
      <c r="Q275">
        <f t="shared" si="45"/>
        <v>26.5</v>
      </c>
      <c r="R275" t="str">
        <f t="shared" si="46"/>
        <v>Clay/Ryan</v>
      </c>
      <c r="S275" t="str">
        <f t="shared" si="47"/>
        <v>David/Marshall</v>
      </c>
      <c r="T275">
        <f t="shared" si="48"/>
        <v>125</v>
      </c>
      <c r="U275">
        <f t="shared" si="49"/>
        <v>98.5</v>
      </c>
    </row>
    <row r="276" spans="1:21" x14ac:dyDescent="0.3">
      <c r="A276">
        <v>275</v>
      </c>
      <c r="B276" t="str">
        <f>H276&amp;R276&amp;I276</f>
        <v>2017Pat/Tucker3</v>
      </c>
      <c r="C276" t="str">
        <f>H276&amp;S276&amp;I276</f>
        <v>2017Trent/Colin3</v>
      </c>
      <c r="D276">
        <f t="shared" si="40"/>
        <v>793</v>
      </c>
      <c r="E276">
        <f t="shared" si="41"/>
        <v>732</v>
      </c>
      <c r="F276">
        <f t="shared" si="42"/>
        <v>802</v>
      </c>
      <c r="G276">
        <f t="shared" si="43"/>
        <v>544</v>
      </c>
      <c r="H276">
        <v>2017</v>
      </c>
      <c r="I276">
        <v>3</v>
      </c>
      <c r="J276">
        <v>14</v>
      </c>
      <c r="K276" t="s">
        <v>31</v>
      </c>
      <c r="L276">
        <v>92</v>
      </c>
      <c r="M276" t="s">
        <v>33</v>
      </c>
      <c r="N276">
        <v>88</v>
      </c>
      <c r="O276" t="s">
        <v>20</v>
      </c>
      <c r="P276">
        <f t="shared" si="44"/>
        <v>180</v>
      </c>
      <c r="Q276">
        <f t="shared" si="45"/>
        <v>4</v>
      </c>
      <c r="R276" t="str">
        <f t="shared" si="46"/>
        <v>Pat/Tucker</v>
      </c>
      <c r="S276" t="str">
        <f t="shared" si="47"/>
        <v>Trent/Colin</v>
      </c>
      <c r="T276">
        <f t="shared" si="48"/>
        <v>92</v>
      </c>
      <c r="U276">
        <f t="shared" si="49"/>
        <v>88</v>
      </c>
    </row>
    <row r="277" spans="1:21" x14ac:dyDescent="0.3">
      <c r="A277">
        <v>276</v>
      </c>
      <c r="B277" t="str">
        <f>H277&amp;R277&amp;I277</f>
        <v>2017Dave/Nolan4</v>
      </c>
      <c r="C277" t="str">
        <f>H277&amp;S277&amp;I277</f>
        <v>2017Brian/Travis4</v>
      </c>
      <c r="D277">
        <f t="shared" si="40"/>
        <v>720</v>
      </c>
      <c r="E277">
        <f t="shared" si="41"/>
        <v>776</v>
      </c>
      <c r="F277">
        <f t="shared" si="42"/>
        <v>827</v>
      </c>
      <c r="G277">
        <f t="shared" si="43"/>
        <v>653</v>
      </c>
      <c r="H277">
        <v>2017</v>
      </c>
      <c r="I277">
        <v>4</v>
      </c>
      <c r="J277">
        <v>15</v>
      </c>
      <c r="K277" t="s">
        <v>30</v>
      </c>
      <c r="L277">
        <v>89.5</v>
      </c>
      <c r="M277" t="s">
        <v>32</v>
      </c>
      <c r="N277">
        <v>82.5</v>
      </c>
      <c r="O277" t="s">
        <v>20</v>
      </c>
      <c r="P277">
        <f t="shared" si="44"/>
        <v>172</v>
      </c>
      <c r="Q277">
        <f t="shared" si="45"/>
        <v>7</v>
      </c>
      <c r="R277" t="str">
        <f t="shared" si="46"/>
        <v>Dave/Nolan</v>
      </c>
      <c r="S277" t="str">
        <f t="shared" si="47"/>
        <v>Brian/Travis</v>
      </c>
      <c r="T277">
        <f t="shared" si="48"/>
        <v>89.5</v>
      </c>
      <c r="U277">
        <f t="shared" si="49"/>
        <v>82.5</v>
      </c>
    </row>
    <row r="278" spans="1:21" x14ac:dyDescent="0.3">
      <c r="A278">
        <v>277</v>
      </c>
      <c r="B278" t="str">
        <f>H278&amp;R278&amp;I278</f>
        <v>2017David/Marshall4</v>
      </c>
      <c r="C278" t="str">
        <f>H278&amp;S278&amp;I278</f>
        <v>2017Walker/Cory4</v>
      </c>
      <c r="D278">
        <f t="shared" si="40"/>
        <v>202</v>
      </c>
      <c r="E278">
        <f t="shared" si="41"/>
        <v>405</v>
      </c>
      <c r="F278">
        <f t="shared" si="42"/>
        <v>296</v>
      </c>
      <c r="G278">
        <f t="shared" si="43"/>
        <v>526</v>
      </c>
      <c r="H278">
        <v>2017</v>
      </c>
      <c r="I278">
        <v>4</v>
      </c>
      <c r="J278">
        <v>16</v>
      </c>
      <c r="K278" t="s">
        <v>38</v>
      </c>
      <c r="L278">
        <v>127.5</v>
      </c>
      <c r="M278" t="s">
        <v>36</v>
      </c>
      <c r="N278">
        <v>89</v>
      </c>
      <c r="O278" t="s">
        <v>20</v>
      </c>
      <c r="P278">
        <f t="shared" si="44"/>
        <v>216.5</v>
      </c>
      <c r="Q278">
        <f t="shared" si="45"/>
        <v>38.5</v>
      </c>
      <c r="R278" t="str">
        <f t="shared" si="46"/>
        <v>David/Marshall</v>
      </c>
      <c r="S278" t="str">
        <f t="shared" si="47"/>
        <v>Walker/Cory</v>
      </c>
      <c r="T278">
        <f t="shared" si="48"/>
        <v>127.5</v>
      </c>
      <c r="U278">
        <f t="shared" si="49"/>
        <v>89</v>
      </c>
    </row>
    <row r="279" spans="1:21" x14ac:dyDescent="0.3">
      <c r="A279">
        <v>278</v>
      </c>
      <c r="B279" t="str">
        <f>H279&amp;R279&amp;I279</f>
        <v>2017Graham/Michael4</v>
      </c>
      <c r="C279" t="str">
        <f>H279&amp;S279&amp;I279</f>
        <v>2017Trent/Colin4</v>
      </c>
      <c r="D279">
        <f t="shared" si="40"/>
        <v>580</v>
      </c>
      <c r="E279">
        <f t="shared" si="41"/>
        <v>491</v>
      </c>
      <c r="F279">
        <f t="shared" si="42"/>
        <v>580</v>
      </c>
      <c r="G279">
        <f t="shared" si="43"/>
        <v>373</v>
      </c>
      <c r="H279">
        <v>2017</v>
      </c>
      <c r="I279">
        <v>4</v>
      </c>
      <c r="J279">
        <v>17</v>
      </c>
      <c r="K279" t="s">
        <v>33</v>
      </c>
      <c r="L279">
        <v>97.5</v>
      </c>
      <c r="M279" t="s">
        <v>29</v>
      </c>
      <c r="N279">
        <v>110.5</v>
      </c>
      <c r="O279" t="s">
        <v>20</v>
      </c>
      <c r="P279">
        <f t="shared" si="44"/>
        <v>208</v>
      </c>
      <c r="Q279">
        <f t="shared" si="45"/>
        <v>13</v>
      </c>
      <c r="R279" t="str">
        <f t="shared" si="46"/>
        <v>Graham/Michael</v>
      </c>
      <c r="S279" t="str">
        <f t="shared" si="47"/>
        <v>Trent/Colin</v>
      </c>
      <c r="T279">
        <f t="shared" si="48"/>
        <v>110.5</v>
      </c>
      <c r="U279">
        <f t="shared" si="49"/>
        <v>97.5</v>
      </c>
    </row>
    <row r="280" spans="1:21" x14ac:dyDescent="0.3">
      <c r="A280">
        <v>279</v>
      </c>
      <c r="B280" t="str">
        <f>H280&amp;R280&amp;I280</f>
        <v>2017Eric/Blake4</v>
      </c>
      <c r="C280" t="str">
        <f>H280&amp;S280&amp;I280</f>
        <v>2017Clay/Ryan4</v>
      </c>
      <c r="D280">
        <f t="shared" si="40"/>
        <v>580</v>
      </c>
      <c r="E280">
        <f t="shared" si="41"/>
        <v>474</v>
      </c>
      <c r="F280">
        <f t="shared" si="42"/>
        <v>576</v>
      </c>
      <c r="G280">
        <f t="shared" si="43"/>
        <v>364</v>
      </c>
      <c r="H280">
        <v>2017</v>
      </c>
      <c r="I280">
        <v>4</v>
      </c>
      <c r="J280">
        <v>18</v>
      </c>
      <c r="K280" t="s">
        <v>35</v>
      </c>
      <c r="L280">
        <v>98</v>
      </c>
      <c r="M280" t="s">
        <v>34</v>
      </c>
      <c r="N280">
        <v>111</v>
      </c>
      <c r="O280" t="s">
        <v>20</v>
      </c>
      <c r="P280">
        <f t="shared" si="44"/>
        <v>209</v>
      </c>
      <c r="Q280">
        <f t="shared" si="45"/>
        <v>13</v>
      </c>
      <c r="R280" t="str">
        <f t="shared" si="46"/>
        <v>Eric/Blake</v>
      </c>
      <c r="S280" t="str">
        <f t="shared" si="47"/>
        <v>Clay/Ryan</v>
      </c>
      <c r="T280">
        <f t="shared" si="48"/>
        <v>111</v>
      </c>
      <c r="U280">
        <f t="shared" si="49"/>
        <v>98</v>
      </c>
    </row>
    <row r="281" spans="1:21" x14ac:dyDescent="0.3">
      <c r="A281">
        <v>280</v>
      </c>
      <c r="B281" t="str">
        <f>H281&amp;R281&amp;I281</f>
        <v>2017Pat/Tucker4</v>
      </c>
      <c r="C281" t="str">
        <f>H281&amp;S281&amp;I281</f>
        <v>2017Drew/Cam4</v>
      </c>
      <c r="D281">
        <f t="shared" si="40"/>
        <v>485</v>
      </c>
      <c r="E281">
        <f t="shared" si="41"/>
        <v>647</v>
      </c>
      <c r="F281">
        <f t="shared" si="42"/>
        <v>656</v>
      </c>
      <c r="G281">
        <f t="shared" si="43"/>
        <v>598</v>
      </c>
      <c r="H281">
        <v>2017</v>
      </c>
      <c r="I281">
        <v>4</v>
      </c>
      <c r="J281">
        <v>19</v>
      </c>
      <c r="K281" t="s">
        <v>31</v>
      </c>
      <c r="L281">
        <v>104.5</v>
      </c>
      <c r="M281" t="s">
        <v>37</v>
      </c>
      <c r="N281">
        <v>86</v>
      </c>
      <c r="O281" t="s">
        <v>20</v>
      </c>
      <c r="P281">
        <f t="shared" si="44"/>
        <v>190.5</v>
      </c>
      <c r="Q281">
        <f t="shared" si="45"/>
        <v>18.5</v>
      </c>
      <c r="R281" t="str">
        <f t="shared" si="46"/>
        <v>Pat/Tucker</v>
      </c>
      <c r="S281" t="str">
        <f t="shared" si="47"/>
        <v>Drew/Cam</v>
      </c>
      <c r="T281">
        <f t="shared" si="48"/>
        <v>104.5</v>
      </c>
      <c r="U281">
        <f t="shared" si="49"/>
        <v>86</v>
      </c>
    </row>
    <row r="282" spans="1:21" x14ac:dyDescent="0.3">
      <c r="A282">
        <v>281</v>
      </c>
      <c r="B282" t="str">
        <f>H282&amp;R282&amp;I282</f>
        <v>2017David/Marshall5</v>
      </c>
      <c r="C282" t="str">
        <f>H282&amp;S282&amp;I282</f>
        <v>2017Trent/Colin5</v>
      </c>
      <c r="D282">
        <f t="shared" si="40"/>
        <v>770</v>
      </c>
      <c r="E282">
        <f t="shared" si="41"/>
        <v>732</v>
      </c>
      <c r="F282">
        <f t="shared" si="42"/>
        <v>797</v>
      </c>
      <c r="G282">
        <f t="shared" si="43"/>
        <v>560</v>
      </c>
      <c r="H282">
        <v>2017</v>
      </c>
      <c r="I282">
        <v>5</v>
      </c>
      <c r="J282">
        <v>20</v>
      </c>
      <c r="K282" t="s">
        <v>38</v>
      </c>
      <c r="L282">
        <v>92.5</v>
      </c>
      <c r="M282" t="s">
        <v>33</v>
      </c>
      <c r="N282">
        <v>87.5</v>
      </c>
      <c r="O282" t="s">
        <v>20</v>
      </c>
      <c r="P282">
        <f t="shared" si="44"/>
        <v>180</v>
      </c>
      <c r="Q282">
        <f t="shared" si="45"/>
        <v>5</v>
      </c>
      <c r="R282" t="str">
        <f t="shared" si="46"/>
        <v>David/Marshall</v>
      </c>
      <c r="S282" t="str">
        <f t="shared" si="47"/>
        <v>Trent/Colin</v>
      </c>
      <c r="T282">
        <f t="shared" si="48"/>
        <v>92.5</v>
      </c>
      <c r="U282">
        <f t="shared" si="49"/>
        <v>87.5</v>
      </c>
    </row>
    <row r="283" spans="1:21" x14ac:dyDescent="0.3">
      <c r="A283">
        <v>282</v>
      </c>
      <c r="B283" t="str">
        <f>H283&amp;R283&amp;I283</f>
        <v>2017Dave/Nolan5</v>
      </c>
      <c r="C283" t="str">
        <f>H283&amp;S283&amp;I283</f>
        <v>2017Clay/Ryan5</v>
      </c>
      <c r="D283">
        <f t="shared" si="40"/>
        <v>238</v>
      </c>
      <c r="E283">
        <f t="shared" si="41"/>
        <v>722</v>
      </c>
      <c r="F283">
        <f t="shared" si="42"/>
        <v>604</v>
      </c>
      <c r="G283">
        <f t="shared" si="43"/>
        <v>765</v>
      </c>
      <c r="H283">
        <v>2017</v>
      </c>
      <c r="I283">
        <v>5</v>
      </c>
      <c r="J283">
        <v>21</v>
      </c>
      <c r="K283" t="s">
        <v>30</v>
      </c>
      <c r="L283">
        <v>108.5</v>
      </c>
      <c r="M283" t="s">
        <v>35</v>
      </c>
      <c r="N283">
        <v>73</v>
      </c>
      <c r="O283" t="s">
        <v>20</v>
      </c>
      <c r="P283">
        <f t="shared" si="44"/>
        <v>181.5</v>
      </c>
      <c r="Q283">
        <f t="shared" si="45"/>
        <v>35.5</v>
      </c>
      <c r="R283" t="str">
        <f t="shared" si="46"/>
        <v>Dave/Nolan</v>
      </c>
      <c r="S283" t="str">
        <f t="shared" si="47"/>
        <v>Clay/Ryan</v>
      </c>
      <c r="T283">
        <f t="shared" si="48"/>
        <v>108.5</v>
      </c>
      <c r="U283">
        <f t="shared" si="49"/>
        <v>73</v>
      </c>
    </row>
    <row r="284" spans="1:21" x14ac:dyDescent="0.3">
      <c r="A284">
        <v>283</v>
      </c>
      <c r="B284" t="str">
        <f>H284&amp;R284&amp;I284</f>
        <v>2017Brian/Travis5</v>
      </c>
      <c r="C284" t="str">
        <f>H284&amp;S284&amp;I284</f>
        <v>2017Pat/Tucker5</v>
      </c>
      <c r="D284">
        <f t="shared" si="40"/>
        <v>72</v>
      </c>
      <c r="E284">
        <f t="shared" si="41"/>
        <v>529</v>
      </c>
      <c r="F284">
        <f t="shared" si="42"/>
        <v>264</v>
      </c>
      <c r="G284">
        <f t="shared" si="43"/>
        <v>736</v>
      </c>
      <c r="H284">
        <v>2017</v>
      </c>
      <c r="I284">
        <v>5</v>
      </c>
      <c r="J284">
        <v>22</v>
      </c>
      <c r="K284" t="s">
        <v>32</v>
      </c>
      <c r="L284">
        <v>129.5</v>
      </c>
      <c r="M284" t="s">
        <v>31</v>
      </c>
      <c r="N284">
        <v>74.5</v>
      </c>
      <c r="O284" t="s">
        <v>20</v>
      </c>
      <c r="P284">
        <f t="shared" si="44"/>
        <v>204</v>
      </c>
      <c r="Q284">
        <f t="shared" si="45"/>
        <v>55</v>
      </c>
      <c r="R284" t="str">
        <f t="shared" si="46"/>
        <v>Brian/Travis</v>
      </c>
      <c r="S284" t="str">
        <f t="shared" si="47"/>
        <v>Pat/Tucker</v>
      </c>
      <c r="T284">
        <f t="shared" si="48"/>
        <v>129.5</v>
      </c>
      <c r="U284">
        <f t="shared" si="49"/>
        <v>74.5</v>
      </c>
    </row>
    <row r="285" spans="1:21" x14ac:dyDescent="0.3">
      <c r="A285">
        <v>284</v>
      </c>
      <c r="B285" t="str">
        <f>H285&amp;R285&amp;I285</f>
        <v>2017Walker/Cory5</v>
      </c>
      <c r="C285" t="str">
        <f>H285&amp;S285&amp;I285</f>
        <v>2017Eric/Blake5</v>
      </c>
      <c r="D285">
        <f t="shared" si="40"/>
        <v>559</v>
      </c>
      <c r="E285">
        <f t="shared" si="41"/>
        <v>797</v>
      </c>
      <c r="F285">
        <f t="shared" si="42"/>
        <v>812</v>
      </c>
      <c r="G285">
        <f t="shared" si="43"/>
        <v>713</v>
      </c>
      <c r="H285">
        <v>2017</v>
      </c>
      <c r="I285">
        <v>5</v>
      </c>
      <c r="J285">
        <v>23</v>
      </c>
      <c r="K285" t="s">
        <v>36</v>
      </c>
      <c r="L285">
        <v>90.5</v>
      </c>
      <c r="M285" t="s">
        <v>34</v>
      </c>
      <c r="N285">
        <v>76.5</v>
      </c>
      <c r="O285" t="s">
        <v>20</v>
      </c>
      <c r="P285">
        <f t="shared" si="44"/>
        <v>167</v>
      </c>
      <c r="Q285">
        <f t="shared" si="45"/>
        <v>14</v>
      </c>
      <c r="R285" t="str">
        <f t="shared" si="46"/>
        <v>Walker/Cory</v>
      </c>
      <c r="S285" t="str">
        <f t="shared" si="47"/>
        <v>Eric/Blake</v>
      </c>
      <c r="T285">
        <f t="shared" si="48"/>
        <v>90.5</v>
      </c>
      <c r="U285">
        <f t="shared" si="49"/>
        <v>76.5</v>
      </c>
    </row>
    <row r="286" spans="1:21" x14ac:dyDescent="0.3">
      <c r="A286">
        <v>285</v>
      </c>
      <c r="B286" t="str">
        <f>H286&amp;R286&amp;I286</f>
        <v>2017Drew/Cam5</v>
      </c>
      <c r="C286" t="str">
        <f>H286&amp;S286&amp;I286</f>
        <v>2017Graham/Michael5</v>
      </c>
      <c r="D286">
        <f t="shared" si="40"/>
        <v>605</v>
      </c>
      <c r="E286">
        <f t="shared" si="41"/>
        <v>510</v>
      </c>
      <c r="F286">
        <f t="shared" si="42"/>
        <v>596</v>
      </c>
      <c r="G286">
        <f t="shared" si="43"/>
        <v>381</v>
      </c>
      <c r="H286">
        <v>2017</v>
      </c>
      <c r="I286">
        <v>5</v>
      </c>
      <c r="J286">
        <v>24</v>
      </c>
      <c r="K286" t="s">
        <v>29</v>
      </c>
      <c r="L286">
        <v>97</v>
      </c>
      <c r="M286" t="s">
        <v>37</v>
      </c>
      <c r="N286">
        <v>109</v>
      </c>
      <c r="O286" t="s">
        <v>20</v>
      </c>
      <c r="P286">
        <f t="shared" si="44"/>
        <v>206</v>
      </c>
      <c r="Q286">
        <f t="shared" si="45"/>
        <v>12</v>
      </c>
      <c r="R286" t="str">
        <f t="shared" si="46"/>
        <v>Drew/Cam</v>
      </c>
      <c r="S286" t="str">
        <f t="shared" si="47"/>
        <v>Graham/Michael</v>
      </c>
      <c r="T286">
        <f t="shared" si="48"/>
        <v>109</v>
      </c>
      <c r="U286">
        <f t="shared" si="49"/>
        <v>97</v>
      </c>
    </row>
    <row r="287" spans="1:21" x14ac:dyDescent="0.3">
      <c r="A287">
        <v>286</v>
      </c>
      <c r="B287" t="str">
        <f>H287&amp;R287&amp;I287</f>
        <v>2017Eric/Blake6</v>
      </c>
      <c r="C287" t="str">
        <f>H287&amp;S287&amp;I287</f>
        <v>2017Pat/Tucker6</v>
      </c>
      <c r="D287">
        <f t="shared" si="40"/>
        <v>653</v>
      </c>
      <c r="E287">
        <f t="shared" si="41"/>
        <v>290</v>
      </c>
      <c r="F287">
        <f t="shared" si="42"/>
        <v>435</v>
      </c>
      <c r="G287">
        <f t="shared" si="43"/>
        <v>187</v>
      </c>
      <c r="H287">
        <v>2017</v>
      </c>
      <c r="I287">
        <v>6</v>
      </c>
      <c r="J287">
        <v>25</v>
      </c>
      <c r="K287" t="s">
        <v>31</v>
      </c>
      <c r="L287">
        <v>109.5</v>
      </c>
      <c r="M287" t="s">
        <v>34</v>
      </c>
      <c r="N287">
        <v>119.5</v>
      </c>
      <c r="O287" t="s">
        <v>20</v>
      </c>
      <c r="P287">
        <f t="shared" si="44"/>
        <v>229</v>
      </c>
      <c r="Q287">
        <f t="shared" si="45"/>
        <v>10</v>
      </c>
      <c r="R287" t="str">
        <f t="shared" si="46"/>
        <v>Eric/Blake</v>
      </c>
      <c r="S287" t="str">
        <f t="shared" si="47"/>
        <v>Pat/Tucker</v>
      </c>
      <c r="T287">
        <f t="shared" si="48"/>
        <v>119.5</v>
      </c>
      <c r="U287">
        <f t="shared" si="49"/>
        <v>109.5</v>
      </c>
    </row>
    <row r="288" spans="1:21" x14ac:dyDescent="0.3">
      <c r="A288">
        <v>287</v>
      </c>
      <c r="B288" t="str">
        <f>H288&amp;R288&amp;I288</f>
        <v>2017Drew/Cam6</v>
      </c>
      <c r="C288" t="str">
        <f>H288&amp;S288&amp;I288</f>
        <v>2017Walker/Cory6</v>
      </c>
      <c r="D288">
        <f t="shared" si="40"/>
        <v>162</v>
      </c>
      <c r="E288">
        <f t="shared" si="41"/>
        <v>502</v>
      </c>
      <c r="F288">
        <f t="shared" si="42"/>
        <v>346</v>
      </c>
      <c r="G288">
        <f t="shared" si="43"/>
        <v>655</v>
      </c>
      <c r="H288">
        <v>2017</v>
      </c>
      <c r="I288">
        <v>6</v>
      </c>
      <c r="J288">
        <v>26</v>
      </c>
      <c r="K288" t="s">
        <v>37</v>
      </c>
      <c r="L288">
        <v>124.5</v>
      </c>
      <c r="M288" t="s">
        <v>36</v>
      </c>
      <c r="N288">
        <v>82</v>
      </c>
      <c r="O288" t="s">
        <v>20</v>
      </c>
      <c r="P288">
        <f t="shared" si="44"/>
        <v>206.5</v>
      </c>
      <c r="Q288">
        <f t="shared" si="45"/>
        <v>42.5</v>
      </c>
      <c r="R288" t="str">
        <f t="shared" si="46"/>
        <v>Drew/Cam</v>
      </c>
      <c r="S288" t="str">
        <f t="shared" si="47"/>
        <v>Walker/Cory</v>
      </c>
      <c r="T288">
        <f t="shared" si="48"/>
        <v>124.5</v>
      </c>
      <c r="U288">
        <f t="shared" si="49"/>
        <v>82</v>
      </c>
    </row>
    <row r="289" spans="1:21" x14ac:dyDescent="0.3">
      <c r="A289">
        <v>288</v>
      </c>
      <c r="B289" t="str">
        <f>H289&amp;R289&amp;I289</f>
        <v>2017Graham/Michael6</v>
      </c>
      <c r="C289" t="str">
        <f>H289&amp;S289&amp;I289</f>
        <v>2017Dave/Nolan6</v>
      </c>
      <c r="D289">
        <f t="shared" si="40"/>
        <v>696</v>
      </c>
      <c r="E289">
        <f t="shared" si="41"/>
        <v>749</v>
      </c>
      <c r="F289">
        <f t="shared" si="42"/>
        <v>792</v>
      </c>
      <c r="G289">
        <f t="shared" si="43"/>
        <v>615</v>
      </c>
      <c r="H289">
        <v>2017</v>
      </c>
      <c r="I289">
        <v>6</v>
      </c>
      <c r="J289">
        <v>27</v>
      </c>
      <c r="K289" t="s">
        <v>29</v>
      </c>
      <c r="L289">
        <v>93</v>
      </c>
      <c r="M289" t="s">
        <v>30</v>
      </c>
      <c r="N289">
        <v>85</v>
      </c>
      <c r="O289" t="s">
        <v>20</v>
      </c>
      <c r="P289">
        <f t="shared" si="44"/>
        <v>178</v>
      </c>
      <c r="Q289">
        <f t="shared" si="45"/>
        <v>8</v>
      </c>
      <c r="R289" t="str">
        <f t="shared" si="46"/>
        <v>Graham/Michael</v>
      </c>
      <c r="S289" t="str">
        <f t="shared" si="47"/>
        <v>Dave/Nolan</v>
      </c>
      <c r="T289">
        <f t="shared" si="48"/>
        <v>93</v>
      </c>
      <c r="U289">
        <f t="shared" si="49"/>
        <v>85</v>
      </c>
    </row>
    <row r="290" spans="1:21" x14ac:dyDescent="0.3">
      <c r="A290">
        <v>289</v>
      </c>
      <c r="B290" t="str">
        <f>H290&amp;R290&amp;I290</f>
        <v>2017David/Marshall6</v>
      </c>
      <c r="C290" t="str">
        <f>H290&amp;S290&amp;I290</f>
        <v>2017Brian/Travis6</v>
      </c>
      <c r="D290">
        <f t="shared" si="40"/>
        <v>34</v>
      </c>
      <c r="E290">
        <f t="shared" si="41"/>
        <v>431</v>
      </c>
      <c r="F290">
        <f t="shared" si="42"/>
        <v>147</v>
      </c>
      <c r="G290">
        <f t="shared" si="43"/>
        <v>743</v>
      </c>
      <c r="H290">
        <v>2017</v>
      </c>
      <c r="I290">
        <v>6</v>
      </c>
      <c r="J290">
        <v>28</v>
      </c>
      <c r="K290" t="s">
        <v>32</v>
      </c>
      <c r="L290">
        <v>74</v>
      </c>
      <c r="M290" t="s">
        <v>38</v>
      </c>
      <c r="N290">
        <v>139</v>
      </c>
      <c r="O290" t="s">
        <v>20</v>
      </c>
      <c r="P290">
        <f t="shared" si="44"/>
        <v>213</v>
      </c>
      <c r="Q290">
        <f t="shared" si="45"/>
        <v>65</v>
      </c>
      <c r="R290" t="str">
        <f t="shared" si="46"/>
        <v>David/Marshall</v>
      </c>
      <c r="S290" t="str">
        <f t="shared" si="47"/>
        <v>Brian/Travis</v>
      </c>
      <c r="T290">
        <f t="shared" si="48"/>
        <v>139</v>
      </c>
      <c r="U290">
        <f t="shared" si="49"/>
        <v>74</v>
      </c>
    </row>
    <row r="291" spans="1:21" x14ac:dyDescent="0.3">
      <c r="A291">
        <v>290</v>
      </c>
      <c r="B291" t="str">
        <f>H291&amp;R291&amp;I291</f>
        <v>2017Clay/Ryan6</v>
      </c>
      <c r="C291" t="str">
        <f>H291&amp;S291&amp;I291</f>
        <v>2017Trent/Colin6</v>
      </c>
      <c r="D291">
        <f t="shared" si="40"/>
        <v>640</v>
      </c>
      <c r="E291">
        <f t="shared" si="41"/>
        <v>416</v>
      </c>
      <c r="F291">
        <f t="shared" si="42"/>
        <v>533</v>
      </c>
      <c r="G291">
        <f t="shared" si="43"/>
        <v>280</v>
      </c>
      <c r="H291">
        <v>2017</v>
      </c>
      <c r="I291">
        <v>6</v>
      </c>
      <c r="J291">
        <v>29</v>
      </c>
      <c r="K291" t="s">
        <v>33</v>
      </c>
      <c r="L291">
        <v>102.5</v>
      </c>
      <c r="M291" t="s">
        <v>35</v>
      </c>
      <c r="N291">
        <v>113</v>
      </c>
      <c r="O291" t="s">
        <v>20</v>
      </c>
      <c r="P291">
        <f t="shared" si="44"/>
        <v>215.5</v>
      </c>
      <c r="Q291">
        <f t="shared" si="45"/>
        <v>10.5</v>
      </c>
      <c r="R291" t="str">
        <f t="shared" si="46"/>
        <v>Clay/Ryan</v>
      </c>
      <c r="S291" t="str">
        <f t="shared" si="47"/>
        <v>Trent/Colin</v>
      </c>
      <c r="T291">
        <f t="shared" si="48"/>
        <v>113</v>
      </c>
      <c r="U291">
        <f t="shared" si="49"/>
        <v>102.5</v>
      </c>
    </row>
    <row r="292" spans="1:21" x14ac:dyDescent="0.3">
      <c r="A292">
        <v>291</v>
      </c>
      <c r="B292" t="str">
        <f>H292&amp;R292&amp;I292</f>
        <v>2017Pat/Tucker7</v>
      </c>
      <c r="C292" t="str">
        <f>H292&amp;S292&amp;I292</f>
        <v>2017Walker/Cory7</v>
      </c>
      <c r="D292">
        <f t="shared" si="40"/>
        <v>119</v>
      </c>
      <c r="E292">
        <f t="shared" si="41"/>
        <v>378</v>
      </c>
      <c r="F292">
        <f t="shared" si="42"/>
        <v>203</v>
      </c>
      <c r="G292">
        <f t="shared" si="43"/>
        <v>587</v>
      </c>
      <c r="H292">
        <v>2017</v>
      </c>
      <c r="I292">
        <v>7</v>
      </c>
      <c r="J292">
        <v>30</v>
      </c>
      <c r="K292" t="s">
        <v>36</v>
      </c>
      <c r="L292">
        <v>86.5</v>
      </c>
      <c r="M292" t="s">
        <v>31</v>
      </c>
      <c r="N292">
        <v>134</v>
      </c>
      <c r="O292" t="s">
        <v>20</v>
      </c>
      <c r="P292">
        <f t="shared" si="44"/>
        <v>220.5</v>
      </c>
      <c r="Q292">
        <f t="shared" si="45"/>
        <v>47.5</v>
      </c>
      <c r="R292" t="str">
        <f t="shared" si="46"/>
        <v>Pat/Tucker</v>
      </c>
      <c r="S292" t="str">
        <f t="shared" si="47"/>
        <v>Walker/Cory</v>
      </c>
      <c r="T292">
        <f t="shared" si="48"/>
        <v>134</v>
      </c>
      <c r="U292">
        <f t="shared" si="49"/>
        <v>86.5</v>
      </c>
    </row>
    <row r="293" spans="1:21" x14ac:dyDescent="0.3">
      <c r="A293">
        <v>292</v>
      </c>
      <c r="B293" t="str">
        <f>H293&amp;R293&amp;I293</f>
        <v>2017Drew/Cam7</v>
      </c>
      <c r="C293" t="str">
        <f>H293&amp;S293&amp;I293</f>
        <v>2017Dave/Nolan7</v>
      </c>
      <c r="D293">
        <f t="shared" si="40"/>
        <v>130</v>
      </c>
      <c r="E293">
        <f t="shared" si="41"/>
        <v>541</v>
      </c>
      <c r="F293">
        <f t="shared" si="42"/>
        <v>346</v>
      </c>
      <c r="G293">
        <f t="shared" si="43"/>
        <v>691</v>
      </c>
      <c r="H293">
        <v>2017</v>
      </c>
      <c r="I293">
        <v>7</v>
      </c>
      <c r="J293">
        <v>31</v>
      </c>
      <c r="K293" t="s">
        <v>30</v>
      </c>
      <c r="L293">
        <v>78.5</v>
      </c>
      <c r="M293" t="s">
        <v>37</v>
      </c>
      <c r="N293">
        <v>124.5</v>
      </c>
      <c r="O293" t="s">
        <v>20</v>
      </c>
      <c r="P293">
        <f t="shared" si="44"/>
        <v>203</v>
      </c>
      <c r="Q293">
        <f t="shared" si="45"/>
        <v>46</v>
      </c>
      <c r="R293" t="str">
        <f t="shared" si="46"/>
        <v>Drew/Cam</v>
      </c>
      <c r="S293" t="str">
        <f t="shared" si="47"/>
        <v>Dave/Nolan</v>
      </c>
      <c r="T293">
        <f t="shared" si="48"/>
        <v>124.5</v>
      </c>
      <c r="U293">
        <f t="shared" si="49"/>
        <v>78.5</v>
      </c>
    </row>
    <row r="294" spans="1:21" x14ac:dyDescent="0.3">
      <c r="A294">
        <v>293</v>
      </c>
      <c r="B294" t="str">
        <f>H294&amp;R294&amp;I294</f>
        <v>2017David/Marshall7</v>
      </c>
      <c r="C294" t="str">
        <f>H294&amp;S294&amp;I294</f>
        <v>2017Graham/Michael7</v>
      </c>
      <c r="D294">
        <f t="shared" si="40"/>
        <v>428</v>
      </c>
      <c r="E294">
        <f t="shared" si="41"/>
        <v>757</v>
      </c>
      <c r="F294">
        <f t="shared" si="42"/>
        <v>717</v>
      </c>
      <c r="G294">
        <f t="shared" si="43"/>
        <v>705</v>
      </c>
      <c r="H294">
        <v>2017</v>
      </c>
      <c r="I294">
        <v>7</v>
      </c>
      <c r="J294">
        <v>32</v>
      </c>
      <c r="K294" t="s">
        <v>38</v>
      </c>
      <c r="L294">
        <v>99</v>
      </c>
      <c r="M294" t="s">
        <v>29</v>
      </c>
      <c r="N294">
        <v>77</v>
      </c>
      <c r="O294" t="s">
        <v>20</v>
      </c>
      <c r="P294">
        <f t="shared" si="44"/>
        <v>176</v>
      </c>
      <c r="Q294">
        <f t="shared" si="45"/>
        <v>22</v>
      </c>
      <c r="R294" t="str">
        <f t="shared" si="46"/>
        <v>David/Marshall</v>
      </c>
      <c r="S294" t="str">
        <f t="shared" si="47"/>
        <v>Graham/Michael</v>
      </c>
      <c r="T294">
        <f t="shared" si="48"/>
        <v>99</v>
      </c>
      <c r="U294">
        <f t="shared" si="49"/>
        <v>77</v>
      </c>
    </row>
    <row r="295" spans="1:21" x14ac:dyDescent="0.3">
      <c r="A295">
        <v>294</v>
      </c>
      <c r="B295" t="str">
        <f>H295&amp;R295&amp;I295</f>
        <v>2017Brian/Travis7</v>
      </c>
      <c r="C295" t="str">
        <f>H295&amp;S295&amp;I295</f>
        <v>2017Clay/Ryan7</v>
      </c>
      <c r="D295">
        <f t="shared" si="40"/>
        <v>836</v>
      </c>
      <c r="E295">
        <f t="shared" si="41"/>
        <v>772</v>
      </c>
      <c r="F295">
        <f t="shared" si="42"/>
        <v>836</v>
      </c>
      <c r="G295">
        <f t="shared" si="43"/>
        <v>603</v>
      </c>
      <c r="H295">
        <v>2017</v>
      </c>
      <c r="I295">
        <v>7</v>
      </c>
      <c r="J295">
        <v>33</v>
      </c>
      <c r="K295" t="s">
        <v>35</v>
      </c>
      <c r="L295">
        <v>85.5</v>
      </c>
      <c r="M295" t="s">
        <v>32</v>
      </c>
      <c r="N295">
        <v>87</v>
      </c>
      <c r="O295" t="s">
        <v>20</v>
      </c>
      <c r="P295">
        <f t="shared" si="44"/>
        <v>172.5</v>
      </c>
      <c r="Q295">
        <f t="shared" si="45"/>
        <v>1.5</v>
      </c>
      <c r="R295" t="str">
        <f t="shared" si="46"/>
        <v>Brian/Travis</v>
      </c>
      <c r="S295" t="str">
        <f t="shared" si="47"/>
        <v>Clay/Ryan</v>
      </c>
      <c r="T295">
        <f t="shared" si="48"/>
        <v>87</v>
      </c>
      <c r="U295">
        <f t="shared" si="49"/>
        <v>85.5</v>
      </c>
    </row>
    <row r="296" spans="1:21" x14ac:dyDescent="0.3">
      <c r="A296">
        <v>295</v>
      </c>
      <c r="B296" t="str">
        <f>H296&amp;R296&amp;I296</f>
        <v>2017Eric/Blake7</v>
      </c>
      <c r="C296" t="str">
        <f>H296&amp;S296&amp;I296</f>
        <v>2017Trent/Colin7</v>
      </c>
      <c r="D296">
        <f t="shared" si="40"/>
        <v>527</v>
      </c>
      <c r="E296">
        <f t="shared" si="41"/>
        <v>399</v>
      </c>
      <c r="F296">
        <f t="shared" si="42"/>
        <v>485</v>
      </c>
      <c r="G296">
        <f t="shared" si="43"/>
        <v>315</v>
      </c>
      <c r="H296">
        <v>2017</v>
      </c>
      <c r="I296">
        <v>7</v>
      </c>
      <c r="J296">
        <v>34</v>
      </c>
      <c r="K296" t="s">
        <v>34</v>
      </c>
      <c r="L296">
        <v>116.5</v>
      </c>
      <c r="M296" t="s">
        <v>33</v>
      </c>
      <c r="N296">
        <v>100.5</v>
      </c>
      <c r="O296" t="s">
        <v>20</v>
      </c>
      <c r="P296">
        <f t="shared" si="44"/>
        <v>217</v>
      </c>
      <c r="Q296">
        <f t="shared" si="45"/>
        <v>16</v>
      </c>
      <c r="R296" t="str">
        <f t="shared" si="46"/>
        <v>Eric/Blake</v>
      </c>
      <c r="S296" t="str">
        <f t="shared" si="47"/>
        <v>Trent/Colin</v>
      </c>
      <c r="T296">
        <f t="shared" si="48"/>
        <v>116.5</v>
      </c>
      <c r="U296">
        <f t="shared" si="49"/>
        <v>100.5</v>
      </c>
    </row>
    <row r="297" spans="1:21" x14ac:dyDescent="0.3">
      <c r="A297">
        <v>296</v>
      </c>
      <c r="B297" t="str">
        <f>H297&amp;R297&amp;I297</f>
        <v>2017Dave/Nolan8</v>
      </c>
      <c r="C297" t="str">
        <f>H297&amp;S297&amp;I297</f>
        <v>2017Pat/Tucker8</v>
      </c>
      <c r="D297">
        <f t="shared" si="40"/>
        <v>802</v>
      </c>
      <c r="E297">
        <f t="shared" si="41"/>
        <v>864</v>
      </c>
      <c r="F297">
        <f t="shared" si="42"/>
        <v>868</v>
      </c>
      <c r="G297">
        <f t="shared" si="43"/>
        <v>811</v>
      </c>
      <c r="H297">
        <v>2017</v>
      </c>
      <c r="I297">
        <v>8</v>
      </c>
      <c r="J297">
        <v>35</v>
      </c>
      <c r="K297" t="s">
        <v>31</v>
      </c>
      <c r="L297">
        <v>67</v>
      </c>
      <c r="M297" t="s">
        <v>30</v>
      </c>
      <c r="N297">
        <v>70.5</v>
      </c>
      <c r="O297" t="s">
        <v>20</v>
      </c>
      <c r="P297">
        <f t="shared" si="44"/>
        <v>137.5</v>
      </c>
      <c r="Q297">
        <f t="shared" si="45"/>
        <v>3.5</v>
      </c>
      <c r="R297" t="str">
        <f t="shared" si="46"/>
        <v>Dave/Nolan</v>
      </c>
      <c r="S297" t="str">
        <f t="shared" si="47"/>
        <v>Pat/Tucker</v>
      </c>
      <c r="T297">
        <f t="shared" si="48"/>
        <v>70.5</v>
      </c>
      <c r="U297">
        <f t="shared" si="49"/>
        <v>67</v>
      </c>
    </row>
    <row r="298" spans="1:21" x14ac:dyDescent="0.3">
      <c r="A298">
        <v>297</v>
      </c>
      <c r="B298" t="str">
        <f>H298&amp;R298&amp;I298</f>
        <v>2017Drew/Cam8</v>
      </c>
      <c r="C298" t="str">
        <f>H298&amp;S298&amp;I298</f>
        <v>2017David/Marshall8</v>
      </c>
      <c r="D298">
        <f t="shared" si="40"/>
        <v>825</v>
      </c>
      <c r="E298">
        <f t="shared" si="41"/>
        <v>458</v>
      </c>
      <c r="F298">
        <f t="shared" si="42"/>
        <v>629</v>
      </c>
      <c r="G298">
        <f t="shared" si="43"/>
        <v>250</v>
      </c>
      <c r="H298">
        <v>2017</v>
      </c>
      <c r="I298">
        <v>8</v>
      </c>
      <c r="J298">
        <v>36</v>
      </c>
      <c r="K298" t="s">
        <v>37</v>
      </c>
      <c r="L298">
        <v>106.5</v>
      </c>
      <c r="M298" t="s">
        <v>38</v>
      </c>
      <c r="N298">
        <v>104</v>
      </c>
      <c r="O298" t="s">
        <v>20</v>
      </c>
      <c r="P298">
        <f t="shared" si="44"/>
        <v>210.5</v>
      </c>
      <c r="Q298">
        <f t="shared" si="45"/>
        <v>2.5</v>
      </c>
      <c r="R298" t="str">
        <f t="shared" si="46"/>
        <v>Drew/Cam</v>
      </c>
      <c r="S298" t="str">
        <f t="shared" si="47"/>
        <v>David/Marshall</v>
      </c>
      <c r="T298">
        <f t="shared" si="48"/>
        <v>106.5</v>
      </c>
      <c r="U298">
        <f t="shared" si="49"/>
        <v>104</v>
      </c>
    </row>
    <row r="299" spans="1:21" x14ac:dyDescent="0.3">
      <c r="A299">
        <v>298</v>
      </c>
      <c r="B299" t="str">
        <f>H299&amp;R299&amp;I299</f>
        <v>2017Graham/Michael8</v>
      </c>
      <c r="C299" t="str">
        <f>H299&amp;S299&amp;I299</f>
        <v>2017Clay/Ryan8</v>
      </c>
      <c r="D299">
        <f t="shared" si="40"/>
        <v>54</v>
      </c>
      <c r="E299">
        <f t="shared" si="41"/>
        <v>482</v>
      </c>
      <c r="F299">
        <f t="shared" si="42"/>
        <v>212</v>
      </c>
      <c r="G299">
        <f t="shared" si="43"/>
        <v>730</v>
      </c>
      <c r="H299">
        <v>2017</v>
      </c>
      <c r="I299">
        <v>8</v>
      </c>
      <c r="J299">
        <v>37</v>
      </c>
      <c r="K299" t="s">
        <v>29</v>
      </c>
      <c r="L299">
        <v>133.5</v>
      </c>
      <c r="M299" t="s">
        <v>35</v>
      </c>
      <c r="N299">
        <v>75</v>
      </c>
      <c r="O299" t="s">
        <v>20</v>
      </c>
      <c r="P299">
        <f t="shared" si="44"/>
        <v>208.5</v>
      </c>
      <c r="Q299">
        <f t="shared" si="45"/>
        <v>58.5</v>
      </c>
      <c r="R299" t="str">
        <f t="shared" si="46"/>
        <v>Graham/Michael</v>
      </c>
      <c r="S299" t="str">
        <f t="shared" si="47"/>
        <v>Clay/Ryan</v>
      </c>
      <c r="T299">
        <f t="shared" si="48"/>
        <v>133.5</v>
      </c>
      <c r="U299">
        <f t="shared" si="49"/>
        <v>75</v>
      </c>
    </row>
    <row r="300" spans="1:21" x14ac:dyDescent="0.3">
      <c r="A300">
        <v>299</v>
      </c>
      <c r="B300" t="str">
        <f>H300&amp;R300&amp;I300</f>
        <v>2017Brian/Travis8</v>
      </c>
      <c r="C300" t="str">
        <f>H300&amp;S300&amp;I300</f>
        <v>2017Eric/Blake8</v>
      </c>
      <c r="D300">
        <f t="shared" si="40"/>
        <v>527</v>
      </c>
      <c r="E300">
        <f t="shared" si="41"/>
        <v>600</v>
      </c>
      <c r="F300">
        <f t="shared" si="42"/>
        <v>637</v>
      </c>
      <c r="G300">
        <f t="shared" si="43"/>
        <v>501</v>
      </c>
      <c r="H300">
        <v>2017</v>
      </c>
      <c r="I300">
        <v>8</v>
      </c>
      <c r="J300">
        <v>38</v>
      </c>
      <c r="K300" t="s">
        <v>32</v>
      </c>
      <c r="L300">
        <v>106</v>
      </c>
      <c r="M300" t="s">
        <v>34</v>
      </c>
      <c r="N300">
        <v>90</v>
      </c>
      <c r="O300" t="s">
        <v>20</v>
      </c>
      <c r="P300">
        <f t="shared" si="44"/>
        <v>196</v>
      </c>
      <c r="Q300">
        <f t="shared" si="45"/>
        <v>16</v>
      </c>
      <c r="R300" t="str">
        <f t="shared" si="46"/>
        <v>Brian/Travis</v>
      </c>
      <c r="S300" t="str">
        <f t="shared" si="47"/>
        <v>Eric/Blake</v>
      </c>
      <c r="T300">
        <f t="shared" si="48"/>
        <v>106</v>
      </c>
      <c r="U300">
        <f t="shared" si="49"/>
        <v>90</v>
      </c>
    </row>
    <row r="301" spans="1:21" x14ac:dyDescent="0.3">
      <c r="A301">
        <v>300</v>
      </c>
      <c r="B301" t="str">
        <f>H301&amp;R301&amp;I301</f>
        <v>2017Walker/Cory8</v>
      </c>
      <c r="C301" t="str">
        <f>H301&amp;S301&amp;I301</f>
        <v>2017Trent/Colin8</v>
      </c>
      <c r="D301">
        <f t="shared" si="40"/>
        <v>202</v>
      </c>
      <c r="E301">
        <f t="shared" si="41"/>
        <v>789</v>
      </c>
      <c r="F301">
        <f t="shared" si="42"/>
        <v>663</v>
      </c>
      <c r="G301">
        <f t="shared" si="43"/>
        <v>823</v>
      </c>
      <c r="H301">
        <v>2017</v>
      </c>
      <c r="I301">
        <v>8</v>
      </c>
      <c r="J301">
        <v>39</v>
      </c>
      <c r="K301" t="s">
        <v>33</v>
      </c>
      <c r="L301">
        <v>65.5</v>
      </c>
      <c r="M301" t="s">
        <v>36</v>
      </c>
      <c r="N301">
        <v>104</v>
      </c>
      <c r="O301" t="s">
        <v>20</v>
      </c>
      <c r="P301">
        <f t="shared" si="44"/>
        <v>169.5</v>
      </c>
      <c r="Q301">
        <f t="shared" si="45"/>
        <v>38.5</v>
      </c>
      <c r="R301" t="str">
        <f t="shared" si="46"/>
        <v>Walker/Cory</v>
      </c>
      <c r="S301" t="str">
        <f t="shared" si="47"/>
        <v>Trent/Colin</v>
      </c>
      <c r="T301">
        <f t="shared" si="48"/>
        <v>104</v>
      </c>
      <c r="U301">
        <f t="shared" si="49"/>
        <v>65.5</v>
      </c>
    </row>
    <row r="302" spans="1:21" x14ac:dyDescent="0.3">
      <c r="A302">
        <v>301</v>
      </c>
      <c r="B302" t="str">
        <f>H302&amp;R302&amp;I302</f>
        <v>2017Pat/Tucker9</v>
      </c>
      <c r="C302" t="str">
        <f>H302&amp;S302&amp;I302</f>
        <v>2017David/Marshall9</v>
      </c>
      <c r="D302">
        <f t="shared" si="40"/>
        <v>235</v>
      </c>
      <c r="E302">
        <f t="shared" si="41"/>
        <v>463</v>
      </c>
      <c r="F302">
        <f t="shared" si="42"/>
        <v>379</v>
      </c>
      <c r="G302">
        <f t="shared" si="43"/>
        <v>574</v>
      </c>
      <c r="H302">
        <v>2017</v>
      </c>
      <c r="I302">
        <v>9</v>
      </c>
      <c r="J302">
        <v>40</v>
      </c>
      <c r="K302" t="s">
        <v>38</v>
      </c>
      <c r="L302">
        <v>87</v>
      </c>
      <c r="M302" t="s">
        <v>31</v>
      </c>
      <c r="N302">
        <v>123</v>
      </c>
      <c r="O302" t="s">
        <v>20</v>
      </c>
      <c r="P302">
        <f t="shared" si="44"/>
        <v>210</v>
      </c>
      <c r="Q302">
        <f t="shared" si="45"/>
        <v>36</v>
      </c>
      <c r="R302" t="str">
        <f t="shared" si="46"/>
        <v>Pat/Tucker</v>
      </c>
      <c r="S302" t="str">
        <f t="shared" si="47"/>
        <v>David/Marshall</v>
      </c>
      <c r="T302">
        <f t="shared" si="48"/>
        <v>123</v>
      </c>
      <c r="U302">
        <f t="shared" si="49"/>
        <v>87</v>
      </c>
    </row>
    <row r="303" spans="1:21" x14ac:dyDescent="0.3">
      <c r="A303">
        <v>302</v>
      </c>
      <c r="B303" t="str">
        <f>H303&amp;R303&amp;I303</f>
        <v>2017Clay/Ryan9</v>
      </c>
      <c r="C303" t="str">
        <f>H303&amp;S303&amp;I303</f>
        <v>2017Dave/Nolan9</v>
      </c>
      <c r="D303">
        <f t="shared" si="40"/>
        <v>258</v>
      </c>
      <c r="E303">
        <f t="shared" si="41"/>
        <v>857</v>
      </c>
      <c r="F303">
        <f t="shared" si="42"/>
        <v>827</v>
      </c>
      <c r="G303">
        <f t="shared" si="43"/>
        <v>855</v>
      </c>
      <c r="H303">
        <v>2017</v>
      </c>
      <c r="I303">
        <v>9</v>
      </c>
      <c r="J303">
        <v>41</v>
      </c>
      <c r="K303" t="s">
        <v>35</v>
      </c>
      <c r="L303">
        <v>89.5</v>
      </c>
      <c r="M303" t="s">
        <v>30</v>
      </c>
      <c r="N303">
        <v>56</v>
      </c>
      <c r="O303" t="s">
        <v>20</v>
      </c>
      <c r="P303">
        <f t="shared" si="44"/>
        <v>145.5</v>
      </c>
      <c r="Q303">
        <f t="shared" si="45"/>
        <v>33.5</v>
      </c>
      <c r="R303" t="str">
        <f t="shared" si="46"/>
        <v>Clay/Ryan</v>
      </c>
      <c r="S303" t="str">
        <f t="shared" si="47"/>
        <v>Dave/Nolan</v>
      </c>
      <c r="T303">
        <f t="shared" si="48"/>
        <v>89.5</v>
      </c>
      <c r="U303">
        <f t="shared" si="49"/>
        <v>56</v>
      </c>
    </row>
    <row r="304" spans="1:21" x14ac:dyDescent="0.3">
      <c r="A304">
        <v>303</v>
      </c>
      <c r="B304" t="str">
        <f>H304&amp;R304&amp;I304</f>
        <v>2017Drew/Cam9</v>
      </c>
      <c r="C304" t="str">
        <f>H304&amp;S304&amp;I304</f>
        <v>2017Trent/Colin9</v>
      </c>
      <c r="D304">
        <f t="shared" si="40"/>
        <v>364</v>
      </c>
      <c r="E304">
        <f t="shared" si="41"/>
        <v>672</v>
      </c>
      <c r="F304">
        <f t="shared" si="42"/>
        <v>629</v>
      </c>
      <c r="G304">
        <f t="shared" si="43"/>
        <v>669</v>
      </c>
      <c r="H304">
        <v>2017</v>
      </c>
      <c r="I304">
        <v>9</v>
      </c>
      <c r="J304">
        <v>42</v>
      </c>
      <c r="K304" t="s">
        <v>37</v>
      </c>
      <c r="L304">
        <v>106.5</v>
      </c>
      <c r="M304" t="s">
        <v>33</v>
      </c>
      <c r="N304">
        <v>81</v>
      </c>
      <c r="O304" t="s">
        <v>20</v>
      </c>
      <c r="P304">
        <f t="shared" si="44"/>
        <v>187.5</v>
      </c>
      <c r="Q304">
        <f t="shared" si="45"/>
        <v>25.5</v>
      </c>
      <c r="R304" t="str">
        <f t="shared" si="46"/>
        <v>Drew/Cam</v>
      </c>
      <c r="S304" t="str">
        <f t="shared" si="47"/>
        <v>Trent/Colin</v>
      </c>
      <c r="T304">
        <f t="shared" si="48"/>
        <v>106.5</v>
      </c>
      <c r="U304">
        <f t="shared" si="49"/>
        <v>81</v>
      </c>
    </row>
    <row r="305" spans="1:21" x14ac:dyDescent="0.3">
      <c r="A305">
        <v>304</v>
      </c>
      <c r="B305" t="str">
        <f>H305&amp;R305&amp;I305</f>
        <v>2017Walker/Cory9</v>
      </c>
      <c r="C305" t="str">
        <f>H305&amp;S305&amp;I305</f>
        <v>2017Eric/Blake9</v>
      </c>
      <c r="D305">
        <f t="shared" si="40"/>
        <v>521</v>
      </c>
      <c r="E305">
        <f t="shared" si="41"/>
        <v>744</v>
      </c>
      <c r="F305">
        <f t="shared" si="42"/>
        <v>739</v>
      </c>
      <c r="G305">
        <f t="shared" si="43"/>
        <v>669</v>
      </c>
      <c r="H305">
        <v>2017</v>
      </c>
      <c r="I305">
        <v>9</v>
      </c>
      <c r="J305">
        <v>43</v>
      </c>
      <c r="K305" t="s">
        <v>34</v>
      </c>
      <c r="L305">
        <v>81</v>
      </c>
      <c r="M305" t="s">
        <v>36</v>
      </c>
      <c r="N305">
        <v>97.5</v>
      </c>
      <c r="O305" t="s">
        <v>20</v>
      </c>
      <c r="P305">
        <f t="shared" si="44"/>
        <v>178.5</v>
      </c>
      <c r="Q305">
        <f t="shared" si="45"/>
        <v>16.5</v>
      </c>
      <c r="R305" t="str">
        <f t="shared" si="46"/>
        <v>Walker/Cory</v>
      </c>
      <c r="S305" t="str">
        <f t="shared" si="47"/>
        <v>Eric/Blake</v>
      </c>
      <c r="T305">
        <f t="shared" si="48"/>
        <v>97.5</v>
      </c>
      <c r="U305">
        <f t="shared" si="49"/>
        <v>81</v>
      </c>
    </row>
    <row r="306" spans="1:21" x14ac:dyDescent="0.3">
      <c r="A306">
        <v>305</v>
      </c>
      <c r="B306" t="str">
        <f>H306&amp;R306&amp;I306</f>
        <v>2017Brian/Travis9</v>
      </c>
      <c r="C306" t="str">
        <f>H306&amp;S306&amp;I306</f>
        <v>2017Graham/Michael9</v>
      </c>
      <c r="D306">
        <f t="shared" si="40"/>
        <v>51</v>
      </c>
      <c r="E306">
        <f t="shared" si="41"/>
        <v>354</v>
      </c>
      <c r="F306">
        <f t="shared" si="42"/>
        <v>129</v>
      </c>
      <c r="G306">
        <f t="shared" si="43"/>
        <v>655</v>
      </c>
      <c r="H306">
        <v>2017</v>
      </c>
      <c r="I306">
        <v>9</v>
      </c>
      <c r="J306">
        <v>44</v>
      </c>
      <c r="K306" t="s">
        <v>29</v>
      </c>
      <c r="L306">
        <v>82</v>
      </c>
      <c r="M306" t="s">
        <v>32</v>
      </c>
      <c r="N306">
        <v>141</v>
      </c>
      <c r="O306" t="s">
        <v>20</v>
      </c>
      <c r="P306">
        <f t="shared" si="44"/>
        <v>223</v>
      </c>
      <c r="Q306">
        <f t="shared" si="45"/>
        <v>59</v>
      </c>
      <c r="R306" t="str">
        <f t="shared" si="46"/>
        <v>Brian/Travis</v>
      </c>
      <c r="S306" t="str">
        <f t="shared" si="47"/>
        <v>Graham/Michael</v>
      </c>
      <c r="T306">
        <f t="shared" si="48"/>
        <v>141</v>
      </c>
      <c r="U306">
        <f t="shared" si="49"/>
        <v>82</v>
      </c>
    </row>
    <row r="307" spans="1:21" x14ac:dyDescent="0.3">
      <c r="A307">
        <v>306</v>
      </c>
      <c r="B307" t="str">
        <f>H307&amp;R307&amp;I307</f>
        <v>2017Clay/Ryan10</v>
      </c>
      <c r="C307" t="str">
        <f>H307&amp;S307&amp;I307</f>
        <v>2017Drew/Cam10</v>
      </c>
      <c r="D307">
        <f t="shared" si="40"/>
        <v>369</v>
      </c>
      <c r="E307">
        <f t="shared" si="41"/>
        <v>770</v>
      </c>
      <c r="F307">
        <f t="shared" si="42"/>
        <v>717</v>
      </c>
      <c r="G307">
        <f t="shared" si="43"/>
        <v>743</v>
      </c>
      <c r="H307">
        <v>2017</v>
      </c>
      <c r="I307">
        <v>10</v>
      </c>
      <c r="J307">
        <v>45</v>
      </c>
      <c r="K307" t="s">
        <v>35</v>
      </c>
      <c r="L307">
        <v>99</v>
      </c>
      <c r="M307" t="s">
        <v>37</v>
      </c>
      <c r="N307">
        <v>74</v>
      </c>
      <c r="O307" t="s">
        <v>20</v>
      </c>
      <c r="P307">
        <f t="shared" si="44"/>
        <v>173</v>
      </c>
      <c r="Q307">
        <f t="shared" si="45"/>
        <v>25</v>
      </c>
      <c r="R307" t="str">
        <f t="shared" si="46"/>
        <v>Clay/Ryan</v>
      </c>
      <c r="S307" t="str">
        <f t="shared" si="47"/>
        <v>Drew/Cam</v>
      </c>
      <c r="T307">
        <f t="shared" si="48"/>
        <v>99</v>
      </c>
      <c r="U307">
        <f t="shared" si="49"/>
        <v>74</v>
      </c>
    </row>
    <row r="308" spans="1:21" x14ac:dyDescent="0.3">
      <c r="A308">
        <v>307</v>
      </c>
      <c r="B308" t="str">
        <f>H308&amp;R308&amp;I308</f>
        <v>2017David/Marshall10</v>
      </c>
      <c r="C308" t="str">
        <f>H308&amp;S308&amp;I308</f>
        <v>2017Eric/Blake10</v>
      </c>
      <c r="D308">
        <f t="shared" si="40"/>
        <v>49</v>
      </c>
      <c r="E308">
        <f t="shared" si="41"/>
        <v>307</v>
      </c>
      <c r="F308">
        <f t="shared" si="42"/>
        <v>115</v>
      </c>
      <c r="G308">
        <f t="shared" si="43"/>
        <v>628</v>
      </c>
      <c r="H308">
        <v>2017</v>
      </c>
      <c r="I308">
        <v>10</v>
      </c>
      <c r="J308">
        <v>46</v>
      </c>
      <c r="K308" t="s">
        <v>34</v>
      </c>
      <c r="L308">
        <v>84</v>
      </c>
      <c r="M308" t="s">
        <v>38</v>
      </c>
      <c r="N308">
        <v>143.5</v>
      </c>
      <c r="O308" t="s">
        <v>20</v>
      </c>
      <c r="P308">
        <f t="shared" si="44"/>
        <v>227.5</v>
      </c>
      <c r="Q308">
        <f t="shared" si="45"/>
        <v>59.5</v>
      </c>
      <c r="R308" t="str">
        <f t="shared" si="46"/>
        <v>David/Marshall</v>
      </c>
      <c r="S308" t="str">
        <f t="shared" si="47"/>
        <v>Eric/Blake</v>
      </c>
      <c r="T308">
        <f t="shared" si="48"/>
        <v>143.5</v>
      </c>
      <c r="U308">
        <f t="shared" si="49"/>
        <v>84</v>
      </c>
    </row>
    <row r="309" spans="1:21" x14ac:dyDescent="0.3">
      <c r="A309">
        <v>308</v>
      </c>
      <c r="B309" t="str">
        <f>H309&amp;R309&amp;I309</f>
        <v>2017Graham/Michael10</v>
      </c>
      <c r="C309" t="str">
        <f>H309&amp;S309&amp;I309</f>
        <v>2017Pat/Tucker10</v>
      </c>
      <c r="D309">
        <f t="shared" si="40"/>
        <v>521</v>
      </c>
      <c r="E309">
        <f t="shared" si="41"/>
        <v>623</v>
      </c>
      <c r="F309">
        <f t="shared" si="42"/>
        <v>648</v>
      </c>
      <c r="G309">
        <f t="shared" si="43"/>
        <v>534</v>
      </c>
      <c r="H309">
        <v>2017</v>
      </c>
      <c r="I309">
        <v>10</v>
      </c>
      <c r="J309">
        <v>47</v>
      </c>
      <c r="K309" t="s">
        <v>31</v>
      </c>
      <c r="L309">
        <v>88.5</v>
      </c>
      <c r="M309" t="s">
        <v>29</v>
      </c>
      <c r="N309">
        <v>105</v>
      </c>
      <c r="O309" t="s">
        <v>20</v>
      </c>
      <c r="P309">
        <f t="shared" si="44"/>
        <v>193.5</v>
      </c>
      <c r="Q309">
        <f t="shared" si="45"/>
        <v>16.5</v>
      </c>
      <c r="R309" t="str">
        <f t="shared" si="46"/>
        <v>Graham/Michael</v>
      </c>
      <c r="S309" t="str">
        <f t="shared" si="47"/>
        <v>Pat/Tucker</v>
      </c>
      <c r="T309">
        <f t="shared" si="48"/>
        <v>105</v>
      </c>
      <c r="U309">
        <f t="shared" si="49"/>
        <v>88.5</v>
      </c>
    </row>
    <row r="310" spans="1:21" x14ac:dyDescent="0.3">
      <c r="A310">
        <v>309</v>
      </c>
      <c r="B310" t="str">
        <f>H310&amp;R310&amp;I310</f>
        <v>2017Dave/Nolan10</v>
      </c>
      <c r="C310" t="str">
        <f>H310&amp;S310&amp;I310</f>
        <v>2017Walker/Cory10</v>
      </c>
      <c r="D310">
        <f t="shared" si="40"/>
        <v>571</v>
      </c>
      <c r="E310">
        <f t="shared" si="41"/>
        <v>866</v>
      </c>
      <c r="F310">
        <f t="shared" si="42"/>
        <v>865</v>
      </c>
      <c r="G310">
        <f t="shared" si="43"/>
        <v>840</v>
      </c>
      <c r="H310">
        <v>2017</v>
      </c>
      <c r="I310">
        <v>10</v>
      </c>
      <c r="J310">
        <v>48</v>
      </c>
      <c r="K310" t="s">
        <v>36</v>
      </c>
      <c r="L310">
        <v>61.5</v>
      </c>
      <c r="M310" t="s">
        <v>30</v>
      </c>
      <c r="N310">
        <v>75</v>
      </c>
      <c r="O310" t="s">
        <v>20</v>
      </c>
      <c r="P310">
        <f t="shared" si="44"/>
        <v>136.5</v>
      </c>
      <c r="Q310">
        <f t="shared" si="45"/>
        <v>13.5</v>
      </c>
      <c r="R310" t="str">
        <f t="shared" si="46"/>
        <v>Dave/Nolan</v>
      </c>
      <c r="S310" t="str">
        <f t="shared" si="47"/>
        <v>Walker/Cory</v>
      </c>
      <c r="T310">
        <f t="shared" si="48"/>
        <v>75</v>
      </c>
      <c r="U310">
        <f t="shared" si="49"/>
        <v>61.5</v>
      </c>
    </row>
    <row r="311" spans="1:21" x14ac:dyDescent="0.3">
      <c r="A311">
        <v>310</v>
      </c>
      <c r="B311" t="str">
        <f>H311&amp;R311&amp;I311</f>
        <v>2017Trent/Colin10</v>
      </c>
      <c r="C311" t="str">
        <f>H311&amp;S311&amp;I311</f>
        <v>2017Brian/Travis10</v>
      </c>
      <c r="D311">
        <f t="shared" si="40"/>
        <v>793</v>
      </c>
      <c r="E311">
        <f t="shared" si="41"/>
        <v>823</v>
      </c>
      <c r="F311">
        <f t="shared" si="42"/>
        <v>847</v>
      </c>
      <c r="G311">
        <f t="shared" si="43"/>
        <v>697</v>
      </c>
      <c r="H311">
        <v>2017</v>
      </c>
      <c r="I311">
        <v>10</v>
      </c>
      <c r="J311">
        <v>49</v>
      </c>
      <c r="K311" t="s">
        <v>33</v>
      </c>
      <c r="L311">
        <v>82</v>
      </c>
      <c r="M311" t="s">
        <v>32</v>
      </c>
      <c r="N311">
        <v>78</v>
      </c>
      <c r="O311" t="s">
        <v>20</v>
      </c>
      <c r="P311">
        <f t="shared" si="44"/>
        <v>160</v>
      </c>
      <c r="Q311">
        <f t="shared" si="45"/>
        <v>4</v>
      </c>
      <c r="R311" t="str">
        <f t="shared" si="46"/>
        <v>Trent/Colin</v>
      </c>
      <c r="S311" t="str">
        <f t="shared" si="47"/>
        <v>Brian/Travis</v>
      </c>
      <c r="T311">
        <f t="shared" si="48"/>
        <v>82</v>
      </c>
      <c r="U311">
        <f t="shared" si="49"/>
        <v>78</v>
      </c>
    </row>
    <row r="312" spans="1:21" x14ac:dyDescent="0.3">
      <c r="A312">
        <v>311</v>
      </c>
      <c r="B312" t="str">
        <f>H312&amp;R312&amp;I312</f>
        <v>2017Eric/Blake11</v>
      </c>
      <c r="C312" t="str">
        <f>H312&amp;S312&amp;I312</f>
        <v>2017Graham/Michael11</v>
      </c>
      <c r="D312">
        <f t="shared" si="40"/>
        <v>802</v>
      </c>
      <c r="E312">
        <f t="shared" si="41"/>
        <v>314</v>
      </c>
      <c r="F312">
        <f t="shared" si="42"/>
        <v>509</v>
      </c>
      <c r="G312">
        <f t="shared" si="43"/>
        <v>164</v>
      </c>
      <c r="H312">
        <v>2017</v>
      </c>
      <c r="I312">
        <v>11</v>
      </c>
      <c r="J312">
        <v>50</v>
      </c>
      <c r="K312" t="s">
        <v>34</v>
      </c>
      <c r="L312">
        <v>115</v>
      </c>
      <c r="M312" t="s">
        <v>29</v>
      </c>
      <c r="N312">
        <v>111.5</v>
      </c>
      <c r="O312" t="s">
        <v>20</v>
      </c>
      <c r="P312">
        <f t="shared" si="44"/>
        <v>226.5</v>
      </c>
      <c r="Q312">
        <f t="shared" si="45"/>
        <v>3.5</v>
      </c>
      <c r="R312" t="str">
        <f t="shared" si="46"/>
        <v>Eric/Blake</v>
      </c>
      <c r="S312" t="str">
        <f t="shared" si="47"/>
        <v>Graham/Michael</v>
      </c>
      <c r="T312">
        <f t="shared" si="48"/>
        <v>115</v>
      </c>
      <c r="U312">
        <f t="shared" si="49"/>
        <v>111.5</v>
      </c>
    </row>
    <row r="313" spans="1:21" x14ac:dyDescent="0.3">
      <c r="A313">
        <v>312</v>
      </c>
      <c r="B313" t="str">
        <f>H313&amp;R313&amp;I313</f>
        <v>2017Clay/Ryan11</v>
      </c>
      <c r="C313" t="str">
        <f>H313&amp;S313&amp;I313</f>
        <v>2017Walker/Cory11</v>
      </c>
      <c r="D313">
        <f t="shared" si="40"/>
        <v>580</v>
      </c>
      <c r="E313">
        <f t="shared" si="41"/>
        <v>431</v>
      </c>
      <c r="F313">
        <f t="shared" si="42"/>
        <v>533</v>
      </c>
      <c r="G313">
        <f t="shared" si="43"/>
        <v>324</v>
      </c>
      <c r="H313">
        <v>2017</v>
      </c>
      <c r="I313">
        <v>11</v>
      </c>
      <c r="J313">
        <v>51</v>
      </c>
      <c r="K313" t="s">
        <v>35</v>
      </c>
      <c r="L313">
        <v>113</v>
      </c>
      <c r="M313" t="s">
        <v>36</v>
      </c>
      <c r="N313">
        <v>100</v>
      </c>
      <c r="O313" t="s">
        <v>20</v>
      </c>
      <c r="P313">
        <f t="shared" si="44"/>
        <v>213</v>
      </c>
      <c r="Q313">
        <f t="shared" si="45"/>
        <v>13</v>
      </c>
      <c r="R313" t="str">
        <f t="shared" si="46"/>
        <v>Clay/Ryan</v>
      </c>
      <c r="S313" t="str">
        <f t="shared" si="47"/>
        <v>Walker/Cory</v>
      </c>
      <c r="T313">
        <f t="shared" si="48"/>
        <v>113</v>
      </c>
      <c r="U313">
        <f t="shared" si="49"/>
        <v>100</v>
      </c>
    </row>
    <row r="314" spans="1:21" x14ac:dyDescent="0.3">
      <c r="A314">
        <v>313</v>
      </c>
      <c r="B314" t="str">
        <f>H314&amp;R314&amp;I314</f>
        <v>2017Brian/Travis11</v>
      </c>
      <c r="C314" t="str">
        <f>H314&amp;S314&amp;I314</f>
        <v>2017Drew/Cam11</v>
      </c>
      <c r="D314">
        <f t="shared" si="40"/>
        <v>210</v>
      </c>
      <c r="E314">
        <f t="shared" si="41"/>
        <v>57</v>
      </c>
      <c r="F314">
        <f t="shared" si="42"/>
        <v>54</v>
      </c>
      <c r="G314">
        <f t="shared" si="43"/>
        <v>127</v>
      </c>
      <c r="H314">
        <v>2017</v>
      </c>
      <c r="I314">
        <v>11</v>
      </c>
      <c r="J314">
        <v>52</v>
      </c>
      <c r="K314" t="s">
        <v>32</v>
      </c>
      <c r="L314">
        <v>153</v>
      </c>
      <c r="M314" t="s">
        <v>37</v>
      </c>
      <c r="N314">
        <v>115</v>
      </c>
      <c r="O314" t="s">
        <v>20</v>
      </c>
      <c r="P314">
        <f t="shared" si="44"/>
        <v>268</v>
      </c>
      <c r="Q314">
        <f t="shared" si="45"/>
        <v>38</v>
      </c>
      <c r="R314" t="str">
        <f t="shared" si="46"/>
        <v>Brian/Travis</v>
      </c>
      <c r="S314" t="str">
        <f t="shared" si="47"/>
        <v>Drew/Cam</v>
      </c>
      <c r="T314">
        <f t="shared" si="48"/>
        <v>153</v>
      </c>
      <c r="U314">
        <f t="shared" si="49"/>
        <v>115</v>
      </c>
    </row>
    <row r="315" spans="1:21" x14ac:dyDescent="0.3">
      <c r="A315">
        <v>314</v>
      </c>
      <c r="B315" t="str">
        <f>H315&amp;R315&amp;I315</f>
        <v>2017David/Marshall11</v>
      </c>
      <c r="C315" t="str">
        <f>H315&amp;S315&amp;I315</f>
        <v>2017Dave/Nolan11</v>
      </c>
      <c r="D315">
        <f t="shared" si="40"/>
        <v>770</v>
      </c>
      <c r="E315">
        <f t="shared" si="41"/>
        <v>556</v>
      </c>
      <c r="F315">
        <f t="shared" si="42"/>
        <v>680</v>
      </c>
      <c r="G315">
        <f t="shared" si="43"/>
        <v>364</v>
      </c>
      <c r="H315">
        <v>2017</v>
      </c>
      <c r="I315">
        <v>11</v>
      </c>
      <c r="J315">
        <v>53</v>
      </c>
      <c r="K315" t="s">
        <v>38</v>
      </c>
      <c r="L315">
        <v>103</v>
      </c>
      <c r="M315" t="s">
        <v>30</v>
      </c>
      <c r="N315">
        <v>98</v>
      </c>
      <c r="O315" t="s">
        <v>20</v>
      </c>
      <c r="P315">
        <f t="shared" si="44"/>
        <v>201</v>
      </c>
      <c r="Q315">
        <f t="shared" si="45"/>
        <v>5</v>
      </c>
      <c r="R315" t="str">
        <f t="shared" si="46"/>
        <v>David/Marshall</v>
      </c>
      <c r="S315" t="str">
        <f t="shared" si="47"/>
        <v>Dave/Nolan</v>
      </c>
      <c r="T315">
        <f t="shared" si="48"/>
        <v>103</v>
      </c>
      <c r="U315">
        <f t="shared" si="49"/>
        <v>98</v>
      </c>
    </row>
    <row r="316" spans="1:21" x14ac:dyDescent="0.3">
      <c r="A316">
        <v>315</v>
      </c>
      <c r="B316" t="str">
        <f>H316&amp;R316&amp;I316</f>
        <v>2017Pat/Tucker11</v>
      </c>
      <c r="C316" t="str">
        <f>H316&amp;S316&amp;I316</f>
        <v>2017Trent/Colin11</v>
      </c>
      <c r="D316">
        <f t="shared" si="40"/>
        <v>99</v>
      </c>
      <c r="E316">
        <f t="shared" si="41"/>
        <v>391</v>
      </c>
      <c r="F316">
        <f t="shared" si="42"/>
        <v>193</v>
      </c>
      <c r="G316">
        <f t="shared" si="43"/>
        <v>628</v>
      </c>
      <c r="H316">
        <v>2017</v>
      </c>
      <c r="I316">
        <v>11</v>
      </c>
      <c r="J316">
        <v>54</v>
      </c>
      <c r="K316" t="s">
        <v>33</v>
      </c>
      <c r="L316">
        <v>84</v>
      </c>
      <c r="M316" t="s">
        <v>31</v>
      </c>
      <c r="N316">
        <v>134.5</v>
      </c>
      <c r="O316" t="s">
        <v>20</v>
      </c>
      <c r="P316">
        <f t="shared" si="44"/>
        <v>218.5</v>
      </c>
      <c r="Q316">
        <f t="shared" si="45"/>
        <v>50.5</v>
      </c>
      <c r="R316" t="str">
        <f t="shared" si="46"/>
        <v>Pat/Tucker</v>
      </c>
      <c r="S316" t="str">
        <f t="shared" si="47"/>
        <v>Trent/Colin</v>
      </c>
      <c r="T316">
        <f t="shared" si="48"/>
        <v>134.5</v>
      </c>
      <c r="U316">
        <f t="shared" si="49"/>
        <v>84</v>
      </c>
    </row>
    <row r="317" spans="1:21" x14ac:dyDescent="0.3">
      <c r="A317">
        <v>316</v>
      </c>
      <c r="B317" t="str">
        <f>H317&amp;R317&amp;I317</f>
        <v>2017Brian/Travis12</v>
      </c>
      <c r="C317" t="str">
        <f>H317&amp;S317&amp;I317</f>
        <v>2017Walker/Cory12</v>
      </c>
      <c r="D317">
        <f t="shared" si="40"/>
        <v>30</v>
      </c>
      <c r="E317">
        <f t="shared" si="41"/>
        <v>468</v>
      </c>
      <c r="F317">
        <f t="shared" si="42"/>
        <v>152</v>
      </c>
      <c r="G317">
        <f t="shared" si="43"/>
        <v>784</v>
      </c>
      <c r="H317">
        <v>2017</v>
      </c>
      <c r="I317">
        <v>12</v>
      </c>
      <c r="J317">
        <v>55</v>
      </c>
      <c r="K317" t="s">
        <v>36</v>
      </c>
      <c r="L317">
        <v>71</v>
      </c>
      <c r="M317" t="s">
        <v>32</v>
      </c>
      <c r="N317">
        <v>138.5</v>
      </c>
      <c r="O317" t="s">
        <v>20</v>
      </c>
      <c r="P317">
        <f t="shared" si="44"/>
        <v>209.5</v>
      </c>
      <c r="Q317">
        <f t="shared" si="45"/>
        <v>67.5</v>
      </c>
      <c r="R317" t="str">
        <f t="shared" si="46"/>
        <v>Brian/Travis</v>
      </c>
      <c r="S317" t="str">
        <f t="shared" si="47"/>
        <v>Walker/Cory</v>
      </c>
      <c r="T317">
        <f t="shared" si="48"/>
        <v>138.5</v>
      </c>
      <c r="U317">
        <f t="shared" si="49"/>
        <v>71</v>
      </c>
    </row>
    <row r="318" spans="1:21" x14ac:dyDescent="0.3">
      <c r="A318">
        <v>317</v>
      </c>
      <c r="B318" t="str">
        <f>H318&amp;R318&amp;I318</f>
        <v>2017Dave/Nolan12</v>
      </c>
      <c r="C318" t="str">
        <f>H318&amp;S318&amp;I318</f>
        <v>2017Eric/Blake12</v>
      </c>
      <c r="D318">
        <f t="shared" si="40"/>
        <v>269</v>
      </c>
      <c r="E318">
        <f t="shared" si="41"/>
        <v>682</v>
      </c>
      <c r="F318">
        <f t="shared" si="42"/>
        <v>592</v>
      </c>
      <c r="G318">
        <f t="shared" si="43"/>
        <v>705</v>
      </c>
      <c r="H318">
        <v>2017</v>
      </c>
      <c r="I318">
        <v>12</v>
      </c>
      <c r="J318">
        <v>56</v>
      </c>
      <c r="K318" t="s">
        <v>30</v>
      </c>
      <c r="L318">
        <v>109.5</v>
      </c>
      <c r="M318" t="s">
        <v>34</v>
      </c>
      <c r="N318">
        <v>77</v>
      </c>
      <c r="O318" t="s">
        <v>20</v>
      </c>
      <c r="P318">
        <f t="shared" si="44"/>
        <v>186.5</v>
      </c>
      <c r="Q318">
        <f t="shared" si="45"/>
        <v>32.5</v>
      </c>
      <c r="R318" t="str">
        <f t="shared" si="46"/>
        <v>Dave/Nolan</v>
      </c>
      <c r="S318" t="str">
        <f t="shared" si="47"/>
        <v>Eric/Blake</v>
      </c>
      <c r="T318">
        <f t="shared" si="48"/>
        <v>109.5</v>
      </c>
      <c r="U318">
        <f t="shared" si="49"/>
        <v>77</v>
      </c>
    </row>
    <row r="319" spans="1:21" x14ac:dyDescent="0.3">
      <c r="A319">
        <v>318</v>
      </c>
      <c r="B319" t="str">
        <f>H319&amp;R319&amp;I319</f>
        <v>2017Trent/Colin12</v>
      </c>
      <c r="C319" t="str">
        <f>H319&amp;S319&amp;I319</f>
        <v>2017Graham/Michael12</v>
      </c>
      <c r="D319">
        <f t="shared" si="40"/>
        <v>65</v>
      </c>
      <c r="E319">
        <f t="shared" si="41"/>
        <v>578</v>
      </c>
      <c r="F319">
        <f t="shared" si="42"/>
        <v>296</v>
      </c>
      <c r="G319">
        <f t="shared" si="43"/>
        <v>784</v>
      </c>
      <c r="H319">
        <v>2017</v>
      </c>
      <c r="I319">
        <v>12</v>
      </c>
      <c r="J319">
        <v>57</v>
      </c>
      <c r="K319" t="s">
        <v>29</v>
      </c>
      <c r="L319">
        <v>71</v>
      </c>
      <c r="M319" t="s">
        <v>33</v>
      </c>
      <c r="N319">
        <v>127.5</v>
      </c>
      <c r="O319" t="s">
        <v>20</v>
      </c>
      <c r="P319">
        <f t="shared" si="44"/>
        <v>198.5</v>
      </c>
      <c r="Q319">
        <f t="shared" si="45"/>
        <v>56.5</v>
      </c>
      <c r="R319" t="str">
        <f t="shared" si="46"/>
        <v>Trent/Colin</v>
      </c>
      <c r="S319" t="str">
        <f t="shared" si="47"/>
        <v>Graham/Michael</v>
      </c>
      <c r="T319">
        <f t="shared" si="48"/>
        <v>127.5</v>
      </c>
      <c r="U319">
        <f t="shared" si="49"/>
        <v>71</v>
      </c>
    </row>
    <row r="320" spans="1:21" x14ac:dyDescent="0.3">
      <c r="A320">
        <v>319</v>
      </c>
      <c r="B320" t="str">
        <f>H320&amp;R320&amp;I320</f>
        <v>2017Clay/Ryan12</v>
      </c>
      <c r="C320" t="str">
        <f>H320&amp;S320&amp;I320</f>
        <v>2017David/Marshall12</v>
      </c>
      <c r="D320">
        <f t="shared" si="40"/>
        <v>640</v>
      </c>
      <c r="E320">
        <f t="shared" si="41"/>
        <v>729</v>
      </c>
      <c r="F320">
        <f t="shared" si="42"/>
        <v>762</v>
      </c>
      <c r="G320">
        <f t="shared" si="43"/>
        <v>615</v>
      </c>
      <c r="H320">
        <v>2017</v>
      </c>
      <c r="I320">
        <v>12</v>
      </c>
      <c r="J320">
        <v>58</v>
      </c>
      <c r="K320" t="s">
        <v>38</v>
      </c>
      <c r="L320">
        <v>85</v>
      </c>
      <c r="M320" t="s">
        <v>35</v>
      </c>
      <c r="N320">
        <v>95.5</v>
      </c>
      <c r="O320" t="s">
        <v>20</v>
      </c>
      <c r="P320">
        <f t="shared" si="44"/>
        <v>180.5</v>
      </c>
      <c r="Q320">
        <f t="shared" si="45"/>
        <v>10.5</v>
      </c>
      <c r="R320" t="str">
        <f t="shared" si="46"/>
        <v>Clay/Ryan</v>
      </c>
      <c r="S320" t="str">
        <f t="shared" si="47"/>
        <v>David/Marshall</v>
      </c>
      <c r="T320">
        <f t="shared" si="48"/>
        <v>95.5</v>
      </c>
      <c r="U320">
        <f t="shared" si="49"/>
        <v>85</v>
      </c>
    </row>
    <row r="321" spans="1:21" x14ac:dyDescent="0.3">
      <c r="A321">
        <v>320</v>
      </c>
      <c r="B321" t="str">
        <f>H321&amp;R321&amp;I321</f>
        <v>2017Drew/Cam12</v>
      </c>
      <c r="C321" t="str">
        <f>H321&amp;S321&amp;I321</f>
        <v>2017Pat/Tucker12</v>
      </c>
      <c r="D321">
        <f t="shared" si="40"/>
        <v>674</v>
      </c>
      <c r="E321">
        <f t="shared" si="41"/>
        <v>35</v>
      </c>
      <c r="F321">
        <f t="shared" si="42"/>
        <v>119</v>
      </c>
      <c r="G321">
        <f t="shared" si="43"/>
        <v>17</v>
      </c>
      <c r="H321">
        <v>2017</v>
      </c>
      <c r="I321">
        <v>12</v>
      </c>
      <c r="J321">
        <v>59</v>
      </c>
      <c r="K321" t="s">
        <v>37</v>
      </c>
      <c r="L321">
        <v>143</v>
      </c>
      <c r="M321" t="s">
        <v>31</v>
      </c>
      <c r="N321">
        <v>134</v>
      </c>
      <c r="O321" t="s">
        <v>20</v>
      </c>
      <c r="P321">
        <f t="shared" si="44"/>
        <v>277</v>
      </c>
      <c r="Q321">
        <f t="shared" si="45"/>
        <v>9</v>
      </c>
      <c r="R321" t="str">
        <f t="shared" si="46"/>
        <v>Drew/Cam</v>
      </c>
      <c r="S321" t="str">
        <f t="shared" si="47"/>
        <v>Pat/Tucker</v>
      </c>
      <c r="T321">
        <f t="shared" si="48"/>
        <v>143</v>
      </c>
      <c r="U321">
        <f t="shared" si="49"/>
        <v>134</v>
      </c>
    </row>
    <row r="322" spans="1:21" x14ac:dyDescent="0.3">
      <c r="A322">
        <v>321</v>
      </c>
      <c r="B322" t="str">
        <f>H322&amp;R322&amp;I322</f>
        <v>2017Trent/Colin13</v>
      </c>
      <c r="C322" t="str">
        <f>H322&amp;S322&amp;I322</f>
        <v>2017Dave/Nolan13</v>
      </c>
      <c r="D322">
        <f t="shared" ref="D322:D385" si="50">RANK(Q322,Q:Q)</f>
        <v>825</v>
      </c>
      <c r="E322">
        <f t="shared" ref="E322:E385" si="51">RANK(P322,P:P)</f>
        <v>116</v>
      </c>
      <c r="F322">
        <f t="shared" ref="F322:F385" si="52">RANK(T322,T:T)</f>
        <v>286</v>
      </c>
      <c r="G322">
        <f t="shared" ref="G322:G385" si="53">RANK(U322,U:U)</f>
        <v>41</v>
      </c>
      <c r="H322">
        <v>2017</v>
      </c>
      <c r="I322">
        <v>13</v>
      </c>
      <c r="J322">
        <v>60</v>
      </c>
      <c r="K322" t="s">
        <v>30</v>
      </c>
      <c r="L322">
        <v>125.5</v>
      </c>
      <c r="M322" t="s">
        <v>33</v>
      </c>
      <c r="N322">
        <v>128</v>
      </c>
      <c r="O322" t="s">
        <v>20</v>
      </c>
      <c r="P322">
        <f t="shared" ref="P322:P385" si="54">SUM(L322,N322)</f>
        <v>253.5</v>
      </c>
      <c r="Q322">
        <f t="shared" ref="Q322:Q385" si="55">ABS(L322-N322)</f>
        <v>2.5</v>
      </c>
      <c r="R322" t="str">
        <f t="shared" ref="R322:R385" si="56">IF(L322&gt;N322,K322,M322)</f>
        <v>Trent/Colin</v>
      </c>
      <c r="S322" t="str">
        <f t="shared" ref="S322:S385" si="57">IF(L322&gt;N322,M322,K322)</f>
        <v>Dave/Nolan</v>
      </c>
      <c r="T322">
        <f t="shared" ref="T322:T385" si="58">IF(L322&gt;N322,L322,N322)</f>
        <v>128</v>
      </c>
      <c r="U322">
        <f t="shared" ref="U322:U385" si="59">IF(L322&gt;N322,N322,L322)</f>
        <v>125.5</v>
      </c>
    </row>
    <row r="323" spans="1:21" x14ac:dyDescent="0.3">
      <c r="A323">
        <v>322</v>
      </c>
      <c r="B323" t="str">
        <f>H323&amp;R323&amp;I323</f>
        <v>2017David/Marshall13</v>
      </c>
      <c r="C323" t="str">
        <f>H323&amp;S323&amp;I323</f>
        <v>2017Walker/Cory13</v>
      </c>
      <c r="D323">
        <f t="shared" si="50"/>
        <v>220</v>
      </c>
      <c r="E323">
        <f t="shared" si="51"/>
        <v>640</v>
      </c>
      <c r="F323">
        <f t="shared" si="52"/>
        <v>519</v>
      </c>
      <c r="G323">
        <f t="shared" si="53"/>
        <v>705</v>
      </c>
      <c r="H323">
        <v>2017</v>
      </c>
      <c r="I323">
        <v>13</v>
      </c>
      <c r="J323">
        <v>61</v>
      </c>
      <c r="K323" t="s">
        <v>36</v>
      </c>
      <c r="L323">
        <v>77</v>
      </c>
      <c r="M323" t="s">
        <v>38</v>
      </c>
      <c r="N323">
        <v>114</v>
      </c>
      <c r="O323" t="s">
        <v>20</v>
      </c>
      <c r="P323">
        <f t="shared" si="54"/>
        <v>191</v>
      </c>
      <c r="Q323">
        <f t="shared" si="55"/>
        <v>37</v>
      </c>
      <c r="R323" t="str">
        <f t="shared" si="56"/>
        <v>David/Marshall</v>
      </c>
      <c r="S323" t="str">
        <f t="shared" si="57"/>
        <v>Walker/Cory</v>
      </c>
      <c r="T323">
        <f t="shared" si="58"/>
        <v>114</v>
      </c>
      <c r="U323">
        <f t="shared" si="59"/>
        <v>77</v>
      </c>
    </row>
    <row r="324" spans="1:21" x14ac:dyDescent="0.3">
      <c r="A324">
        <v>323</v>
      </c>
      <c r="B324" t="str">
        <f>H324&amp;R324&amp;I324</f>
        <v>2017Pat/Tucker13</v>
      </c>
      <c r="C324" t="str">
        <f>H324&amp;S324&amp;I324</f>
        <v>2017Brian/Travis13</v>
      </c>
      <c r="D324">
        <f t="shared" si="50"/>
        <v>513</v>
      </c>
      <c r="E324">
        <f t="shared" si="51"/>
        <v>517</v>
      </c>
      <c r="F324">
        <f t="shared" si="52"/>
        <v>576</v>
      </c>
      <c r="G324">
        <f t="shared" si="53"/>
        <v>435</v>
      </c>
      <c r="H324">
        <v>2017</v>
      </c>
      <c r="I324">
        <v>13</v>
      </c>
      <c r="J324">
        <v>62</v>
      </c>
      <c r="K324" t="s">
        <v>31</v>
      </c>
      <c r="L324">
        <v>111</v>
      </c>
      <c r="M324" t="s">
        <v>32</v>
      </c>
      <c r="N324">
        <v>94</v>
      </c>
      <c r="O324" t="s">
        <v>20</v>
      </c>
      <c r="P324">
        <f t="shared" si="54"/>
        <v>205</v>
      </c>
      <c r="Q324">
        <f t="shared" si="55"/>
        <v>17</v>
      </c>
      <c r="R324" t="str">
        <f t="shared" si="56"/>
        <v>Pat/Tucker</v>
      </c>
      <c r="S324" t="str">
        <f t="shared" si="57"/>
        <v>Brian/Travis</v>
      </c>
      <c r="T324">
        <f t="shared" si="58"/>
        <v>111</v>
      </c>
      <c r="U324">
        <f t="shared" si="59"/>
        <v>94</v>
      </c>
    </row>
    <row r="325" spans="1:21" x14ac:dyDescent="0.3">
      <c r="A325">
        <v>324</v>
      </c>
      <c r="B325" t="str">
        <f>H325&amp;R325&amp;I325</f>
        <v>2017Clay/Ryan13</v>
      </c>
      <c r="C325" t="str">
        <f>H325&amp;S325&amp;I325</f>
        <v>2017Eric/Blake13</v>
      </c>
      <c r="D325">
        <f t="shared" si="50"/>
        <v>674</v>
      </c>
      <c r="E325">
        <f t="shared" si="51"/>
        <v>823</v>
      </c>
      <c r="F325">
        <f t="shared" si="52"/>
        <v>841</v>
      </c>
      <c r="G325">
        <f t="shared" si="53"/>
        <v>724</v>
      </c>
      <c r="H325">
        <v>2017</v>
      </c>
      <c r="I325">
        <v>13</v>
      </c>
      <c r="J325">
        <v>63</v>
      </c>
      <c r="K325" t="s">
        <v>34</v>
      </c>
      <c r="L325">
        <v>75.5</v>
      </c>
      <c r="M325" t="s">
        <v>35</v>
      </c>
      <c r="N325">
        <v>84.5</v>
      </c>
      <c r="O325" t="s">
        <v>20</v>
      </c>
      <c r="P325">
        <f t="shared" si="54"/>
        <v>160</v>
      </c>
      <c r="Q325">
        <f t="shared" si="55"/>
        <v>9</v>
      </c>
      <c r="R325" t="str">
        <f t="shared" si="56"/>
        <v>Clay/Ryan</v>
      </c>
      <c r="S325" t="str">
        <f t="shared" si="57"/>
        <v>Eric/Blake</v>
      </c>
      <c r="T325">
        <f t="shared" si="58"/>
        <v>84.5</v>
      </c>
      <c r="U325">
        <f t="shared" si="59"/>
        <v>75.5</v>
      </c>
    </row>
    <row r="326" spans="1:21" x14ac:dyDescent="0.3">
      <c r="A326">
        <v>325</v>
      </c>
      <c r="B326" t="str">
        <f>H326&amp;R326&amp;I326</f>
        <v>2017Drew/Cam13</v>
      </c>
      <c r="C326" t="str">
        <f>H326&amp;S326&amp;I326</f>
        <v>2017Graham/Michael13</v>
      </c>
      <c r="D326">
        <f t="shared" si="50"/>
        <v>711</v>
      </c>
      <c r="E326">
        <f t="shared" si="51"/>
        <v>438</v>
      </c>
      <c r="F326">
        <f t="shared" si="52"/>
        <v>588</v>
      </c>
      <c r="G326">
        <f t="shared" si="53"/>
        <v>280</v>
      </c>
      <c r="H326">
        <v>2017</v>
      </c>
      <c r="I326">
        <v>13</v>
      </c>
      <c r="J326">
        <v>64</v>
      </c>
      <c r="K326" t="s">
        <v>37</v>
      </c>
      <c r="L326">
        <v>110</v>
      </c>
      <c r="M326" t="s">
        <v>29</v>
      </c>
      <c r="N326">
        <v>102.5</v>
      </c>
      <c r="O326" t="s">
        <v>20</v>
      </c>
      <c r="P326">
        <f t="shared" si="54"/>
        <v>212.5</v>
      </c>
      <c r="Q326">
        <f t="shared" si="55"/>
        <v>7.5</v>
      </c>
      <c r="R326" t="str">
        <f t="shared" si="56"/>
        <v>Drew/Cam</v>
      </c>
      <c r="S326" t="str">
        <f t="shared" si="57"/>
        <v>Graham/Michael</v>
      </c>
      <c r="T326">
        <f t="shared" si="58"/>
        <v>110</v>
      </c>
      <c r="U326">
        <f t="shared" si="59"/>
        <v>102.5</v>
      </c>
    </row>
    <row r="327" spans="1:21" x14ac:dyDescent="0.3">
      <c r="A327">
        <v>326</v>
      </c>
      <c r="B327" t="str">
        <f>H327&amp;R327&amp;I327</f>
        <v>2018Clay/Ryan1</v>
      </c>
      <c r="C327" t="str">
        <f>H327&amp;S327&amp;I327</f>
        <v>2018Pat/Tucker1</v>
      </c>
      <c r="D327">
        <f t="shared" si="50"/>
        <v>832</v>
      </c>
      <c r="E327">
        <f t="shared" si="51"/>
        <v>525</v>
      </c>
      <c r="F327">
        <f t="shared" si="52"/>
        <v>677</v>
      </c>
      <c r="G327">
        <f t="shared" si="53"/>
        <v>300</v>
      </c>
      <c r="H327">
        <v>2018</v>
      </c>
      <c r="I327">
        <v>1</v>
      </c>
      <c r="J327">
        <v>0</v>
      </c>
      <c r="K327" t="s">
        <v>35</v>
      </c>
      <c r="L327">
        <v>103.12</v>
      </c>
      <c r="M327" t="s">
        <v>31</v>
      </c>
      <c r="N327">
        <v>101.24</v>
      </c>
      <c r="O327" t="s">
        <v>20</v>
      </c>
      <c r="P327">
        <f t="shared" si="54"/>
        <v>204.36</v>
      </c>
      <c r="Q327">
        <f t="shared" si="55"/>
        <v>1.8800000000000097</v>
      </c>
      <c r="R327" t="str">
        <f t="shared" si="56"/>
        <v>Clay/Ryan</v>
      </c>
      <c r="S327" t="str">
        <f t="shared" si="57"/>
        <v>Pat/Tucker</v>
      </c>
      <c r="T327">
        <f t="shared" si="58"/>
        <v>103.12</v>
      </c>
      <c r="U327">
        <f t="shared" si="59"/>
        <v>101.24</v>
      </c>
    </row>
    <row r="328" spans="1:21" x14ac:dyDescent="0.3">
      <c r="A328">
        <v>327</v>
      </c>
      <c r="B328" t="str">
        <f>H328&amp;R328&amp;I328</f>
        <v>2018Eric/Blake1</v>
      </c>
      <c r="C328" t="str">
        <f>H328&amp;S328&amp;I328</f>
        <v>2018David/Marshall1</v>
      </c>
      <c r="D328">
        <f t="shared" si="50"/>
        <v>594</v>
      </c>
      <c r="E328">
        <f t="shared" si="51"/>
        <v>97</v>
      </c>
      <c r="F328">
        <f t="shared" si="52"/>
        <v>193</v>
      </c>
      <c r="G328">
        <f t="shared" si="53"/>
        <v>60</v>
      </c>
      <c r="H328">
        <v>2018</v>
      </c>
      <c r="I328">
        <v>1</v>
      </c>
      <c r="J328">
        <v>1</v>
      </c>
      <c r="K328" t="s">
        <v>38</v>
      </c>
      <c r="L328">
        <v>121.98</v>
      </c>
      <c r="M328" t="s">
        <v>34</v>
      </c>
      <c r="N328">
        <v>134.5</v>
      </c>
      <c r="O328" t="s">
        <v>20</v>
      </c>
      <c r="P328">
        <f t="shared" si="54"/>
        <v>256.48</v>
      </c>
      <c r="Q328">
        <f t="shared" si="55"/>
        <v>12.519999999999996</v>
      </c>
      <c r="R328" t="str">
        <f t="shared" si="56"/>
        <v>Eric/Blake</v>
      </c>
      <c r="S328" t="str">
        <f t="shared" si="57"/>
        <v>David/Marshall</v>
      </c>
      <c r="T328">
        <f t="shared" si="58"/>
        <v>134.5</v>
      </c>
      <c r="U328">
        <f t="shared" si="59"/>
        <v>121.98</v>
      </c>
    </row>
    <row r="329" spans="1:21" x14ac:dyDescent="0.3">
      <c r="A329">
        <v>328</v>
      </c>
      <c r="B329" t="str">
        <f>H329&amp;R329&amp;I329</f>
        <v>2018Trent/Colin1</v>
      </c>
      <c r="C329" t="str">
        <f>H329&amp;S329&amp;I329</f>
        <v>2018Drew/Cam1</v>
      </c>
      <c r="D329">
        <f t="shared" si="50"/>
        <v>472</v>
      </c>
      <c r="E329">
        <f t="shared" si="51"/>
        <v>453</v>
      </c>
      <c r="F329">
        <f t="shared" si="52"/>
        <v>506</v>
      </c>
      <c r="G329">
        <f t="shared" si="53"/>
        <v>404</v>
      </c>
      <c r="H329">
        <v>2018</v>
      </c>
      <c r="I329">
        <v>1</v>
      </c>
      <c r="J329">
        <v>2</v>
      </c>
      <c r="K329" t="s">
        <v>33</v>
      </c>
      <c r="L329">
        <v>115.24</v>
      </c>
      <c r="M329" t="s">
        <v>37</v>
      </c>
      <c r="N329">
        <v>96.04</v>
      </c>
      <c r="O329" t="s">
        <v>20</v>
      </c>
      <c r="P329">
        <f t="shared" si="54"/>
        <v>211.28</v>
      </c>
      <c r="Q329">
        <f t="shared" si="55"/>
        <v>19.199999999999989</v>
      </c>
      <c r="R329" t="str">
        <f t="shared" si="56"/>
        <v>Trent/Colin</v>
      </c>
      <c r="S329" t="str">
        <f t="shared" si="57"/>
        <v>Drew/Cam</v>
      </c>
      <c r="T329">
        <f t="shared" si="58"/>
        <v>115.24</v>
      </c>
      <c r="U329">
        <f t="shared" si="59"/>
        <v>96.04</v>
      </c>
    </row>
    <row r="330" spans="1:21" x14ac:dyDescent="0.3">
      <c r="A330">
        <v>329</v>
      </c>
      <c r="B330" t="str">
        <f>H330&amp;R330&amp;I330</f>
        <v>2018Walker/Cory1</v>
      </c>
      <c r="C330" t="str">
        <f>H330&amp;S330&amp;I330</f>
        <v>2018Dave/Nolan1</v>
      </c>
      <c r="D330">
        <f t="shared" si="50"/>
        <v>82</v>
      </c>
      <c r="E330">
        <f t="shared" si="51"/>
        <v>190</v>
      </c>
      <c r="F330">
        <f t="shared" si="52"/>
        <v>87</v>
      </c>
      <c r="G330">
        <f t="shared" si="53"/>
        <v>430</v>
      </c>
      <c r="H330">
        <v>2018</v>
      </c>
      <c r="I330">
        <v>1</v>
      </c>
      <c r="J330">
        <v>3</v>
      </c>
      <c r="K330" t="s">
        <v>30</v>
      </c>
      <c r="L330">
        <v>94.26</v>
      </c>
      <c r="M330" t="s">
        <v>36</v>
      </c>
      <c r="N330">
        <v>147.74</v>
      </c>
      <c r="O330" t="s">
        <v>20</v>
      </c>
      <c r="P330">
        <f t="shared" si="54"/>
        <v>242</v>
      </c>
      <c r="Q330">
        <f t="shared" si="55"/>
        <v>53.480000000000004</v>
      </c>
      <c r="R330" t="str">
        <f t="shared" si="56"/>
        <v>Walker/Cory</v>
      </c>
      <c r="S330" t="str">
        <f t="shared" si="57"/>
        <v>Dave/Nolan</v>
      </c>
      <c r="T330">
        <f t="shared" si="58"/>
        <v>147.74</v>
      </c>
      <c r="U330">
        <f t="shared" si="59"/>
        <v>94.26</v>
      </c>
    </row>
    <row r="331" spans="1:21" x14ac:dyDescent="0.3">
      <c r="A331">
        <v>330</v>
      </c>
      <c r="B331" t="str">
        <f>H331&amp;R331&amp;I331</f>
        <v>2018Graham/Michael1</v>
      </c>
      <c r="C331" t="str">
        <f>H331&amp;S331&amp;I331</f>
        <v>2018Brian/Travis1</v>
      </c>
      <c r="D331">
        <f t="shared" si="50"/>
        <v>682</v>
      </c>
      <c r="E331">
        <f t="shared" si="51"/>
        <v>403</v>
      </c>
      <c r="F331">
        <f t="shared" si="52"/>
        <v>540</v>
      </c>
      <c r="G331">
        <f t="shared" si="53"/>
        <v>254</v>
      </c>
      <c r="H331">
        <v>2018</v>
      </c>
      <c r="I331">
        <v>1</v>
      </c>
      <c r="J331">
        <v>4</v>
      </c>
      <c r="K331" t="s">
        <v>32</v>
      </c>
      <c r="L331">
        <v>103.96</v>
      </c>
      <c r="M331" t="s">
        <v>29</v>
      </c>
      <c r="N331">
        <v>112.76</v>
      </c>
      <c r="O331" t="s">
        <v>20</v>
      </c>
      <c r="P331">
        <f t="shared" si="54"/>
        <v>216.72</v>
      </c>
      <c r="Q331">
        <f t="shared" si="55"/>
        <v>8.8000000000000114</v>
      </c>
      <c r="R331" t="str">
        <f t="shared" si="56"/>
        <v>Graham/Michael</v>
      </c>
      <c r="S331" t="str">
        <f t="shared" si="57"/>
        <v>Brian/Travis</v>
      </c>
      <c r="T331">
        <f t="shared" si="58"/>
        <v>112.76</v>
      </c>
      <c r="U331">
        <f t="shared" si="59"/>
        <v>103.96</v>
      </c>
    </row>
    <row r="332" spans="1:21" x14ac:dyDescent="0.3">
      <c r="A332">
        <v>331</v>
      </c>
      <c r="B332" t="str">
        <f>H332&amp;R332&amp;I332</f>
        <v>2018Eric/Blake2</v>
      </c>
      <c r="C332" t="str">
        <f>H332&amp;S332&amp;I332</f>
        <v>2018Drew/Cam2</v>
      </c>
      <c r="D332">
        <f t="shared" si="50"/>
        <v>613</v>
      </c>
      <c r="E332">
        <f t="shared" si="51"/>
        <v>187</v>
      </c>
      <c r="F332">
        <f t="shared" si="52"/>
        <v>301</v>
      </c>
      <c r="G332">
        <f t="shared" si="53"/>
        <v>122</v>
      </c>
      <c r="H332">
        <v>2018</v>
      </c>
      <c r="I332">
        <v>2</v>
      </c>
      <c r="J332">
        <v>5</v>
      </c>
      <c r="K332" t="s">
        <v>34</v>
      </c>
      <c r="L332">
        <v>127.18</v>
      </c>
      <c r="M332" t="s">
        <v>37</v>
      </c>
      <c r="N332">
        <v>115.28</v>
      </c>
      <c r="O332" t="s">
        <v>20</v>
      </c>
      <c r="P332">
        <f t="shared" si="54"/>
        <v>242.46</v>
      </c>
      <c r="Q332">
        <f t="shared" si="55"/>
        <v>11.900000000000006</v>
      </c>
      <c r="R332" t="str">
        <f t="shared" si="56"/>
        <v>Eric/Blake</v>
      </c>
      <c r="S332" t="str">
        <f t="shared" si="57"/>
        <v>Drew/Cam</v>
      </c>
      <c r="T332">
        <f t="shared" si="58"/>
        <v>127.18</v>
      </c>
      <c r="U332">
        <f t="shared" si="59"/>
        <v>115.28</v>
      </c>
    </row>
    <row r="333" spans="1:21" x14ac:dyDescent="0.3">
      <c r="A333">
        <v>332</v>
      </c>
      <c r="B333" t="str">
        <f>H333&amp;R333&amp;I333</f>
        <v>2018Clay/Ryan2</v>
      </c>
      <c r="C333" t="str">
        <f>H333&amp;S333&amp;I333</f>
        <v>2018Walker/Cory2</v>
      </c>
      <c r="D333">
        <f t="shared" si="50"/>
        <v>462</v>
      </c>
      <c r="E333">
        <f t="shared" si="51"/>
        <v>621</v>
      </c>
      <c r="F333">
        <f t="shared" si="52"/>
        <v>625</v>
      </c>
      <c r="G333">
        <f t="shared" si="53"/>
        <v>583</v>
      </c>
      <c r="H333">
        <v>2018</v>
      </c>
      <c r="I333">
        <v>2</v>
      </c>
      <c r="J333">
        <v>6</v>
      </c>
      <c r="K333" t="s">
        <v>36</v>
      </c>
      <c r="L333">
        <v>86.74</v>
      </c>
      <c r="M333" t="s">
        <v>35</v>
      </c>
      <c r="N333">
        <v>106.84</v>
      </c>
      <c r="O333" t="s">
        <v>20</v>
      </c>
      <c r="P333">
        <f t="shared" si="54"/>
        <v>193.57999999999998</v>
      </c>
      <c r="Q333">
        <f t="shared" si="55"/>
        <v>20.100000000000009</v>
      </c>
      <c r="R333" t="str">
        <f t="shared" si="56"/>
        <v>Clay/Ryan</v>
      </c>
      <c r="S333" t="str">
        <f t="shared" si="57"/>
        <v>Walker/Cory</v>
      </c>
      <c r="T333">
        <f t="shared" si="58"/>
        <v>106.84</v>
      </c>
      <c r="U333">
        <f t="shared" si="59"/>
        <v>86.74</v>
      </c>
    </row>
    <row r="334" spans="1:21" x14ac:dyDescent="0.3">
      <c r="A334">
        <v>333</v>
      </c>
      <c r="B334" t="str">
        <f>H334&amp;R334&amp;I334</f>
        <v>2018Pat/Tucker2</v>
      </c>
      <c r="C334" t="str">
        <f>H334&amp;S334&amp;I334</f>
        <v>2018Graham/Michael2</v>
      </c>
      <c r="D334">
        <f t="shared" si="50"/>
        <v>866</v>
      </c>
      <c r="E334">
        <f t="shared" si="51"/>
        <v>119</v>
      </c>
      <c r="F334">
        <f t="shared" si="52"/>
        <v>316</v>
      </c>
      <c r="G334">
        <f t="shared" si="53"/>
        <v>38</v>
      </c>
      <c r="H334">
        <v>2018</v>
      </c>
      <c r="I334">
        <v>2</v>
      </c>
      <c r="J334">
        <v>7</v>
      </c>
      <c r="K334" t="s">
        <v>29</v>
      </c>
      <c r="L334">
        <v>126.3</v>
      </c>
      <c r="M334" t="s">
        <v>31</v>
      </c>
      <c r="N334">
        <v>126.38</v>
      </c>
      <c r="O334" t="s">
        <v>20</v>
      </c>
      <c r="P334">
        <f t="shared" si="54"/>
        <v>252.68</v>
      </c>
      <c r="Q334">
        <f t="shared" si="55"/>
        <v>7.9999999999998295E-2</v>
      </c>
      <c r="R334" t="str">
        <f t="shared" si="56"/>
        <v>Pat/Tucker</v>
      </c>
      <c r="S334" t="str">
        <f t="shared" si="57"/>
        <v>Graham/Michael</v>
      </c>
      <c r="T334">
        <f t="shared" si="58"/>
        <v>126.38</v>
      </c>
      <c r="U334">
        <f t="shared" si="59"/>
        <v>126.3</v>
      </c>
    </row>
    <row r="335" spans="1:21" x14ac:dyDescent="0.3">
      <c r="A335">
        <v>334</v>
      </c>
      <c r="B335" t="str">
        <f>H335&amp;R335&amp;I335</f>
        <v>2018David/Marshall2</v>
      </c>
      <c r="C335" t="str">
        <f>H335&amp;S335&amp;I335</f>
        <v>2018Dave/Nolan2</v>
      </c>
      <c r="D335">
        <f t="shared" si="50"/>
        <v>829</v>
      </c>
      <c r="E335">
        <f t="shared" si="51"/>
        <v>689</v>
      </c>
      <c r="F335">
        <f t="shared" si="52"/>
        <v>785</v>
      </c>
      <c r="G335">
        <f t="shared" si="53"/>
        <v>470</v>
      </c>
      <c r="H335">
        <v>2018</v>
      </c>
      <c r="I335">
        <v>2</v>
      </c>
      <c r="J335">
        <v>8</v>
      </c>
      <c r="K335" t="s">
        <v>30</v>
      </c>
      <c r="L335">
        <v>91.92</v>
      </c>
      <c r="M335" t="s">
        <v>38</v>
      </c>
      <c r="N335">
        <v>93.96</v>
      </c>
      <c r="O335" t="s">
        <v>20</v>
      </c>
      <c r="P335">
        <f t="shared" si="54"/>
        <v>185.88</v>
      </c>
      <c r="Q335">
        <f t="shared" si="55"/>
        <v>2.039999999999992</v>
      </c>
      <c r="R335" t="str">
        <f t="shared" si="56"/>
        <v>David/Marshall</v>
      </c>
      <c r="S335" t="str">
        <f t="shared" si="57"/>
        <v>Dave/Nolan</v>
      </c>
      <c r="T335">
        <f t="shared" si="58"/>
        <v>93.96</v>
      </c>
      <c r="U335">
        <f t="shared" si="59"/>
        <v>91.92</v>
      </c>
    </row>
    <row r="336" spans="1:21" x14ac:dyDescent="0.3">
      <c r="A336">
        <v>335</v>
      </c>
      <c r="B336" t="str">
        <f>H336&amp;R336&amp;I336</f>
        <v>2018Trent/Colin2</v>
      </c>
      <c r="C336" t="str">
        <f>H336&amp;S336&amp;I336</f>
        <v>2018Brian/Travis2</v>
      </c>
      <c r="D336">
        <f t="shared" si="50"/>
        <v>579</v>
      </c>
      <c r="E336">
        <f t="shared" si="51"/>
        <v>225</v>
      </c>
      <c r="F336">
        <f t="shared" si="52"/>
        <v>332</v>
      </c>
      <c r="G336">
        <f t="shared" si="53"/>
        <v>155</v>
      </c>
      <c r="H336">
        <v>2018</v>
      </c>
      <c r="I336">
        <v>2</v>
      </c>
      <c r="J336">
        <v>9</v>
      </c>
      <c r="K336" t="s">
        <v>32</v>
      </c>
      <c r="L336">
        <v>112.26</v>
      </c>
      <c r="M336" t="s">
        <v>33</v>
      </c>
      <c r="N336">
        <v>125.3</v>
      </c>
      <c r="O336" t="s">
        <v>20</v>
      </c>
      <c r="P336">
        <f t="shared" si="54"/>
        <v>237.56</v>
      </c>
      <c r="Q336">
        <f t="shared" si="55"/>
        <v>13.039999999999992</v>
      </c>
      <c r="R336" t="str">
        <f t="shared" si="56"/>
        <v>Trent/Colin</v>
      </c>
      <c r="S336" t="str">
        <f t="shared" si="57"/>
        <v>Brian/Travis</v>
      </c>
      <c r="T336">
        <f t="shared" si="58"/>
        <v>125.3</v>
      </c>
      <c r="U336">
        <f t="shared" si="59"/>
        <v>112.26</v>
      </c>
    </row>
    <row r="337" spans="1:21" x14ac:dyDescent="0.3">
      <c r="A337">
        <v>336</v>
      </c>
      <c r="B337" t="str">
        <f>H337&amp;R337&amp;I337</f>
        <v>2018Graham/Michael3</v>
      </c>
      <c r="C337" t="str">
        <f>H337&amp;S337&amp;I337</f>
        <v>2018Walker/Cory3</v>
      </c>
      <c r="D337">
        <f t="shared" si="50"/>
        <v>502</v>
      </c>
      <c r="E337">
        <f t="shared" si="51"/>
        <v>568</v>
      </c>
      <c r="F337">
        <f t="shared" si="52"/>
        <v>601</v>
      </c>
      <c r="G337">
        <f t="shared" si="53"/>
        <v>488</v>
      </c>
      <c r="H337">
        <v>2018</v>
      </c>
      <c r="I337">
        <v>3</v>
      </c>
      <c r="J337">
        <v>10</v>
      </c>
      <c r="K337" t="s">
        <v>36</v>
      </c>
      <c r="L337">
        <v>91</v>
      </c>
      <c r="M337" t="s">
        <v>29</v>
      </c>
      <c r="N337">
        <v>108.64</v>
      </c>
      <c r="O337" t="s">
        <v>20</v>
      </c>
      <c r="P337">
        <f t="shared" si="54"/>
        <v>199.64</v>
      </c>
      <c r="Q337">
        <f t="shared" si="55"/>
        <v>17.64</v>
      </c>
      <c r="R337" t="str">
        <f t="shared" si="56"/>
        <v>Graham/Michael</v>
      </c>
      <c r="S337" t="str">
        <f t="shared" si="57"/>
        <v>Walker/Cory</v>
      </c>
      <c r="T337">
        <f t="shared" si="58"/>
        <v>108.64</v>
      </c>
      <c r="U337">
        <f t="shared" si="59"/>
        <v>91</v>
      </c>
    </row>
    <row r="338" spans="1:21" x14ac:dyDescent="0.3">
      <c r="A338">
        <v>337</v>
      </c>
      <c r="B338" t="str">
        <f>H338&amp;R338&amp;I338</f>
        <v>2018Dave/Nolan3</v>
      </c>
      <c r="C338" t="str">
        <f>H338&amp;S338&amp;I338</f>
        <v>2018Eric/Blake3</v>
      </c>
      <c r="D338">
        <f t="shared" si="50"/>
        <v>728</v>
      </c>
      <c r="E338">
        <f t="shared" si="51"/>
        <v>85</v>
      </c>
      <c r="F338">
        <f t="shared" si="52"/>
        <v>223</v>
      </c>
      <c r="G338">
        <f t="shared" si="53"/>
        <v>40</v>
      </c>
      <c r="H338">
        <v>2018</v>
      </c>
      <c r="I338">
        <v>3</v>
      </c>
      <c r="J338">
        <v>11</v>
      </c>
      <c r="K338" t="s">
        <v>34</v>
      </c>
      <c r="L338">
        <v>125.76</v>
      </c>
      <c r="M338" t="s">
        <v>30</v>
      </c>
      <c r="N338">
        <v>132.74</v>
      </c>
      <c r="O338" t="s">
        <v>20</v>
      </c>
      <c r="P338">
        <f t="shared" si="54"/>
        <v>258.5</v>
      </c>
      <c r="Q338">
        <f t="shared" si="55"/>
        <v>6.980000000000004</v>
      </c>
      <c r="R338" t="str">
        <f t="shared" si="56"/>
        <v>Dave/Nolan</v>
      </c>
      <c r="S338" t="str">
        <f t="shared" si="57"/>
        <v>Eric/Blake</v>
      </c>
      <c r="T338">
        <f t="shared" si="58"/>
        <v>132.74</v>
      </c>
      <c r="U338">
        <f t="shared" si="59"/>
        <v>125.76</v>
      </c>
    </row>
    <row r="339" spans="1:21" x14ac:dyDescent="0.3">
      <c r="A339">
        <v>338</v>
      </c>
      <c r="B339" t="str">
        <f>H339&amp;R339&amp;I339</f>
        <v>2018Drew/Cam3</v>
      </c>
      <c r="C339" t="str">
        <f>H339&amp;S339&amp;I339</f>
        <v>2018Brian/Travis3</v>
      </c>
      <c r="D339">
        <f t="shared" si="50"/>
        <v>333</v>
      </c>
      <c r="E339">
        <f t="shared" si="51"/>
        <v>494</v>
      </c>
      <c r="F339">
        <f t="shared" si="52"/>
        <v>463</v>
      </c>
      <c r="G339">
        <f t="shared" si="53"/>
        <v>507</v>
      </c>
      <c r="H339">
        <v>2018</v>
      </c>
      <c r="I339">
        <v>3</v>
      </c>
      <c r="J339">
        <v>12</v>
      </c>
      <c r="K339" t="s">
        <v>37</v>
      </c>
      <c r="L339">
        <v>117.76</v>
      </c>
      <c r="M339" t="s">
        <v>32</v>
      </c>
      <c r="N339">
        <v>89.96</v>
      </c>
      <c r="O339" t="s">
        <v>20</v>
      </c>
      <c r="P339">
        <f t="shared" si="54"/>
        <v>207.72</v>
      </c>
      <c r="Q339">
        <f t="shared" si="55"/>
        <v>27.800000000000011</v>
      </c>
      <c r="R339" t="str">
        <f t="shared" si="56"/>
        <v>Drew/Cam</v>
      </c>
      <c r="S339" t="str">
        <f t="shared" si="57"/>
        <v>Brian/Travis</v>
      </c>
      <c r="T339">
        <f t="shared" si="58"/>
        <v>117.76</v>
      </c>
      <c r="U339">
        <f t="shared" si="59"/>
        <v>89.96</v>
      </c>
    </row>
    <row r="340" spans="1:21" x14ac:dyDescent="0.3">
      <c r="A340">
        <v>339</v>
      </c>
      <c r="B340" t="str">
        <f>H340&amp;R340&amp;I340</f>
        <v>2018Clay/Ryan3</v>
      </c>
      <c r="C340" t="str">
        <f>H340&amp;S340&amp;I340</f>
        <v>2018David/Marshall3</v>
      </c>
      <c r="D340">
        <f t="shared" si="50"/>
        <v>633</v>
      </c>
      <c r="E340">
        <f t="shared" si="51"/>
        <v>538</v>
      </c>
      <c r="F340">
        <f t="shared" si="52"/>
        <v>622</v>
      </c>
      <c r="G340">
        <f t="shared" si="53"/>
        <v>402</v>
      </c>
      <c r="H340">
        <v>2018</v>
      </c>
      <c r="I340">
        <v>3</v>
      </c>
      <c r="J340">
        <v>13</v>
      </c>
      <c r="K340" t="s">
        <v>35</v>
      </c>
      <c r="L340">
        <v>107.08</v>
      </c>
      <c r="M340" t="s">
        <v>38</v>
      </c>
      <c r="N340">
        <v>96.22</v>
      </c>
      <c r="O340" t="s">
        <v>20</v>
      </c>
      <c r="P340">
        <f t="shared" si="54"/>
        <v>203.3</v>
      </c>
      <c r="Q340">
        <f t="shared" si="55"/>
        <v>10.86</v>
      </c>
      <c r="R340" t="str">
        <f t="shared" si="56"/>
        <v>Clay/Ryan</v>
      </c>
      <c r="S340" t="str">
        <f t="shared" si="57"/>
        <v>David/Marshall</v>
      </c>
      <c r="T340">
        <f t="shared" si="58"/>
        <v>107.08</v>
      </c>
      <c r="U340">
        <f t="shared" si="59"/>
        <v>96.22</v>
      </c>
    </row>
    <row r="341" spans="1:21" x14ac:dyDescent="0.3">
      <c r="A341">
        <v>340</v>
      </c>
      <c r="B341" t="str">
        <f>H341&amp;R341&amp;I341</f>
        <v>2018Trent/Colin3</v>
      </c>
      <c r="C341" t="str">
        <f>H341&amp;S341&amp;I341</f>
        <v>2018Pat/Tucker3</v>
      </c>
      <c r="D341">
        <f t="shared" si="50"/>
        <v>135</v>
      </c>
      <c r="E341">
        <f t="shared" si="51"/>
        <v>351</v>
      </c>
      <c r="F341">
        <f t="shared" si="52"/>
        <v>193</v>
      </c>
      <c r="G341">
        <f t="shared" si="53"/>
        <v>531</v>
      </c>
      <c r="H341">
        <v>2018</v>
      </c>
      <c r="I341">
        <v>3</v>
      </c>
      <c r="J341">
        <v>14</v>
      </c>
      <c r="K341" t="s">
        <v>31</v>
      </c>
      <c r="L341">
        <v>88.94</v>
      </c>
      <c r="M341" t="s">
        <v>33</v>
      </c>
      <c r="N341">
        <v>134.5</v>
      </c>
      <c r="O341" t="s">
        <v>20</v>
      </c>
      <c r="P341">
        <f t="shared" si="54"/>
        <v>223.44</v>
      </c>
      <c r="Q341">
        <f t="shared" si="55"/>
        <v>45.56</v>
      </c>
      <c r="R341" t="str">
        <f t="shared" si="56"/>
        <v>Trent/Colin</v>
      </c>
      <c r="S341" t="str">
        <f t="shared" si="57"/>
        <v>Pat/Tucker</v>
      </c>
      <c r="T341">
        <f t="shared" si="58"/>
        <v>134.5</v>
      </c>
      <c r="U341">
        <f t="shared" si="59"/>
        <v>88.94</v>
      </c>
    </row>
    <row r="342" spans="1:21" x14ac:dyDescent="0.3">
      <c r="A342">
        <v>341</v>
      </c>
      <c r="B342" t="str">
        <f>H342&amp;R342&amp;I342</f>
        <v>2018Dave/Nolan4</v>
      </c>
      <c r="C342" t="str">
        <f>H342&amp;S342&amp;I342</f>
        <v>2018Brian/Travis4</v>
      </c>
      <c r="D342">
        <f t="shared" si="50"/>
        <v>442</v>
      </c>
      <c r="E342">
        <f t="shared" si="51"/>
        <v>54</v>
      </c>
      <c r="F342">
        <f t="shared" si="52"/>
        <v>100</v>
      </c>
      <c r="G342">
        <f t="shared" si="53"/>
        <v>43</v>
      </c>
      <c r="H342">
        <v>2018</v>
      </c>
      <c r="I342">
        <v>4</v>
      </c>
      <c r="J342">
        <v>15</v>
      </c>
      <c r="K342" t="s">
        <v>30</v>
      </c>
      <c r="L342">
        <v>146.18</v>
      </c>
      <c r="M342" t="s">
        <v>32</v>
      </c>
      <c r="N342">
        <v>124.76</v>
      </c>
      <c r="O342" t="s">
        <v>20</v>
      </c>
      <c r="P342">
        <f t="shared" si="54"/>
        <v>270.94</v>
      </c>
      <c r="Q342">
        <f t="shared" si="55"/>
        <v>21.42</v>
      </c>
      <c r="R342" t="str">
        <f t="shared" si="56"/>
        <v>Dave/Nolan</v>
      </c>
      <c r="S342" t="str">
        <f t="shared" si="57"/>
        <v>Brian/Travis</v>
      </c>
      <c r="T342">
        <f t="shared" si="58"/>
        <v>146.18</v>
      </c>
      <c r="U342">
        <f t="shared" si="59"/>
        <v>124.76</v>
      </c>
    </row>
    <row r="343" spans="1:21" x14ac:dyDescent="0.3">
      <c r="A343">
        <v>342</v>
      </c>
      <c r="B343" t="str">
        <f>H343&amp;R343&amp;I343</f>
        <v>2018David/Marshall4</v>
      </c>
      <c r="C343" t="str">
        <f>H343&amp;S343&amp;I343</f>
        <v>2018Walker/Cory4</v>
      </c>
      <c r="D343">
        <f t="shared" si="50"/>
        <v>649</v>
      </c>
      <c r="E343">
        <f t="shared" si="51"/>
        <v>515</v>
      </c>
      <c r="F343">
        <f t="shared" si="52"/>
        <v>610</v>
      </c>
      <c r="G343">
        <f t="shared" si="53"/>
        <v>372</v>
      </c>
      <c r="H343">
        <v>2018</v>
      </c>
      <c r="I343">
        <v>4</v>
      </c>
      <c r="J343">
        <v>16</v>
      </c>
      <c r="K343" t="s">
        <v>38</v>
      </c>
      <c r="L343">
        <v>107.76</v>
      </c>
      <c r="M343" t="s">
        <v>36</v>
      </c>
      <c r="N343">
        <v>97.52</v>
      </c>
      <c r="O343" t="s">
        <v>20</v>
      </c>
      <c r="P343">
        <f t="shared" si="54"/>
        <v>205.28</v>
      </c>
      <c r="Q343">
        <f t="shared" si="55"/>
        <v>10.240000000000009</v>
      </c>
      <c r="R343" t="str">
        <f t="shared" si="56"/>
        <v>David/Marshall</v>
      </c>
      <c r="S343" t="str">
        <f t="shared" si="57"/>
        <v>Walker/Cory</v>
      </c>
      <c r="T343">
        <f t="shared" si="58"/>
        <v>107.76</v>
      </c>
      <c r="U343">
        <f t="shared" si="59"/>
        <v>97.52</v>
      </c>
    </row>
    <row r="344" spans="1:21" x14ac:dyDescent="0.3">
      <c r="A344">
        <v>343</v>
      </c>
      <c r="B344" t="str">
        <f>H344&amp;R344&amp;I344</f>
        <v>2018Trent/Colin4</v>
      </c>
      <c r="C344" t="str">
        <f>H344&amp;S344&amp;I344</f>
        <v>2018Graham/Michael4</v>
      </c>
      <c r="D344">
        <f t="shared" si="50"/>
        <v>303</v>
      </c>
      <c r="E344">
        <f t="shared" si="51"/>
        <v>319</v>
      </c>
      <c r="F344">
        <f t="shared" si="52"/>
        <v>286</v>
      </c>
      <c r="G344">
        <f t="shared" si="53"/>
        <v>363</v>
      </c>
      <c r="H344">
        <v>2018</v>
      </c>
      <c r="I344">
        <v>4</v>
      </c>
      <c r="J344">
        <v>17</v>
      </c>
      <c r="K344" t="s">
        <v>33</v>
      </c>
      <c r="L344">
        <v>128</v>
      </c>
      <c r="M344" t="s">
        <v>29</v>
      </c>
      <c r="N344">
        <v>98.02</v>
      </c>
      <c r="O344" t="s">
        <v>20</v>
      </c>
      <c r="P344">
        <f t="shared" si="54"/>
        <v>226.01999999999998</v>
      </c>
      <c r="Q344">
        <f t="shared" si="55"/>
        <v>29.980000000000004</v>
      </c>
      <c r="R344" t="str">
        <f t="shared" si="56"/>
        <v>Trent/Colin</v>
      </c>
      <c r="S344" t="str">
        <f t="shared" si="57"/>
        <v>Graham/Michael</v>
      </c>
      <c r="T344">
        <f t="shared" si="58"/>
        <v>128</v>
      </c>
      <c r="U344">
        <f t="shared" si="59"/>
        <v>98.02</v>
      </c>
    </row>
    <row r="345" spans="1:21" x14ac:dyDescent="0.3">
      <c r="A345">
        <v>344</v>
      </c>
      <c r="B345" t="str">
        <f>H345&amp;R345&amp;I345</f>
        <v>2018Eric/Blake4</v>
      </c>
      <c r="C345" t="str">
        <f>H345&amp;S345&amp;I345</f>
        <v>2018Clay/Ryan4</v>
      </c>
      <c r="D345">
        <f t="shared" si="50"/>
        <v>480</v>
      </c>
      <c r="E345">
        <f t="shared" si="51"/>
        <v>221</v>
      </c>
      <c r="F345">
        <f t="shared" si="52"/>
        <v>281</v>
      </c>
      <c r="G345">
        <f t="shared" si="53"/>
        <v>190</v>
      </c>
      <c r="H345">
        <v>2018</v>
      </c>
      <c r="I345">
        <v>4</v>
      </c>
      <c r="J345">
        <v>18</v>
      </c>
      <c r="K345" t="s">
        <v>35</v>
      </c>
      <c r="L345">
        <v>109.38</v>
      </c>
      <c r="M345" t="s">
        <v>34</v>
      </c>
      <c r="N345">
        <v>128.36000000000001</v>
      </c>
      <c r="O345" t="s">
        <v>20</v>
      </c>
      <c r="P345">
        <f t="shared" si="54"/>
        <v>237.74</v>
      </c>
      <c r="Q345">
        <f t="shared" si="55"/>
        <v>18.980000000000018</v>
      </c>
      <c r="R345" t="str">
        <f t="shared" si="56"/>
        <v>Eric/Blake</v>
      </c>
      <c r="S345" t="str">
        <f t="shared" si="57"/>
        <v>Clay/Ryan</v>
      </c>
      <c r="T345">
        <f t="shared" si="58"/>
        <v>128.36000000000001</v>
      </c>
      <c r="U345">
        <f t="shared" si="59"/>
        <v>109.38</v>
      </c>
    </row>
    <row r="346" spans="1:21" x14ac:dyDescent="0.3">
      <c r="A346">
        <v>345</v>
      </c>
      <c r="B346" t="str">
        <f>H346&amp;R346&amp;I346</f>
        <v>2018Drew/Cam4</v>
      </c>
      <c r="C346" t="str">
        <f>H346&amp;S346&amp;I346</f>
        <v>2018Pat/Tucker4</v>
      </c>
      <c r="D346">
        <f t="shared" si="50"/>
        <v>868</v>
      </c>
      <c r="E346">
        <f t="shared" si="51"/>
        <v>294</v>
      </c>
      <c r="F346">
        <f t="shared" si="52"/>
        <v>518</v>
      </c>
      <c r="G346">
        <f t="shared" si="53"/>
        <v>137</v>
      </c>
      <c r="H346">
        <v>2018</v>
      </c>
      <c r="I346">
        <v>4</v>
      </c>
      <c r="J346">
        <v>19</v>
      </c>
      <c r="K346" t="s">
        <v>31</v>
      </c>
      <c r="L346">
        <v>114.24</v>
      </c>
      <c r="M346" t="s">
        <v>37</v>
      </c>
      <c r="N346">
        <v>114.26</v>
      </c>
      <c r="O346" t="s">
        <v>20</v>
      </c>
      <c r="P346">
        <f t="shared" si="54"/>
        <v>228.5</v>
      </c>
      <c r="Q346">
        <f t="shared" si="55"/>
        <v>2.0000000000010232E-2</v>
      </c>
      <c r="R346" t="str">
        <f t="shared" si="56"/>
        <v>Drew/Cam</v>
      </c>
      <c r="S346" t="str">
        <f t="shared" si="57"/>
        <v>Pat/Tucker</v>
      </c>
      <c r="T346">
        <f t="shared" si="58"/>
        <v>114.26</v>
      </c>
      <c r="U346">
        <f t="shared" si="59"/>
        <v>114.24</v>
      </c>
    </row>
    <row r="347" spans="1:21" x14ac:dyDescent="0.3">
      <c r="A347">
        <v>346</v>
      </c>
      <c r="B347" t="str">
        <f>H347&amp;R347&amp;I347</f>
        <v>2018Trent/Colin5</v>
      </c>
      <c r="C347" t="str">
        <f>H347&amp;S347&amp;I347</f>
        <v>2018David/Marshall5</v>
      </c>
      <c r="D347">
        <f t="shared" si="50"/>
        <v>268</v>
      </c>
      <c r="E347">
        <f t="shared" si="51"/>
        <v>646</v>
      </c>
      <c r="F347">
        <f t="shared" si="52"/>
        <v>562</v>
      </c>
      <c r="G347">
        <f t="shared" si="53"/>
        <v>689</v>
      </c>
      <c r="H347">
        <v>2018</v>
      </c>
      <c r="I347">
        <v>5</v>
      </c>
      <c r="J347">
        <v>20</v>
      </c>
      <c r="K347" t="s">
        <v>38</v>
      </c>
      <c r="L347">
        <v>78.94</v>
      </c>
      <c r="M347" t="s">
        <v>33</v>
      </c>
      <c r="N347">
        <v>111.58</v>
      </c>
      <c r="O347" t="s">
        <v>20</v>
      </c>
      <c r="P347">
        <f t="shared" si="54"/>
        <v>190.51999999999998</v>
      </c>
      <c r="Q347">
        <f t="shared" si="55"/>
        <v>32.64</v>
      </c>
      <c r="R347" t="str">
        <f t="shared" si="56"/>
        <v>Trent/Colin</v>
      </c>
      <c r="S347" t="str">
        <f t="shared" si="57"/>
        <v>David/Marshall</v>
      </c>
      <c r="T347">
        <f t="shared" si="58"/>
        <v>111.58</v>
      </c>
      <c r="U347">
        <f t="shared" si="59"/>
        <v>78.94</v>
      </c>
    </row>
    <row r="348" spans="1:21" x14ac:dyDescent="0.3">
      <c r="A348">
        <v>347</v>
      </c>
      <c r="B348" t="str">
        <f>H348&amp;R348&amp;I348</f>
        <v>2018Dave/Nolan5</v>
      </c>
      <c r="C348" t="str">
        <f>H348&amp;S348&amp;I348</f>
        <v>2018Clay/Ryan5</v>
      </c>
      <c r="D348">
        <f t="shared" si="50"/>
        <v>354</v>
      </c>
      <c r="E348">
        <f t="shared" si="51"/>
        <v>746</v>
      </c>
      <c r="F348">
        <f t="shared" si="52"/>
        <v>689</v>
      </c>
      <c r="G348">
        <f t="shared" si="53"/>
        <v>718</v>
      </c>
      <c r="H348">
        <v>2018</v>
      </c>
      <c r="I348">
        <v>5</v>
      </c>
      <c r="J348">
        <v>21</v>
      </c>
      <c r="K348" t="s">
        <v>30</v>
      </c>
      <c r="L348">
        <v>102.32</v>
      </c>
      <c r="M348" t="s">
        <v>35</v>
      </c>
      <c r="N348">
        <v>76.02</v>
      </c>
      <c r="O348" t="s">
        <v>20</v>
      </c>
      <c r="P348">
        <f t="shared" si="54"/>
        <v>178.33999999999997</v>
      </c>
      <c r="Q348">
        <f t="shared" si="55"/>
        <v>26.299999999999997</v>
      </c>
      <c r="R348" t="str">
        <f t="shared" si="56"/>
        <v>Dave/Nolan</v>
      </c>
      <c r="S348" t="str">
        <f t="shared" si="57"/>
        <v>Clay/Ryan</v>
      </c>
      <c r="T348">
        <f t="shared" si="58"/>
        <v>102.32</v>
      </c>
      <c r="U348">
        <f t="shared" si="59"/>
        <v>76.02</v>
      </c>
    </row>
    <row r="349" spans="1:21" x14ac:dyDescent="0.3">
      <c r="A349">
        <v>348</v>
      </c>
      <c r="B349" t="str">
        <f>H349&amp;R349&amp;I349</f>
        <v>2018Brian/Travis5</v>
      </c>
      <c r="C349" t="str">
        <f>H349&amp;S349&amp;I349</f>
        <v>2018Pat/Tucker5</v>
      </c>
      <c r="D349">
        <f t="shared" si="50"/>
        <v>667</v>
      </c>
      <c r="E349">
        <f t="shared" si="51"/>
        <v>163</v>
      </c>
      <c r="F349">
        <f t="shared" si="52"/>
        <v>299</v>
      </c>
      <c r="G349">
        <f t="shared" si="53"/>
        <v>93</v>
      </c>
      <c r="H349">
        <v>2018</v>
      </c>
      <c r="I349">
        <v>5</v>
      </c>
      <c r="J349">
        <v>22</v>
      </c>
      <c r="K349" t="s">
        <v>32</v>
      </c>
      <c r="L349">
        <v>127.44</v>
      </c>
      <c r="M349" t="s">
        <v>31</v>
      </c>
      <c r="N349">
        <v>118</v>
      </c>
      <c r="O349" t="s">
        <v>20</v>
      </c>
      <c r="P349">
        <f t="shared" si="54"/>
        <v>245.44</v>
      </c>
      <c r="Q349">
        <f t="shared" si="55"/>
        <v>9.4399999999999977</v>
      </c>
      <c r="R349" t="str">
        <f t="shared" si="56"/>
        <v>Brian/Travis</v>
      </c>
      <c r="S349" t="str">
        <f t="shared" si="57"/>
        <v>Pat/Tucker</v>
      </c>
      <c r="T349">
        <f t="shared" si="58"/>
        <v>127.44</v>
      </c>
      <c r="U349">
        <f t="shared" si="59"/>
        <v>118</v>
      </c>
    </row>
    <row r="350" spans="1:21" x14ac:dyDescent="0.3">
      <c r="A350">
        <v>349</v>
      </c>
      <c r="B350" t="str">
        <f>H350&amp;R350&amp;I350</f>
        <v>2018Walker/Cory5</v>
      </c>
      <c r="C350" t="str">
        <f>H350&amp;S350&amp;I350</f>
        <v>2018Eric/Blake5</v>
      </c>
      <c r="D350">
        <f t="shared" si="50"/>
        <v>639</v>
      </c>
      <c r="E350">
        <f t="shared" si="51"/>
        <v>82</v>
      </c>
      <c r="F350">
        <f t="shared" si="52"/>
        <v>190</v>
      </c>
      <c r="G350">
        <f t="shared" si="53"/>
        <v>45</v>
      </c>
      <c r="H350">
        <v>2018</v>
      </c>
      <c r="I350">
        <v>5</v>
      </c>
      <c r="J350">
        <v>23</v>
      </c>
      <c r="K350" t="s">
        <v>36</v>
      </c>
      <c r="L350">
        <v>135.08000000000001</v>
      </c>
      <c r="M350" t="s">
        <v>34</v>
      </c>
      <c r="N350">
        <v>124.58</v>
      </c>
      <c r="O350" t="s">
        <v>20</v>
      </c>
      <c r="P350">
        <f t="shared" si="54"/>
        <v>259.66000000000003</v>
      </c>
      <c r="Q350">
        <f t="shared" si="55"/>
        <v>10.500000000000014</v>
      </c>
      <c r="R350" t="str">
        <f t="shared" si="56"/>
        <v>Walker/Cory</v>
      </c>
      <c r="S350" t="str">
        <f t="shared" si="57"/>
        <v>Eric/Blake</v>
      </c>
      <c r="T350">
        <f t="shared" si="58"/>
        <v>135.08000000000001</v>
      </c>
      <c r="U350">
        <f t="shared" si="59"/>
        <v>124.58</v>
      </c>
    </row>
    <row r="351" spans="1:21" x14ac:dyDescent="0.3">
      <c r="A351">
        <v>350</v>
      </c>
      <c r="B351" t="str">
        <f>H351&amp;R351&amp;I351</f>
        <v>2018Graham/Michael5</v>
      </c>
      <c r="C351" t="str">
        <f>H351&amp;S351&amp;I351</f>
        <v>2018Drew/Cam5</v>
      </c>
      <c r="D351">
        <f t="shared" si="50"/>
        <v>638</v>
      </c>
      <c r="E351">
        <f t="shared" si="51"/>
        <v>687</v>
      </c>
      <c r="F351">
        <f t="shared" si="52"/>
        <v>735</v>
      </c>
      <c r="G351">
        <f t="shared" si="53"/>
        <v>552</v>
      </c>
      <c r="H351">
        <v>2018</v>
      </c>
      <c r="I351">
        <v>5</v>
      </c>
      <c r="J351">
        <v>24</v>
      </c>
      <c r="K351" t="s">
        <v>29</v>
      </c>
      <c r="L351">
        <v>98.34</v>
      </c>
      <c r="M351" t="s">
        <v>37</v>
      </c>
      <c r="N351">
        <v>87.8</v>
      </c>
      <c r="O351" t="s">
        <v>20</v>
      </c>
      <c r="P351">
        <f t="shared" si="54"/>
        <v>186.14</v>
      </c>
      <c r="Q351">
        <f t="shared" si="55"/>
        <v>10.540000000000006</v>
      </c>
      <c r="R351" t="str">
        <f t="shared" si="56"/>
        <v>Graham/Michael</v>
      </c>
      <c r="S351" t="str">
        <f t="shared" si="57"/>
        <v>Drew/Cam</v>
      </c>
      <c r="T351">
        <f t="shared" si="58"/>
        <v>98.34</v>
      </c>
      <c r="U351">
        <f t="shared" si="59"/>
        <v>87.8</v>
      </c>
    </row>
    <row r="352" spans="1:21" x14ac:dyDescent="0.3">
      <c r="A352">
        <v>351</v>
      </c>
      <c r="B352" t="str">
        <f>H352&amp;R352&amp;I352</f>
        <v>2018Eric/Blake6</v>
      </c>
      <c r="C352" t="str">
        <f>H352&amp;S352&amp;I352</f>
        <v>2018Pat/Tucker6</v>
      </c>
      <c r="D352">
        <f t="shared" si="50"/>
        <v>349</v>
      </c>
      <c r="E352">
        <f t="shared" si="51"/>
        <v>118</v>
      </c>
      <c r="F352">
        <f t="shared" si="52"/>
        <v>138</v>
      </c>
      <c r="G352">
        <f t="shared" si="53"/>
        <v>145</v>
      </c>
      <c r="H352">
        <v>2018</v>
      </c>
      <c r="I352">
        <v>6</v>
      </c>
      <c r="J352">
        <v>25</v>
      </c>
      <c r="K352" t="s">
        <v>31</v>
      </c>
      <c r="L352">
        <v>113.18</v>
      </c>
      <c r="M352" t="s">
        <v>34</v>
      </c>
      <c r="N352">
        <v>139.78</v>
      </c>
      <c r="O352" t="s">
        <v>20</v>
      </c>
      <c r="P352">
        <f t="shared" si="54"/>
        <v>252.96</v>
      </c>
      <c r="Q352">
        <f t="shared" si="55"/>
        <v>26.599999999999994</v>
      </c>
      <c r="R352" t="str">
        <f t="shared" si="56"/>
        <v>Eric/Blake</v>
      </c>
      <c r="S352" t="str">
        <f t="shared" si="57"/>
        <v>Pat/Tucker</v>
      </c>
      <c r="T352">
        <f t="shared" si="58"/>
        <v>139.78</v>
      </c>
      <c r="U352">
        <f t="shared" si="59"/>
        <v>113.18</v>
      </c>
    </row>
    <row r="353" spans="1:21" x14ac:dyDescent="0.3">
      <c r="A353">
        <v>352</v>
      </c>
      <c r="B353" t="str">
        <f>H353&amp;R353&amp;I353</f>
        <v>2018Drew/Cam6</v>
      </c>
      <c r="C353" t="str">
        <f>H353&amp;S353&amp;I353</f>
        <v>2018Walker/Cory6</v>
      </c>
      <c r="D353">
        <f t="shared" si="50"/>
        <v>220</v>
      </c>
      <c r="E353">
        <f t="shared" si="51"/>
        <v>89</v>
      </c>
      <c r="F353">
        <f t="shared" si="52"/>
        <v>89</v>
      </c>
      <c r="G353">
        <f t="shared" si="53"/>
        <v>173</v>
      </c>
      <c r="H353">
        <v>2018</v>
      </c>
      <c r="I353">
        <v>6</v>
      </c>
      <c r="J353">
        <v>26</v>
      </c>
      <c r="K353" t="s">
        <v>37</v>
      </c>
      <c r="L353">
        <v>147.5</v>
      </c>
      <c r="M353" t="s">
        <v>36</v>
      </c>
      <c r="N353">
        <v>110.5</v>
      </c>
      <c r="O353" t="s">
        <v>20</v>
      </c>
      <c r="P353">
        <f t="shared" si="54"/>
        <v>258</v>
      </c>
      <c r="Q353">
        <f t="shared" si="55"/>
        <v>37</v>
      </c>
      <c r="R353" t="str">
        <f t="shared" si="56"/>
        <v>Drew/Cam</v>
      </c>
      <c r="S353" t="str">
        <f t="shared" si="57"/>
        <v>Walker/Cory</v>
      </c>
      <c r="T353">
        <f t="shared" si="58"/>
        <v>147.5</v>
      </c>
      <c r="U353">
        <f t="shared" si="59"/>
        <v>110.5</v>
      </c>
    </row>
    <row r="354" spans="1:21" x14ac:dyDescent="0.3">
      <c r="A354">
        <v>353</v>
      </c>
      <c r="B354" t="str">
        <f>H354&amp;R354&amp;I354</f>
        <v>2018Graham/Michael6</v>
      </c>
      <c r="C354" t="str">
        <f>H354&amp;S354&amp;I354</f>
        <v>2018Dave/Nolan6</v>
      </c>
      <c r="D354">
        <f t="shared" si="50"/>
        <v>543</v>
      </c>
      <c r="E354">
        <f t="shared" si="51"/>
        <v>702</v>
      </c>
      <c r="F354">
        <f t="shared" si="52"/>
        <v>708</v>
      </c>
      <c r="G354">
        <f t="shared" si="53"/>
        <v>623</v>
      </c>
      <c r="H354">
        <v>2018</v>
      </c>
      <c r="I354">
        <v>6</v>
      </c>
      <c r="J354">
        <v>27</v>
      </c>
      <c r="K354" t="s">
        <v>29</v>
      </c>
      <c r="L354">
        <v>99.82</v>
      </c>
      <c r="M354" t="s">
        <v>30</v>
      </c>
      <c r="N354">
        <v>84.52</v>
      </c>
      <c r="O354" t="s">
        <v>20</v>
      </c>
      <c r="P354">
        <f t="shared" si="54"/>
        <v>184.33999999999997</v>
      </c>
      <c r="Q354">
        <f t="shared" si="55"/>
        <v>15.299999999999997</v>
      </c>
      <c r="R354" t="str">
        <f t="shared" si="56"/>
        <v>Graham/Michael</v>
      </c>
      <c r="S354" t="str">
        <f t="shared" si="57"/>
        <v>Dave/Nolan</v>
      </c>
      <c r="T354">
        <f t="shared" si="58"/>
        <v>99.82</v>
      </c>
      <c r="U354">
        <f t="shared" si="59"/>
        <v>84.52</v>
      </c>
    </row>
    <row r="355" spans="1:21" x14ac:dyDescent="0.3">
      <c r="A355">
        <v>354</v>
      </c>
      <c r="B355" t="str">
        <f>H355&amp;R355&amp;I355</f>
        <v>2018Brian/Travis6</v>
      </c>
      <c r="C355" t="str">
        <f>H355&amp;S355&amp;I355</f>
        <v>2018David/Marshall6</v>
      </c>
      <c r="D355">
        <f t="shared" si="50"/>
        <v>481</v>
      </c>
      <c r="E355">
        <f t="shared" si="51"/>
        <v>845</v>
      </c>
      <c r="F355">
        <f t="shared" si="52"/>
        <v>838</v>
      </c>
      <c r="G355">
        <f t="shared" si="53"/>
        <v>817</v>
      </c>
      <c r="H355">
        <v>2018</v>
      </c>
      <c r="I355">
        <v>6</v>
      </c>
      <c r="J355">
        <v>28</v>
      </c>
      <c r="K355" t="s">
        <v>32</v>
      </c>
      <c r="L355">
        <v>85.24</v>
      </c>
      <c r="M355" t="s">
        <v>38</v>
      </c>
      <c r="N355">
        <v>66.28</v>
      </c>
      <c r="O355" t="s">
        <v>20</v>
      </c>
      <c r="P355">
        <f t="shared" si="54"/>
        <v>151.51999999999998</v>
      </c>
      <c r="Q355">
        <f t="shared" si="55"/>
        <v>18.959999999999994</v>
      </c>
      <c r="R355" t="str">
        <f t="shared" si="56"/>
        <v>Brian/Travis</v>
      </c>
      <c r="S355" t="str">
        <f t="shared" si="57"/>
        <v>David/Marshall</v>
      </c>
      <c r="T355">
        <f t="shared" si="58"/>
        <v>85.24</v>
      </c>
      <c r="U355">
        <f t="shared" si="59"/>
        <v>66.28</v>
      </c>
    </row>
    <row r="356" spans="1:21" x14ac:dyDescent="0.3">
      <c r="A356">
        <v>355</v>
      </c>
      <c r="B356" t="str">
        <f>H356&amp;R356&amp;I356</f>
        <v>2018Trent/Colin6</v>
      </c>
      <c r="C356" t="str">
        <f>H356&amp;S356&amp;I356</f>
        <v>2018Clay/Ryan6</v>
      </c>
      <c r="D356">
        <f t="shared" si="50"/>
        <v>798</v>
      </c>
      <c r="E356">
        <f t="shared" si="51"/>
        <v>181</v>
      </c>
      <c r="F356">
        <f t="shared" si="52"/>
        <v>363</v>
      </c>
      <c r="G356">
        <f t="shared" si="53"/>
        <v>77</v>
      </c>
      <c r="H356">
        <v>2018</v>
      </c>
      <c r="I356">
        <v>6</v>
      </c>
      <c r="J356">
        <v>29</v>
      </c>
      <c r="K356" t="s">
        <v>33</v>
      </c>
      <c r="L356">
        <v>123.5</v>
      </c>
      <c r="M356" t="s">
        <v>35</v>
      </c>
      <c r="N356">
        <v>119.76</v>
      </c>
      <c r="O356" t="s">
        <v>20</v>
      </c>
      <c r="P356">
        <f t="shared" si="54"/>
        <v>243.26</v>
      </c>
      <c r="Q356">
        <f t="shared" si="55"/>
        <v>3.7399999999999949</v>
      </c>
      <c r="R356" t="str">
        <f t="shared" si="56"/>
        <v>Trent/Colin</v>
      </c>
      <c r="S356" t="str">
        <f t="shared" si="57"/>
        <v>Clay/Ryan</v>
      </c>
      <c r="T356">
        <f t="shared" si="58"/>
        <v>123.5</v>
      </c>
      <c r="U356">
        <f t="shared" si="59"/>
        <v>119.76</v>
      </c>
    </row>
    <row r="357" spans="1:21" x14ac:dyDescent="0.3">
      <c r="A357">
        <v>356</v>
      </c>
      <c r="B357" t="str">
        <f>H357&amp;R357&amp;I357</f>
        <v>2018Pat/Tucker7</v>
      </c>
      <c r="C357" t="str">
        <f>H357&amp;S357&amp;I357</f>
        <v>2018Walker/Cory7</v>
      </c>
      <c r="D357">
        <f t="shared" si="50"/>
        <v>733</v>
      </c>
      <c r="E357">
        <f t="shared" si="51"/>
        <v>99</v>
      </c>
      <c r="F357">
        <f t="shared" si="52"/>
        <v>232</v>
      </c>
      <c r="G357">
        <f t="shared" si="53"/>
        <v>42</v>
      </c>
      <c r="H357">
        <v>2018</v>
      </c>
      <c r="I357">
        <v>7</v>
      </c>
      <c r="J357">
        <v>30</v>
      </c>
      <c r="K357" t="s">
        <v>36</v>
      </c>
      <c r="L357">
        <v>124.84</v>
      </c>
      <c r="M357" t="s">
        <v>31</v>
      </c>
      <c r="N357">
        <v>131.47999999999999</v>
      </c>
      <c r="O357" t="s">
        <v>20</v>
      </c>
      <c r="P357">
        <f t="shared" si="54"/>
        <v>256.32</v>
      </c>
      <c r="Q357">
        <f t="shared" si="55"/>
        <v>6.6399999999999864</v>
      </c>
      <c r="R357" t="str">
        <f t="shared" si="56"/>
        <v>Pat/Tucker</v>
      </c>
      <c r="S357" t="str">
        <f t="shared" si="57"/>
        <v>Walker/Cory</v>
      </c>
      <c r="T357">
        <f t="shared" si="58"/>
        <v>131.47999999999999</v>
      </c>
      <c r="U357">
        <f t="shared" si="59"/>
        <v>124.84</v>
      </c>
    </row>
    <row r="358" spans="1:21" x14ac:dyDescent="0.3">
      <c r="A358">
        <v>357</v>
      </c>
      <c r="B358" t="str">
        <f>H358&amp;R358&amp;I358</f>
        <v>2018Drew/Cam7</v>
      </c>
      <c r="C358" t="str">
        <f>H358&amp;S358&amp;I358</f>
        <v>2018Dave/Nolan7</v>
      </c>
      <c r="D358">
        <f t="shared" si="50"/>
        <v>399</v>
      </c>
      <c r="E358">
        <f t="shared" si="51"/>
        <v>560</v>
      </c>
      <c r="F358">
        <f t="shared" si="52"/>
        <v>558</v>
      </c>
      <c r="G358">
        <f t="shared" si="53"/>
        <v>533</v>
      </c>
      <c r="H358">
        <v>2018</v>
      </c>
      <c r="I358">
        <v>7</v>
      </c>
      <c r="J358">
        <v>31</v>
      </c>
      <c r="K358" t="s">
        <v>30</v>
      </c>
      <c r="L358">
        <v>88.68</v>
      </c>
      <c r="M358" t="s">
        <v>37</v>
      </c>
      <c r="N358">
        <v>111.76</v>
      </c>
      <c r="O358" t="s">
        <v>20</v>
      </c>
      <c r="P358">
        <f t="shared" si="54"/>
        <v>200.44</v>
      </c>
      <c r="Q358">
        <f t="shared" si="55"/>
        <v>23.08</v>
      </c>
      <c r="R358" t="str">
        <f t="shared" si="56"/>
        <v>Drew/Cam</v>
      </c>
      <c r="S358" t="str">
        <f t="shared" si="57"/>
        <v>Dave/Nolan</v>
      </c>
      <c r="T358">
        <f t="shared" si="58"/>
        <v>111.76</v>
      </c>
      <c r="U358">
        <f t="shared" si="59"/>
        <v>88.68</v>
      </c>
    </row>
    <row r="359" spans="1:21" x14ac:dyDescent="0.3">
      <c r="A359">
        <v>358</v>
      </c>
      <c r="B359" t="str">
        <f>H359&amp;R359&amp;I359</f>
        <v>2018Graham/Michael7</v>
      </c>
      <c r="C359" t="str">
        <f>H359&amp;S359&amp;I359</f>
        <v>2018David/Marshall7</v>
      </c>
      <c r="D359">
        <f t="shared" si="50"/>
        <v>789</v>
      </c>
      <c r="E359">
        <f t="shared" si="51"/>
        <v>710</v>
      </c>
      <c r="F359">
        <f t="shared" si="52"/>
        <v>781</v>
      </c>
      <c r="G359">
        <f t="shared" si="53"/>
        <v>509</v>
      </c>
      <c r="H359">
        <v>2018</v>
      </c>
      <c r="I359">
        <v>7</v>
      </c>
      <c r="J359">
        <v>32</v>
      </c>
      <c r="K359" t="s">
        <v>38</v>
      </c>
      <c r="L359">
        <v>89.84</v>
      </c>
      <c r="M359" t="s">
        <v>29</v>
      </c>
      <c r="N359">
        <v>94</v>
      </c>
      <c r="O359" t="s">
        <v>20</v>
      </c>
      <c r="P359">
        <f t="shared" si="54"/>
        <v>183.84</v>
      </c>
      <c r="Q359">
        <f t="shared" si="55"/>
        <v>4.1599999999999966</v>
      </c>
      <c r="R359" t="str">
        <f t="shared" si="56"/>
        <v>Graham/Michael</v>
      </c>
      <c r="S359" t="str">
        <f t="shared" si="57"/>
        <v>David/Marshall</v>
      </c>
      <c r="T359">
        <f t="shared" si="58"/>
        <v>94</v>
      </c>
      <c r="U359">
        <f t="shared" si="59"/>
        <v>89.84</v>
      </c>
    </row>
    <row r="360" spans="1:21" x14ac:dyDescent="0.3">
      <c r="A360">
        <v>359</v>
      </c>
      <c r="B360" t="str">
        <f>H360&amp;R360&amp;I360</f>
        <v>2018Clay/Ryan7</v>
      </c>
      <c r="C360" t="str">
        <f>H360&amp;S360&amp;I360</f>
        <v>2018Brian/Travis7</v>
      </c>
      <c r="D360">
        <f t="shared" si="50"/>
        <v>586</v>
      </c>
      <c r="E360">
        <f t="shared" si="51"/>
        <v>495</v>
      </c>
      <c r="F360">
        <f t="shared" si="52"/>
        <v>586</v>
      </c>
      <c r="G360">
        <f t="shared" si="53"/>
        <v>379</v>
      </c>
      <c r="H360">
        <v>2018</v>
      </c>
      <c r="I360">
        <v>7</v>
      </c>
      <c r="J360">
        <v>33</v>
      </c>
      <c r="K360" t="s">
        <v>35</v>
      </c>
      <c r="L360">
        <v>110.3</v>
      </c>
      <c r="M360" t="s">
        <v>32</v>
      </c>
      <c r="N360">
        <v>97.34</v>
      </c>
      <c r="O360" t="s">
        <v>20</v>
      </c>
      <c r="P360">
        <f t="shared" si="54"/>
        <v>207.64</v>
      </c>
      <c r="Q360">
        <f t="shared" si="55"/>
        <v>12.959999999999994</v>
      </c>
      <c r="R360" t="str">
        <f t="shared" si="56"/>
        <v>Clay/Ryan</v>
      </c>
      <c r="S360" t="str">
        <f t="shared" si="57"/>
        <v>Brian/Travis</v>
      </c>
      <c r="T360">
        <f t="shared" si="58"/>
        <v>110.3</v>
      </c>
      <c r="U360">
        <f t="shared" si="59"/>
        <v>97.34</v>
      </c>
    </row>
    <row r="361" spans="1:21" x14ac:dyDescent="0.3">
      <c r="A361">
        <v>360</v>
      </c>
      <c r="B361" t="str">
        <f>H361&amp;R361&amp;I361</f>
        <v>2018Eric/Blake7</v>
      </c>
      <c r="C361" t="str">
        <f>H361&amp;S361&amp;I361</f>
        <v>2018Trent/Colin7</v>
      </c>
      <c r="D361">
        <f t="shared" si="50"/>
        <v>542</v>
      </c>
      <c r="E361">
        <f t="shared" si="51"/>
        <v>9</v>
      </c>
      <c r="F361">
        <f t="shared" si="52"/>
        <v>46</v>
      </c>
      <c r="G361">
        <f t="shared" si="53"/>
        <v>9</v>
      </c>
      <c r="H361">
        <v>2018</v>
      </c>
      <c r="I361">
        <v>7</v>
      </c>
      <c r="J361">
        <v>34</v>
      </c>
      <c r="K361" t="s">
        <v>34</v>
      </c>
      <c r="L361">
        <v>155.02000000000001</v>
      </c>
      <c r="M361" t="s">
        <v>33</v>
      </c>
      <c r="N361">
        <v>139.66</v>
      </c>
      <c r="O361" t="s">
        <v>20</v>
      </c>
      <c r="P361">
        <f t="shared" si="54"/>
        <v>294.68</v>
      </c>
      <c r="Q361">
        <f t="shared" si="55"/>
        <v>15.360000000000014</v>
      </c>
      <c r="R361" t="str">
        <f t="shared" si="56"/>
        <v>Eric/Blake</v>
      </c>
      <c r="S361" t="str">
        <f t="shared" si="57"/>
        <v>Trent/Colin</v>
      </c>
      <c r="T361">
        <f t="shared" si="58"/>
        <v>155.02000000000001</v>
      </c>
      <c r="U361">
        <f t="shared" si="59"/>
        <v>139.66</v>
      </c>
    </row>
    <row r="362" spans="1:21" x14ac:dyDescent="0.3">
      <c r="A362">
        <v>361</v>
      </c>
      <c r="B362" t="str">
        <f>H362&amp;R362&amp;I362</f>
        <v>2018Pat/Tucker8</v>
      </c>
      <c r="C362" t="str">
        <f>H362&amp;S362&amp;I362</f>
        <v>2018Dave/Nolan8</v>
      </c>
      <c r="D362">
        <f t="shared" si="50"/>
        <v>708</v>
      </c>
      <c r="E362">
        <f t="shared" si="51"/>
        <v>834</v>
      </c>
      <c r="F362">
        <f t="shared" si="52"/>
        <v>851</v>
      </c>
      <c r="G362">
        <f t="shared" si="53"/>
        <v>756</v>
      </c>
      <c r="H362">
        <v>2018</v>
      </c>
      <c r="I362">
        <v>8</v>
      </c>
      <c r="J362">
        <v>35</v>
      </c>
      <c r="K362" t="s">
        <v>31</v>
      </c>
      <c r="L362">
        <v>81.099999999999994</v>
      </c>
      <c r="M362" t="s">
        <v>30</v>
      </c>
      <c r="N362">
        <v>73.5</v>
      </c>
      <c r="O362" t="s">
        <v>20</v>
      </c>
      <c r="P362">
        <f t="shared" si="54"/>
        <v>154.6</v>
      </c>
      <c r="Q362">
        <f t="shared" si="55"/>
        <v>7.5999999999999943</v>
      </c>
      <c r="R362" t="str">
        <f t="shared" si="56"/>
        <v>Pat/Tucker</v>
      </c>
      <c r="S362" t="str">
        <f t="shared" si="57"/>
        <v>Dave/Nolan</v>
      </c>
      <c r="T362">
        <f t="shared" si="58"/>
        <v>81.099999999999994</v>
      </c>
      <c r="U362">
        <f t="shared" si="59"/>
        <v>73.5</v>
      </c>
    </row>
    <row r="363" spans="1:21" x14ac:dyDescent="0.3">
      <c r="A363">
        <v>362</v>
      </c>
      <c r="B363" t="str">
        <f>H363&amp;R363&amp;I363</f>
        <v>2018Drew/Cam8</v>
      </c>
      <c r="C363" t="str">
        <f>H363&amp;S363&amp;I363</f>
        <v>2018David/Marshall8</v>
      </c>
      <c r="D363">
        <f t="shared" si="50"/>
        <v>374</v>
      </c>
      <c r="E363">
        <f t="shared" si="51"/>
        <v>526</v>
      </c>
      <c r="F363">
        <f t="shared" si="52"/>
        <v>516</v>
      </c>
      <c r="G363">
        <f t="shared" si="53"/>
        <v>515</v>
      </c>
      <c r="H363">
        <v>2018</v>
      </c>
      <c r="I363">
        <v>8</v>
      </c>
      <c r="J363">
        <v>36</v>
      </c>
      <c r="K363" t="s">
        <v>37</v>
      </c>
      <c r="L363">
        <v>114.52</v>
      </c>
      <c r="M363" t="s">
        <v>38</v>
      </c>
      <c r="N363">
        <v>89.76</v>
      </c>
      <c r="O363" t="s">
        <v>20</v>
      </c>
      <c r="P363">
        <f t="shared" si="54"/>
        <v>204.28</v>
      </c>
      <c r="Q363">
        <f t="shared" si="55"/>
        <v>24.759999999999991</v>
      </c>
      <c r="R363" t="str">
        <f t="shared" si="56"/>
        <v>Drew/Cam</v>
      </c>
      <c r="S363" t="str">
        <f t="shared" si="57"/>
        <v>David/Marshall</v>
      </c>
      <c r="T363">
        <f t="shared" si="58"/>
        <v>114.52</v>
      </c>
      <c r="U363">
        <f t="shared" si="59"/>
        <v>89.76</v>
      </c>
    </row>
    <row r="364" spans="1:21" x14ac:dyDescent="0.3">
      <c r="A364">
        <v>363</v>
      </c>
      <c r="B364" t="str">
        <f>H364&amp;R364&amp;I364</f>
        <v>2018Graham/Michael8</v>
      </c>
      <c r="C364" t="str">
        <f>H364&amp;S364&amp;I364</f>
        <v>2018Clay/Ryan8</v>
      </c>
      <c r="D364">
        <f t="shared" si="50"/>
        <v>681</v>
      </c>
      <c r="E364">
        <f t="shared" si="51"/>
        <v>218</v>
      </c>
      <c r="F364">
        <f t="shared" si="52"/>
        <v>373</v>
      </c>
      <c r="G364">
        <f t="shared" si="53"/>
        <v>133</v>
      </c>
      <c r="H364">
        <v>2018</v>
      </c>
      <c r="I364">
        <v>8</v>
      </c>
      <c r="J364">
        <v>37</v>
      </c>
      <c r="K364" t="s">
        <v>29</v>
      </c>
      <c r="L364">
        <v>123.36</v>
      </c>
      <c r="M364" t="s">
        <v>35</v>
      </c>
      <c r="N364">
        <v>114.44</v>
      </c>
      <c r="O364" t="s">
        <v>20</v>
      </c>
      <c r="P364">
        <f t="shared" si="54"/>
        <v>237.8</v>
      </c>
      <c r="Q364">
        <f t="shared" si="55"/>
        <v>8.9200000000000017</v>
      </c>
      <c r="R364" t="str">
        <f t="shared" si="56"/>
        <v>Graham/Michael</v>
      </c>
      <c r="S364" t="str">
        <f t="shared" si="57"/>
        <v>Clay/Ryan</v>
      </c>
      <c r="T364">
        <f t="shared" si="58"/>
        <v>123.36</v>
      </c>
      <c r="U364">
        <f t="shared" si="59"/>
        <v>114.44</v>
      </c>
    </row>
    <row r="365" spans="1:21" x14ac:dyDescent="0.3">
      <c r="A365">
        <v>364</v>
      </c>
      <c r="B365" t="str">
        <f>H365&amp;R365&amp;I365</f>
        <v>2018Brian/Travis8</v>
      </c>
      <c r="C365" t="str">
        <f>H365&amp;S365&amp;I365</f>
        <v>2018Eric/Blake8</v>
      </c>
      <c r="D365">
        <f t="shared" si="50"/>
        <v>451</v>
      </c>
      <c r="E365">
        <f t="shared" si="51"/>
        <v>30</v>
      </c>
      <c r="F365">
        <f t="shared" si="52"/>
        <v>71</v>
      </c>
      <c r="G365">
        <f t="shared" si="53"/>
        <v>30</v>
      </c>
      <c r="H365">
        <v>2018</v>
      </c>
      <c r="I365">
        <v>8</v>
      </c>
      <c r="J365">
        <v>38</v>
      </c>
      <c r="K365" t="s">
        <v>32</v>
      </c>
      <c r="L365">
        <v>149.76</v>
      </c>
      <c r="M365" t="s">
        <v>34</v>
      </c>
      <c r="N365">
        <v>129.12</v>
      </c>
      <c r="O365" t="s">
        <v>20</v>
      </c>
      <c r="P365">
        <f t="shared" si="54"/>
        <v>278.88</v>
      </c>
      <c r="Q365">
        <f t="shared" si="55"/>
        <v>20.639999999999986</v>
      </c>
      <c r="R365" t="str">
        <f t="shared" si="56"/>
        <v>Brian/Travis</v>
      </c>
      <c r="S365" t="str">
        <f t="shared" si="57"/>
        <v>Eric/Blake</v>
      </c>
      <c r="T365">
        <f t="shared" si="58"/>
        <v>149.76</v>
      </c>
      <c r="U365">
        <f t="shared" si="59"/>
        <v>129.12</v>
      </c>
    </row>
    <row r="366" spans="1:21" x14ac:dyDescent="0.3">
      <c r="A366">
        <v>365</v>
      </c>
      <c r="B366" t="str">
        <f>H366&amp;R366&amp;I366</f>
        <v>2018Walker/Cory8</v>
      </c>
      <c r="C366" t="str">
        <f>H366&amp;S366&amp;I366</f>
        <v>2018Trent/Colin8</v>
      </c>
      <c r="D366">
        <f t="shared" si="50"/>
        <v>690</v>
      </c>
      <c r="E366">
        <f t="shared" si="51"/>
        <v>505</v>
      </c>
      <c r="F366">
        <f t="shared" si="52"/>
        <v>620</v>
      </c>
      <c r="G366">
        <f t="shared" si="53"/>
        <v>344</v>
      </c>
      <c r="H366">
        <v>2018</v>
      </c>
      <c r="I366">
        <v>8</v>
      </c>
      <c r="J366">
        <v>39</v>
      </c>
      <c r="K366" t="s">
        <v>33</v>
      </c>
      <c r="L366">
        <v>99.1</v>
      </c>
      <c r="M366" t="s">
        <v>36</v>
      </c>
      <c r="N366">
        <v>107.34</v>
      </c>
      <c r="O366" t="s">
        <v>20</v>
      </c>
      <c r="P366">
        <f t="shared" si="54"/>
        <v>206.44</v>
      </c>
      <c r="Q366">
        <f t="shared" si="55"/>
        <v>8.2400000000000091</v>
      </c>
      <c r="R366" t="str">
        <f t="shared" si="56"/>
        <v>Walker/Cory</v>
      </c>
      <c r="S366" t="str">
        <f t="shared" si="57"/>
        <v>Trent/Colin</v>
      </c>
      <c r="T366">
        <f t="shared" si="58"/>
        <v>107.34</v>
      </c>
      <c r="U366">
        <f t="shared" si="59"/>
        <v>99.1</v>
      </c>
    </row>
    <row r="367" spans="1:21" x14ac:dyDescent="0.3">
      <c r="A367">
        <v>366</v>
      </c>
      <c r="B367" t="str">
        <f>H367&amp;R367&amp;I367</f>
        <v>2018Pat/Tucker9</v>
      </c>
      <c r="C367" t="str">
        <f>H367&amp;S367&amp;I367</f>
        <v>2018David/Marshall9</v>
      </c>
      <c r="D367">
        <f t="shared" si="50"/>
        <v>122</v>
      </c>
      <c r="E367">
        <f t="shared" si="51"/>
        <v>170</v>
      </c>
      <c r="F367">
        <f t="shared" si="52"/>
        <v>102</v>
      </c>
      <c r="G367">
        <f t="shared" si="53"/>
        <v>353</v>
      </c>
      <c r="H367">
        <v>2018</v>
      </c>
      <c r="I367">
        <v>9</v>
      </c>
      <c r="J367">
        <v>40</v>
      </c>
      <c r="K367" t="s">
        <v>38</v>
      </c>
      <c r="L367">
        <v>98.76</v>
      </c>
      <c r="M367" t="s">
        <v>31</v>
      </c>
      <c r="N367">
        <v>145.82</v>
      </c>
      <c r="O367" t="s">
        <v>20</v>
      </c>
      <c r="P367">
        <f t="shared" si="54"/>
        <v>244.57999999999998</v>
      </c>
      <c r="Q367">
        <f t="shared" si="55"/>
        <v>47.059999999999988</v>
      </c>
      <c r="R367" t="str">
        <f t="shared" si="56"/>
        <v>Pat/Tucker</v>
      </c>
      <c r="S367" t="str">
        <f t="shared" si="57"/>
        <v>David/Marshall</v>
      </c>
      <c r="T367">
        <f t="shared" si="58"/>
        <v>145.82</v>
      </c>
      <c r="U367">
        <f t="shared" si="59"/>
        <v>98.76</v>
      </c>
    </row>
    <row r="368" spans="1:21" x14ac:dyDescent="0.3">
      <c r="A368">
        <v>367</v>
      </c>
      <c r="B368" t="str">
        <f>H368&amp;R368&amp;I368</f>
        <v>2018Clay/Ryan9</v>
      </c>
      <c r="C368" t="str">
        <f>H368&amp;S368&amp;I368</f>
        <v>2018Dave/Nolan9</v>
      </c>
      <c r="D368">
        <f t="shared" si="50"/>
        <v>395</v>
      </c>
      <c r="E368">
        <f t="shared" si="51"/>
        <v>102</v>
      </c>
      <c r="F368">
        <f t="shared" si="52"/>
        <v>141</v>
      </c>
      <c r="G368">
        <f t="shared" si="53"/>
        <v>114</v>
      </c>
      <c r="H368">
        <v>2018</v>
      </c>
      <c r="I368">
        <v>9</v>
      </c>
      <c r="J368">
        <v>41</v>
      </c>
      <c r="K368" t="s">
        <v>35</v>
      </c>
      <c r="L368">
        <v>139.72</v>
      </c>
      <c r="M368" t="s">
        <v>30</v>
      </c>
      <c r="N368">
        <v>116.24</v>
      </c>
      <c r="O368" t="s">
        <v>20</v>
      </c>
      <c r="P368">
        <f t="shared" si="54"/>
        <v>255.95999999999998</v>
      </c>
      <c r="Q368">
        <f t="shared" si="55"/>
        <v>23.480000000000004</v>
      </c>
      <c r="R368" t="str">
        <f t="shared" si="56"/>
        <v>Clay/Ryan</v>
      </c>
      <c r="S368" t="str">
        <f t="shared" si="57"/>
        <v>Dave/Nolan</v>
      </c>
      <c r="T368">
        <f t="shared" si="58"/>
        <v>139.72</v>
      </c>
      <c r="U368">
        <f t="shared" si="59"/>
        <v>116.24</v>
      </c>
    </row>
    <row r="369" spans="1:21" x14ac:dyDescent="0.3">
      <c r="A369">
        <v>368</v>
      </c>
      <c r="B369" t="str">
        <f>H369&amp;R369&amp;I369</f>
        <v>2018Drew/Cam9</v>
      </c>
      <c r="C369" t="str">
        <f>H369&amp;S369&amp;I369</f>
        <v>2018Trent/Colin9</v>
      </c>
      <c r="D369">
        <f t="shared" si="50"/>
        <v>381</v>
      </c>
      <c r="E369">
        <f t="shared" si="51"/>
        <v>325</v>
      </c>
      <c r="F369">
        <f t="shared" si="52"/>
        <v>341</v>
      </c>
      <c r="G369">
        <f t="shared" si="53"/>
        <v>309</v>
      </c>
      <c r="H369">
        <v>2018</v>
      </c>
      <c r="I369">
        <v>9</v>
      </c>
      <c r="J369">
        <v>42</v>
      </c>
      <c r="K369" t="s">
        <v>37</v>
      </c>
      <c r="L369">
        <v>124.9</v>
      </c>
      <c r="M369" t="s">
        <v>33</v>
      </c>
      <c r="N369">
        <v>100.88</v>
      </c>
      <c r="O369" t="s">
        <v>20</v>
      </c>
      <c r="P369">
        <f t="shared" si="54"/>
        <v>225.78</v>
      </c>
      <c r="Q369">
        <f t="shared" si="55"/>
        <v>24.02000000000001</v>
      </c>
      <c r="R369" t="str">
        <f t="shared" si="56"/>
        <v>Drew/Cam</v>
      </c>
      <c r="S369" t="str">
        <f t="shared" si="57"/>
        <v>Trent/Colin</v>
      </c>
      <c r="T369">
        <f t="shared" si="58"/>
        <v>124.9</v>
      </c>
      <c r="U369">
        <f t="shared" si="59"/>
        <v>100.88</v>
      </c>
    </row>
    <row r="370" spans="1:21" x14ac:dyDescent="0.3">
      <c r="A370">
        <v>369</v>
      </c>
      <c r="B370" t="str">
        <f>H370&amp;R370&amp;I370</f>
        <v>2018Walker/Cory9</v>
      </c>
      <c r="C370" t="str">
        <f>H370&amp;S370&amp;I370</f>
        <v>2018Eric/Blake9</v>
      </c>
      <c r="D370">
        <f t="shared" si="50"/>
        <v>426</v>
      </c>
      <c r="E370">
        <f t="shared" si="51"/>
        <v>164</v>
      </c>
      <c r="F370">
        <f t="shared" si="52"/>
        <v>210</v>
      </c>
      <c r="G370">
        <f t="shared" si="53"/>
        <v>163</v>
      </c>
      <c r="H370">
        <v>2018</v>
      </c>
      <c r="I370">
        <v>9</v>
      </c>
      <c r="J370">
        <v>43</v>
      </c>
      <c r="K370" t="s">
        <v>34</v>
      </c>
      <c r="L370">
        <v>111.58</v>
      </c>
      <c r="M370" t="s">
        <v>36</v>
      </c>
      <c r="N370">
        <v>133.66</v>
      </c>
      <c r="O370" t="s">
        <v>20</v>
      </c>
      <c r="P370">
        <f t="shared" si="54"/>
        <v>245.24</v>
      </c>
      <c r="Q370">
        <f t="shared" si="55"/>
        <v>22.08</v>
      </c>
      <c r="R370" t="str">
        <f t="shared" si="56"/>
        <v>Walker/Cory</v>
      </c>
      <c r="S370" t="str">
        <f t="shared" si="57"/>
        <v>Eric/Blake</v>
      </c>
      <c r="T370">
        <f t="shared" si="58"/>
        <v>133.66</v>
      </c>
      <c r="U370">
        <f t="shared" si="59"/>
        <v>111.58</v>
      </c>
    </row>
    <row r="371" spans="1:21" x14ac:dyDescent="0.3">
      <c r="A371">
        <v>370</v>
      </c>
      <c r="B371" t="str">
        <f>H371&amp;R371&amp;I371</f>
        <v>2018Brian/Travis9</v>
      </c>
      <c r="C371" t="str">
        <f>H371&amp;S371&amp;I371</f>
        <v>2018Graham/Michael9</v>
      </c>
      <c r="D371">
        <f t="shared" si="50"/>
        <v>178</v>
      </c>
      <c r="E371">
        <f t="shared" si="51"/>
        <v>701</v>
      </c>
      <c r="F371">
        <f t="shared" si="52"/>
        <v>531</v>
      </c>
      <c r="G371">
        <f t="shared" si="53"/>
        <v>782</v>
      </c>
      <c r="H371">
        <v>2018</v>
      </c>
      <c r="I371">
        <v>9</v>
      </c>
      <c r="J371">
        <v>44</v>
      </c>
      <c r="K371" t="s">
        <v>29</v>
      </c>
      <c r="L371">
        <v>71.260000000000005</v>
      </c>
      <c r="M371" t="s">
        <v>32</v>
      </c>
      <c r="N371">
        <v>113.14</v>
      </c>
      <c r="O371" t="s">
        <v>20</v>
      </c>
      <c r="P371">
        <f t="shared" si="54"/>
        <v>184.4</v>
      </c>
      <c r="Q371">
        <f t="shared" si="55"/>
        <v>41.879999999999995</v>
      </c>
      <c r="R371" t="str">
        <f t="shared" si="56"/>
        <v>Brian/Travis</v>
      </c>
      <c r="S371" t="str">
        <f t="shared" si="57"/>
        <v>Graham/Michael</v>
      </c>
      <c r="T371">
        <f t="shared" si="58"/>
        <v>113.14</v>
      </c>
      <c r="U371">
        <f t="shared" si="59"/>
        <v>71.260000000000005</v>
      </c>
    </row>
    <row r="372" spans="1:21" x14ac:dyDescent="0.3">
      <c r="A372">
        <v>371</v>
      </c>
      <c r="B372" t="str">
        <f>H372&amp;R372&amp;I372</f>
        <v>2018Drew/Cam10</v>
      </c>
      <c r="C372" t="str">
        <f>H372&amp;S372&amp;I372</f>
        <v>2018Clay/Ryan10</v>
      </c>
      <c r="D372">
        <f t="shared" si="50"/>
        <v>683</v>
      </c>
      <c r="E372">
        <f t="shared" si="51"/>
        <v>363</v>
      </c>
      <c r="F372">
        <f t="shared" si="52"/>
        <v>498</v>
      </c>
      <c r="G372">
        <f t="shared" si="53"/>
        <v>221</v>
      </c>
      <c r="H372">
        <v>2018</v>
      </c>
      <c r="I372">
        <v>10</v>
      </c>
      <c r="J372">
        <v>45</v>
      </c>
      <c r="K372" t="s">
        <v>35</v>
      </c>
      <c r="L372">
        <v>106.84</v>
      </c>
      <c r="M372" t="s">
        <v>37</v>
      </c>
      <c r="N372">
        <v>115.6</v>
      </c>
      <c r="O372" t="s">
        <v>20</v>
      </c>
      <c r="P372">
        <f t="shared" si="54"/>
        <v>222.44</v>
      </c>
      <c r="Q372">
        <f t="shared" si="55"/>
        <v>8.7599999999999909</v>
      </c>
      <c r="R372" t="str">
        <f t="shared" si="56"/>
        <v>Drew/Cam</v>
      </c>
      <c r="S372" t="str">
        <f t="shared" si="57"/>
        <v>Clay/Ryan</v>
      </c>
      <c r="T372">
        <f t="shared" si="58"/>
        <v>115.6</v>
      </c>
      <c r="U372">
        <f t="shared" si="59"/>
        <v>106.84</v>
      </c>
    </row>
    <row r="373" spans="1:21" x14ac:dyDescent="0.3">
      <c r="A373">
        <v>372</v>
      </c>
      <c r="B373" t="str">
        <f>H373&amp;R373&amp;I373</f>
        <v>2018Eric/Blake10</v>
      </c>
      <c r="C373" t="str">
        <f>H373&amp;S373&amp;I373</f>
        <v>2018David/Marshall10</v>
      </c>
      <c r="D373">
        <f t="shared" si="50"/>
        <v>144</v>
      </c>
      <c r="E373">
        <f t="shared" si="51"/>
        <v>352</v>
      </c>
      <c r="F373">
        <f t="shared" si="52"/>
        <v>209</v>
      </c>
      <c r="G373">
        <f t="shared" si="53"/>
        <v>521</v>
      </c>
      <c r="H373">
        <v>2018</v>
      </c>
      <c r="I373">
        <v>10</v>
      </c>
      <c r="J373">
        <v>46</v>
      </c>
      <c r="K373" t="s">
        <v>34</v>
      </c>
      <c r="L373">
        <v>133.76</v>
      </c>
      <c r="M373" t="s">
        <v>38</v>
      </c>
      <c r="N373">
        <v>89.52</v>
      </c>
      <c r="O373" t="s">
        <v>20</v>
      </c>
      <c r="P373">
        <f t="shared" si="54"/>
        <v>223.27999999999997</v>
      </c>
      <c r="Q373">
        <f t="shared" si="55"/>
        <v>44.239999999999995</v>
      </c>
      <c r="R373" t="str">
        <f t="shared" si="56"/>
        <v>Eric/Blake</v>
      </c>
      <c r="S373" t="str">
        <f t="shared" si="57"/>
        <v>David/Marshall</v>
      </c>
      <c r="T373">
        <f t="shared" si="58"/>
        <v>133.76</v>
      </c>
      <c r="U373">
        <f t="shared" si="59"/>
        <v>89.52</v>
      </c>
    </row>
    <row r="374" spans="1:21" x14ac:dyDescent="0.3">
      <c r="A374">
        <v>373</v>
      </c>
      <c r="B374" t="str">
        <f>H374&amp;R374&amp;I374</f>
        <v>2018Graham/Michael10</v>
      </c>
      <c r="C374" t="str">
        <f>H374&amp;S374&amp;I374</f>
        <v>2018Pat/Tucker10</v>
      </c>
      <c r="D374">
        <f t="shared" si="50"/>
        <v>435</v>
      </c>
      <c r="E374">
        <f t="shared" si="51"/>
        <v>244</v>
      </c>
      <c r="F374">
        <f t="shared" si="52"/>
        <v>280</v>
      </c>
      <c r="G374">
        <f t="shared" si="53"/>
        <v>224</v>
      </c>
      <c r="H374">
        <v>2018</v>
      </c>
      <c r="I374">
        <v>10</v>
      </c>
      <c r="J374">
        <v>47</v>
      </c>
      <c r="K374" t="s">
        <v>31</v>
      </c>
      <c r="L374">
        <v>106.66</v>
      </c>
      <c r="M374" t="s">
        <v>29</v>
      </c>
      <c r="N374">
        <v>128.4</v>
      </c>
      <c r="O374" t="s">
        <v>20</v>
      </c>
      <c r="P374">
        <f t="shared" si="54"/>
        <v>235.06</v>
      </c>
      <c r="Q374">
        <f t="shared" si="55"/>
        <v>21.740000000000009</v>
      </c>
      <c r="R374" t="str">
        <f t="shared" si="56"/>
        <v>Graham/Michael</v>
      </c>
      <c r="S374" t="str">
        <f t="shared" si="57"/>
        <v>Pat/Tucker</v>
      </c>
      <c r="T374">
        <f t="shared" si="58"/>
        <v>128.4</v>
      </c>
      <c r="U374">
        <f t="shared" si="59"/>
        <v>106.66</v>
      </c>
    </row>
    <row r="375" spans="1:21" x14ac:dyDescent="0.3">
      <c r="A375">
        <v>374</v>
      </c>
      <c r="B375" t="str">
        <f>H375&amp;R375&amp;I375</f>
        <v>2018Walker/Cory10</v>
      </c>
      <c r="C375" t="str">
        <f>H375&amp;S375&amp;I375</f>
        <v>2018Dave/Nolan10</v>
      </c>
      <c r="D375">
        <f t="shared" si="50"/>
        <v>689</v>
      </c>
      <c r="E375">
        <f t="shared" si="51"/>
        <v>148</v>
      </c>
      <c r="F375">
        <f t="shared" si="52"/>
        <v>290</v>
      </c>
      <c r="G375">
        <f t="shared" si="53"/>
        <v>79</v>
      </c>
      <c r="H375">
        <v>2018</v>
      </c>
      <c r="I375">
        <v>10</v>
      </c>
      <c r="J375">
        <v>48</v>
      </c>
      <c r="K375" t="s">
        <v>36</v>
      </c>
      <c r="L375">
        <v>127.96</v>
      </c>
      <c r="M375" t="s">
        <v>30</v>
      </c>
      <c r="N375">
        <v>119.7</v>
      </c>
      <c r="O375" t="s">
        <v>20</v>
      </c>
      <c r="P375">
        <f t="shared" si="54"/>
        <v>247.66</v>
      </c>
      <c r="Q375">
        <f t="shared" si="55"/>
        <v>8.2599999999999909</v>
      </c>
      <c r="R375" t="str">
        <f t="shared" si="56"/>
        <v>Walker/Cory</v>
      </c>
      <c r="S375" t="str">
        <f t="shared" si="57"/>
        <v>Dave/Nolan</v>
      </c>
      <c r="T375">
        <f t="shared" si="58"/>
        <v>127.96</v>
      </c>
      <c r="U375">
        <f t="shared" si="59"/>
        <v>119.7</v>
      </c>
    </row>
    <row r="376" spans="1:21" x14ac:dyDescent="0.3">
      <c r="A376">
        <v>375</v>
      </c>
      <c r="B376" t="str">
        <f>H376&amp;R376&amp;I376</f>
        <v>2018Trent/Colin10</v>
      </c>
      <c r="C376" t="str">
        <f>H376&amp;S376&amp;I376</f>
        <v>2018Brian/Travis10</v>
      </c>
      <c r="D376">
        <f t="shared" si="50"/>
        <v>557</v>
      </c>
      <c r="E376">
        <f t="shared" si="51"/>
        <v>188</v>
      </c>
      <c r="F376">
        <f t="shared" si="52"/>
        <v>283</v>
      </c>
      <c r="G376">
        <f t="shared" si="53"/>
        <v>141</v>
      </c>
      <c r="H376">
        <v>2018</v>
      </c>
      <c r="I376">
        <v>10</v>
      </c>
      <c r="J376">
        <v>49</v>
      </c>
      <c r="K376" t="s">
        <v>33</v>
      </c>
      <c r="L376">
        <v>128.22</v>
      </c>
      <c r="M376" t="s">
        <v>32</v>
      </c>
      <c r="N376">
        <v>114.12</v>
      </c>
      <c r="O376" t="s">
        <v>20</v>
      </c>
      <c r="P376">
        <f t="shared" si="54"/>
        <v>242.34</v>
      </c>
      <c r="Q376">
        <f t="shared" si="55"/>
        <v>14.099999999999994</v>
      </c>
      <c r="R376" t="str">
        <f t="shared" si="56"/>
        <v>Trent/Colin</v>
      </c>
      <c r="S376" t="str">
        <f t="shared" si="57"/>
        <v>Brian/Travis</v>
      </c>
      <c r="T376">
        <f t="shared" si="58"/>
        <v>128.22</v>
      </c>
      <c r="U376">
        <f t="shared" si="59"/>
        <v>114.12</v>
      </c>
    </row>
    <row r="377" spans="1:21" x14ac:dyDescent="0.3">
      <c r="A377">
        <v>376</v>
      </c>
      <c r="B377" t="str">
        <f>H377&amp;R377&amp;I377</f>
        <v>2018Eric/Blake11</v>
      </c>
      <c r="C377" t="str">
        <f>H377&amp;S377&amp;I377</f>
        <v>2018Graham/Michael11</v>
      </c>
      <c r="D377">
        <f t="shared" si="50"/>
        <v>108</v>
      </c>
      <c r="E377">
        <f t="shared" si="51"/>
        <v>36</v>
      </c>
      <c r="F377">
        <f t="shared" si="52"/>
        <v>31</v>
      </c>
      <c r="G377">
        <f t="shared" si="53"/>
        <v>143</v>
      </c>
      <c r="H377">
        <v>2018</v>
      </c>
      <c r="I377">
        <v>11</v>
      </c>
      <c r="J377">
        <v>50</v>
      </c>
      <c r="K377" t="s">
        <v>34</v>
      </c>
      <c r="L377">
        <v>162.62</v>
      </c>
      <c r="M377" t="s">
        <v>29</v>
      </c>
      <c r="N377">
        <v>113.84</v>
      </c>
      <c r="O377" t="s">
        <v>20</v>
      </c>
      <c r="P377">
        <f t="shared" si="54"/>
        <v>276.46000000000004</v>
      </c>
      <c r="Q377">
        <f t="shared" si="55"/>
        <v>48.78</v>
      </c>
      <c r="R377" t="str">
        <f t="shared" si="56"/>
        <v>Eric/Blake</v>
      </c>
      <c r="S377" t="str">
        <f t="shared" si="57"/>
        <v>Graham/Michael</v>
      </c>
      <c r="T377">
        <f t="shared" si="58"/>
        <v>162.62</v>
      </c>
      <c r="U377">
        <f t="shared" si="59"/>
        <v>113.84</v>
      </c>
    </row>
    <row r="378" spans="1:21" x14ac:dyDescent="0.3">
      <c r="A378">
        <v>377</v>
      </c>
      <c r="B378" t="str">
        <f>H378&amp;R378&amp;I378</f>
        <v>2018Walker/Cory11</v>
      </c>
      <c r="C378" t="str">
        <f>H378&amp;S378&amp;I378</f>
        <v>2018Clay/Ryan11</v>
      </c>
      <c r="D378">
        <f t="shared" si="50"/>
        <v>774</v>
      </c>
      <c r="E378">
        <f t="shared" si="51"/>
        <v>125</v>
      </c>
      <c r="F378">
        <f t="shared" si="52"/>
        <v>282</v>
      </c>
      <c r="G378">
        <f t="shared" si="53"/>
        <v>54</v>
      </c>
      <c r="H378">
        <v>2018</v>
      </c>
      <c r="I378">
        <v>11</v>
      </c>
      <c r="J378">
        <v>51</v>
      </c>
      <c r="K378" t="s">
        <v>35</v>
      </c>
      <c r="L378">
        <v>123.5</v>
      </c>
      <c r="M378" t="s">
        <v>36</v>
      </c>
      <c r="N378">
        <v>128.28</v>
      </c>
      <c r="O378" t="s">
        <v>20</v>
      </c>
      <c r="P378">
        <f t="shared" si="54"/>
        <v>251.78</v>
      </c>
      <c r="Q378">
        <f t="shared" si="55"/>
        <v>4.7800000000000011</v>
      </c>
      <c r="R378" t="str">
        <f t="shared" si="56"/>
        <v>Walker/Cory</v>
      </c>
      <c r="S378" t="str">
        <f t="shared" si="57"/>
        <v>Clay/Ryan</v>
      </c>
      <c r="T378">
        <f t="shared" si="58"/>
        <v>128.28</v>
      </c>
      <c r="U378">
        <f t="shared" si="59"/>
        <v>123.5</v>
      </c>
    </row>
    <row r="379" spans="1:21" x14ac:dyDescent="0.3">
      <c r="A379">
        <v>378</v>
      </c>
      <c r="B379" t="str">
        <f>H379&amp;R379&amp;I379</f>
        <v>2018Brian/Travis11</v>
      </c>
      <c r="C379" t="str">
        <f>H379&amp;S379&amp;I379</f>
        <v>2018Drew/Cam11</v>
      </c>
      <c r="D379">
        <f t="shared" si="50"/>
        <v>506</v>
      </c>
      <c r="E379">
        <f t="shared" si="51"/>
        <v>336</v>
      </c>
      <c r="F379">
        <f t="shared" si="52"/>
        <v>410</v>
      </c>
      <c r="G379">
        <f t="shared" si="53"/>
        <v>260</v>
      </c>
      <c r="H379">
        <v>2018</v>
      </c>
      <c r="I379">
        <v>11</v>
      </c>
      <c r="J379">
        <v>52</v>
      </c>
      <c r="K379" t="s">
        <v>32</v>
      </c>
      <c r="L379">
        <v>121.02</v>
      </c>
      <c r="M379" t="s">
        <v>37</v>
      </c>
      <c r="N379">
        <v>103.54</v>
      </c>
      <c r="O379" t="s">
        <v>20</v>
      </c>
      <c r="P379">
        <f t="shared" si="54"/>
        <v>224.56</v>
      </c>
      <c r="Q379">
        <f t="shared" si="55"/>
        <v>17.47999999999999</v>
      </c>
      <c r="R379" t="str">
        <f t="shared" si="56"/>
        <v>Brian/Travis</v>
      </c>
      <c r="S379" t="str">
        <f t="shared" si="57"/>
        <v>Drew/Cam</v>
      </c>
      <c r="T379">
        <f t="shared" si="58"/>
        <v>121.02</v>
      </c>
      <c r="U379">
        <f t="shared" si="59"/>
        <v>103.54</v>
      </c>
    </row>
    <row r="380" spans="1:21" x14ac:dyDescent="0.3">
      <c r="A380">
        <v>379</v>
      </c>
      <c r="B380" t="str">
        <f>H380&amp;R380&amp;I380</f>
        <v>2018Dave/Nolan11</v>
      </c>
      <c r="C380" t="str">
        <f>H380&amp;S380&amp;I380</f>
        <v>2018David/Marshall11</v>
      </c>
      <c r="D380">
        <f t="shared" si="50"/>
        <v>166</v>
      </c>
      <c r="E380">
        <f t="shared" si="51"/>
        <v>396</v>
      </c>
      <c r="F380">
        <f t="shared" si="52"/>
        <v>254</v>
      </c>
      <c r="G380">
        <f t="shared" si="53"/>
        <v>555</v>
      </c>
      <c r="H380">
        <v>2018</v>
      </c>
      <c r="I380">
        <v>11</v>
      </c>
      <c r="J380">
        <v>53</v>
      </c>
      <c r="K380" t="s">
        <v>38</v>
      </c>
      <c r="L380">
        <v>87.64</v>
      </c>
      <c r="M380" t="s">
        <v>30</v>
      </c>
      <c r="N380">
        <v>130.02000000000001</v>
      </c>
      <c r="O380" t="s">
        <v>20</v>
      </c>
      <c r="P380">
        <f t="shared" si="54"/>
        <v>217.66000000000003</v>
      </c>
      <c r="Q380">
        <f t="shared" si="55"/>
        <v>42.38000000000001</v>
      </c>
      <c r="R380" t="str">
        <f t="shared" si="56"/>
        <v>Dave/Nolan</v>
      </c>
      <c r="S380" t="str">
        <f t="shared" si="57"/>
        <v>David/Marshall</v>
      </c>
      <c r="T380">
        <f t="shared" si="58"/>
        <v>130.02000000000001</v>
      </c>
      <c r="U380">
        <f t="shared" si="59"/>
        <v>87.64</v>
      </c>
    </row>
    <row r="381" spans="1:21" x14ac:dyDescent="0.3">
      <c r="A381">
        <v>380</v>
      </c>
      <c r="B381" t="str">
        <f>H381&amp;R381&amp;I381</f>
        <v>2018Pat/Tucker11</v>
      </c>
      <c r="C381" t="str">
        <f>H381&amp;S381&amp;I381</f>
        <v>2018Trent/Colin11</v>
      </c>
      <c r="D381">
        <f t="shared" si="50"/>
        <v>757</v>
      </c>
      <c r="E381">
        <f t="shared" si="51"/>
        <v>326</v>
      </c>
      <c r="F381">
        <f t="shared" si="52"/>
        <v>497</v>
      </c>
      <c r="G381">
        <f t="shared" si="53"/>
        <v>184</v>
      </c>
      <c r="H381">
        <v>2018</v>
      </c>
      <c r="I381">
        <v>11</v>
      </c>
      <c r="J381">
        <v>54</v>
      </c>
      <c r="K381" t="s">
        <v>33</v>
      </c>
      <c r="L381">
        <v>109.88</v>
      </c>
      <c r="M381" t="s">
        <v>31</v>
      </c>
      <c r="N381">
        <v>115.62</v>
      </c>
      <c r="O381" t="s">
        <v>20</v>
      </c>
      <c r="P381">
        <f t="shared" si="54"/>
        <v>225.5</v>
      </c>
      <c r="Q381">
        <f t="shared" si="55"/>
        <v>5.7400000000000091</v>
      </c>
      <c r="R381" t="str">
        <f t="shared" si="56"/>
        <v>Pat/Tucker</v>
      </c>
      <c r="S381" t="str">
        <f t="shared" si="57"/>
        <v>Trent/Colin</v>
      </c>
      <c r="T381">
        <f t="shared" si="58"/>
        <v>115.62</v>
      </c>
      <c r="U381">
        <f t="shared" si="59"/>
        <v>109.88</v>
      </c>
    </row>
    <row r="382" spans="1:21" x14ac:dyDescent="0.3">
      <c r="A382">
        <v>381</v>
      </c>
      <c r="B382" t="str">
        <f>H382&amp;R382&amp;I382</f>
        <v>2018Brian/Travis12</v>
      </c>
      <c r="C382" t="str">
        <f>H382&amp;S382&amp;I382</f>
        <v>2018Walker/Cory12</v>
      </c>
      <c r="D382">
        <f t="shared" si="50"/>
        <v>127</v>
      </c>
      <c r="E382">
        <f t="shared" si="51"/>
        <v>145</v>
      </c>
      <c r="F382">
        <f t="shared" si="52"/>
        <v>90</v>
      </c>
      <c r="G382">
        <f t="shared" si="53"/>
        <v>308</v>
      </c>
      <c r="H382">
        <v>2018</v>
      </c>
      <c r="I382">
        <v>12</v>
      </c>
      <c r="J382">
        <v>55</v>
      </c>
      <c r="K382" t="s">
        <v>36</v>
      </c>
      <c r="L382">
        <v>100.92</v>
      </c>
      <c r="M382" t="s">
        <v>32</v>
      </c>
      <c r="N382">
        <v>147.22</v>
      </c>
      <c r="O382" t="s">
        <v>20</v>
      </c>
      <c r="P382">
        <f t="shared" si="54"/>
        <v>248.14</v>
      </c>
      <c r="Q382">
        <f t="shared" si="55"/>
        <v>46.3</v>
      </c>
      <c r="R382" t="str">
        <f t="shared" si="56"/>
        <v>Brian/Travis</v>
      </c>
      <c r="S382" t="str">
        <f t="shared" si="57"/>
        <v>Walker/Cory</v>
      </c>
      <c r="T382">
        <f t="shared" si="58"/>
        <v>147.22</v>
      </c>
      <c r="U382">
        <f t="shared" si="59"/>
        <v>100.92</v>
      </c>
    </row>
    <row r="383" spans="1:21" x14ac:dyDescent="0.3">
      <c r="A383">
        <v>382</v>
      </c>
      <c r="B383" t="str">
        <f>H383&amp;R383&amp;I383</f>
        <v>2018Eric/Blake12</v>
      </c>
      <c r="C383" t="str">
        <f>H383&amp;S383&amp;I383</f>
        <v>2018Dave/Nolan12</v>
      </c>
      <c r="D383">
        <f t="shared" si="50"/>
        <v>779</v>
      </c>
      <c r="E383">
        <f t="shared" si="51"/>
        <v>531</v>
      </c>
      <c r="F383">
        <f t="shared" si="52"/>
        <v>661</v>
      </c>
      <c r="G383">
        <f t="shared" si="53"/>
        <v>336</v>
      </c>
      <c r="H383">
        <v>2018</v>
      </c>
      <c r="I383">
        <v>12</v>
      </c>
      <c r="J383">
        <v>56</v>
      </c>
      <c r="K383" t="s">
        <v>30</v>
      </c>
      <c r="L383">
        <v>99.64</v>
      </c>
      <c r="M383" t="s">
        <v>34</v>
      </c>
      <c r="N383">
        <v>104.18</v>
      </c>
      <c r="O383" t="s">
        <v>20</v>
      </c>
      <c r="P383">
        <f t="shared" si="54"/>
        <v>203.82</v>
      </c>
      <c r="Q383">
        <f t="shared" si="55"/>
        <v>4.5400000000000063</v>
      </c>
      <c r="R383" t="str">
        <f t="shared" si="56"/>
        <v>Eric/Blake</v>
      </c>
      <c r="S383" t="str">
        <f t="shared" si="57"/>
        <v>Dave/Nolan</v>
      </c>
      <c r="T383">
        <f t="shared" si="58"/>
        <v>104.18</v>
      </c>
      <c r="U383">
        <f t="shared" si="59"/>
        <v>99.64</v>
      </c>
    </row>
    <row r="384" spans="1:21" x14ac:dyDescent="0.3">
      <c r="A384">
        <v>383</v>
      </c>
      <c r="B384" t="str">
        <f>H384&amp;R384&amp;I384</f>
        <v>2018Trent/Colin12</v>
      </c>
      <c r="C384" t="str">
        <f>H384&amp;S384&amp;I384</f>
        <v>2018Graham/Michael12</v>
      </c>
      <c r="D384">
        <f t="shared" si="50"/>
        <v>617</v>
      </c>
      <c r="E384">
        <f t="shared" si="51"/>
        <v>129</v>
      </c>
      <c r="F384">
        <f t="shared" si="52"/>
        <v>233</v>
      </c>
      <c r="G384">
        <f t="shared" si="53"/>
        <v>76</v>
      </c>
      <c r="H384">
        <v>2018</v>
      </c>
      <c r="I384">
        <v>12</v>
      </c>
      <c r="J384">
        <v>57</v>
      </c>
      <c r="K384" t="s">
        <v>29</v>
      </c>
      <c r="L384">
        <v>119.78</v>
      </c>
      <c r="M384" t="s">
        <v>33</v>
      </c>
      <c r="N384">
        <v>131.34</v>
      </c>
      <c r="O384" t="s">
        <v>20</v>
      </c>
      <c r="P384">
        <f t="shared" si="54"/>
        <v>251.12</v>
      </c>
      <c r="Q384">
        <f t="shared" si="55"/>
        <v>11.560000000000002</v>
      </c>
      <c r="R384" t="str">
        <f t="shared" si="56"/>
        <v>Trent/Colin</v>
      </c>
      <c r="S384" t="str">
        <f t="shared" si="57"/>
        <v>Graham/Michael</v>
      </c>
      <c r="T384">
        <f t="shared" si="58"/>
        <v>131.34</v>
      </c>
      <c r="U384">
        <f t="shared" si="59"/>
        <v>119.78</v>
      </c>
    </row>
    <row r="385" spans="1:21" x14ac:dyDescent="0.3">
      <c r="A385">
        <v>384</v>
      </c>
      <c r="B385" t="str">
        <f>H385&amp;R385&amp;I385</f>
        <v>2018Clay/Ryan12</v>
      </c>
      <c r="C385" t="str">
        <f>H385&amp;S385&amp;I385</f>
        <v>2018David/Marshall12</v>
      </c>
      <c r="D385">
        <f t="shared" si="50"/>
        <v>453</v>
      </c>
      <c r="E385">
        <f t="shared" si="51"/>
        <v>337</v>
      </c>
      <c r="F385">
        <f t="shared" si="52"/>
        <v>393</v>
      </c>
      <c r="G385">
        <f t="shared" si="53"/>
        <v>289</v>
      </c>
      <c r="H385">
        <v>2018</v>
      </c>
      <c r="I385">
        <v>12</v>
      </c>
      <c r="J385">
        <v>58</v>
      </c>
      <c r="K385" t="s">
        <v>38</v>
      </c>
      <c r="L385">
        <v>101.96</v>
      </c>
      <c r="M385" t="s">
        <v>35</v>
      </c>
      <c r="N385">
        <v>122.48</v>
      </c>
      <c r="O385" t="s">
        <v>20</v>
      </c>
      <c r="P385">
        <f t="shared" si="54"/>
        <v>224.44</v>
      </c>
      <c r="Q385">
        <f t="shared" si="55"/>
        <v>20.52000000000001</v>
      </c>
      <c r="R385" t="str">
        <f t="shared" si="56"/>
        <v>Clay/Ryan</v>
      </c>
      <c r="S385" t="str">
        <f t="shared" si="57"/>
        <v>David/Marshall</v>
      </c>
      <c r="T385">
        <f t="shared" si="58"/>
        <v>122.48</v>
      </c>
      <c r="U385">
        <f t="shared" si="59"/>
        <v>101.96</v>
      </c>
    </row>
    <row r="386" spans="1:21" x14ac:dyDescent="0.3">
      <c r="A386">
        <v>385</v>
      </c>
      <c r="B386" t="str">
        <f>H386&amp;R386&amp;I386</f>
        <v>2018Drew/Cam12</v>
      </c>
      <c r="C386" t="str">
        <f>H386&amp;S386&amp;I386</f>
        <v>2018Pat/Tucker12</v>
      </c>
      <c r="D386">
        <f t="shared" ref="D386:D449" si="60">RANK(Q386,Q:Q)</f>
        <v>558</v>
      </c>
      <c r="E386">
        <f t="shared" ref="E386:E449" si="61">RANK(P386,P:P)</f>
        <v>154</v>
      </c>
      <c r="F386">
        <f t="shared" ref="F386:F449" si="62">RANK(T386,T:T)</f>
        <v>251</v>
      </c>
      <c r="G386">
        <f t="shared" ref="G386:G449" si="63">RANK(U386,U:U)</f>
        <v>112</v>
      </c>
      <c r="H386">
        <v>2018</v>
      </c>
      <c r="I386">
        <v>12</v>
      </c>
      <c r="J386">
        <v>59</v>
      </c>
      <c r="K386" t="s">
        <v>37</v>
      </c>
      <c r="L386">
        <v>130.38</v>
      </c>
      <c r="M386" t="s">
        <v>31</v>
      </c>
      <c r="N386">
        <v>116.3</v>
      </c>
      <c r="O386" t="s">
        <v>20</v>
      </c>
      <c r="P386">
        <f t="shared" ref="P386:P449" si="64">SUM(L386,N386)</f>
        <v>246.68</v>
      </c>
      <c r="Q386">
        <f t="shared" ref="Q386:Q449" si="65">ABS(L386-N386)</f>
        <v>14.079999999999998</v>
      </c>
      <c r="R386" t="str">
        <f t="shared" ref="R386:R449" si="66">IF(L386&gt;N386,K386,M386)</f>
        <v>Drew/Cam</v>
      </c>
      <c r="S386" t="str">
        <f t="shared" ref="S386:S449" si="67">IF(L386&gt;N386,M386,K386)</f>
        <v>Pat/Tucker</v>
      </c>
      <c r="T386">
        <f t="shared" ref="T386:T449" si="68">IF(L386&gt;N386,L386,N386)</f>
        <v>130.38</v>
      </c>
      <c r="U386">
        <f t="shared" ref="U386:U449" si="69">IF(L386&gt;N386,N386,L386)</f>
        <v>116.3</v>
      </c>
    </row>
    <row r="387" spans="1:21" x14ac:dyDescent="0.3">
      <c r="A387">
        <v>386</v>
      </c>
      <c r="B387" t="str">
        <f>H387&amp;R387&amp;I387</f>
        <v>2018Dave/Nolan13</v>
      </c>
      <c r="C387" t="str">
        <f>H387&amp;S387&amp;I387</f>
        <v>2018Trent/Colin13</v>
      </c>
      <c r="D387">
        <f t="shared" si="60"/>
        <v>491</v>
      </c>
      <c r="E387">
        <f t="shared" si="61"/>
        <v>154</v>
      </c>
      <c r="F387">
        <f t="shared" si="62"/>
        <v>226</v>
      </c>
      <c r="G387">
        <f t="shared" si="63"/>
        <v>142</v>
      </c>
      <c r="H387">
        <v>2018</v>
      </c>
      <c r="I387">
        <v>13</v>
      </c>
      <c r="J387">
        <v>60</v>
      </c>
      <c r="K387" t="s">
        <v>30</v>
      </c>
      <c r="L387">
        <v>132.58000000000001</v>
      </c>
      <c r="M387" t="s">
        <v>33</v>
      </c>
      <c r="N387">
        <v>114.1</v>
      </c>
      <c r="O387" t="s">
        <v>20</v>
      </c>
      <c r="P387">
        <f t="shared" si="64"/>
        <v>246.68</v>
      </c>
      <c r="Q387">
        <f t="shared" si="65"/>
        <v>18.480000000000018</v>
      </c>
      <c r="R387" t="str">
        <f t="shared" si="66"/>
        <v>Dave/Nolan</v>
      </c>
      <c r="S387" t="str">
        <f t="shared" si="67"/>
        <v>Trent/Colin</v>
      </c>
      <c r="T387">
        <f t="shared" si="68"/>
        <v>132.58000000000001</v>
      </c>
      <c r="U387">
        <f t="shared" si="69"/>
        <v>114.1</v>
      </c>
    </row>
    <row r="388" spans="1:21" x14ac:dyDescent="0.3">
      <c r="A388">
        <v>387</v>
      </c>
      <c r="B388" t="str">
        <f>H388&amp;R388&amp;I388</f>
        <v>2018Walker/Cory13</v>
      </c>
      <c r="C388" t="str">
        <f>H388&amp;S388&amp;I388</f>
        <v>2018David/Marshall13</v>
      </c>
      <c r="D388">
        <f t="shared" si="60"/>
        <v>226</v>
      </c>
      <c r="E388">
        <f t="shared" si="61"/>
        <v>537</v>
      </c>
      <c r="F388">
        <f t="shared" si="62"/>
        <v>429</v>
      </c>
      <c r="G388">
        <f t="shared" si="63"/>
        <v>643</v>
      </c>
      <c r="H388">
        <v>2018</v>
      </c>
      <c r="I388">
        <v>13</v>
      </c>
      <c r="J388">
        <v>61</v>
      </c>
      <c r="K388" t="s">
        <v>36</v>
      </c>
      <c r="L388">
        <v>120.12</v>
      </c>
      <c r="M388" t="s">
        <v>38</v>
      </c>
      <c r="N388">
        <v>83.26</v>
      </c>
      <c r="O388" t="s">
        <v>20</v>
      </c>
      <c r="P388">
        <f t="shared" si="64"/>
        <v>203.38</v>
      </c>
      <c r="Q388">
        <f t="shared" si="65"/>
        <v>36.86</v>
      </c>
      <c r="R388" t="str">
        <f t="shared" si="66"/>
        <v>Walker/Cory</v>
      </c>
      <c r="S388" t="str">
        <f t="shared" si="67"/>
        <v>David/Marshall</v>
      </c>
      <c r="T388">
        <f t="shared" si="68"/>
        <v>120.12</v>
      </c>
      <c r="U388">
        <f t="shared" si="69"/>
        <v>83.26</v>
      </c>
    </row>
    <row r="389" spans="1:21" x14ac:dyDescent="0.3">
      <c r="A389">
        <v>388</v>
      </c>
      <c r="B389" t="str">
        <f>H389&amp;R389&amp;I389</f>
        <v>2018Brian/Travis13</v>
      </c>
      <c r="C389" t="str">
        <f>H389&amp;S389&amp;I389</f>
        <v>2018Pat/Tucker13</v>
      </c>
      <c r="D389">
        <f t="shared" si="60"/>
        <v>18</v>
      </c>
      <c r="E389">
        <f t="shared" si="61"/>
        <v>825</v>
      </c>
      <c r="F389">
        <f t="shared" si="62"/>
        <v>482</v>
      </c>
      <c r="G389">
        <f t="shared" si="63"/>
        <v>869</v>
      </c>
      <c r="H389">
        <v>2018</v>
      </c>
      <c r="I389">
        <v>13</v>
      </c>
      <c r="J389">
        <v>62</v>
      </c>
      <c r="K389" t="s">
        <v>31</v>
      </c>
      <c r="L389">
        <v>43.36</v>
      </c>
      <c r="M389" t="s">
        <v>32</v>
      </c>
      <c r="N389">
        <v>116.58</v>
      </c>
      <c r="O389" t="s">
        <v>20</v>
      </c>
      <c r="P389">
        <f t="shared" si="64"/>
        <v>159.94</v>
      </c>
      <c r="Q389">
        <f t="shared" si="65"/>
        <v>73.22</v>
      </c>
      <c r="R389" t="str">
        <f t="shared" si="66"/>
        <v>Brian/Travis</v>
      </c>
      <c r="S389" t="str">
        <f t="shared" si="67"/>
        <v>Pat/Tucker</v>
      </c>
      <c r="T389">
        <f t="shared" si="68"/>
        <v>116.58</v>
      </c>
      <c r="U389">
        <f t="shared" si="69"/>
        <v>43.36</v>
      </c>
    </row>
    <row r="390" spans="1:21" x14ac:dyDescent="0.3">
      <c r="A390">
        <v>389</v>
      </c>
      <c r="B390" t="str">
        <f>H390&amp;R390&amp;I390</f>
        <v>2018Eric/Blake13</v>
      </c>
      <c r="C390" t="str">
        <f>H390&amp;S390&amp;I390</f>
        <v>2018Clay/Ryan13</v>
      </c>
      <c r="D390">
        <f t="shared" si="60"/>
        <v>620</v>
      </c>
      <c r="E390">
        <f t="shared" si="61"/>
        <v>177</v>
      </c>
      <c r="F390">
        <f t="shared" si="62"/>
        <v>298</v>
      </c>
      <c r="G390">
        <f t="shared" si="63"/>
        <v>115</v>
      </c>
      <c r="H390">
        <v>2018</v>
      </c>
      <c r="I390">
        <v>13</v>
      </c>
      <c r="J390">
        <v>63</v>
      </c>
      <c r="K390" t="s">
        <v>34</v>
      </c>
      <c r="L390">
        <v>127.46</v>
      </c>
      <c r="M390" t="s">
        <v>35</v>
      </c>
      <c r="N390">
        <v>116.1</v>
      </c>
      <c r="O390" t="s">
        <v>20</v>
      </c>
      <c r="P390">
        <f t="shared" si="64"/>
        <v>243.56</v>
      </c>
      <c r="Q390">
        <f t="shared" si="65"/>
        <v>11.36</v>
      </c>
      <c r="R390" t="str">
        <f t="shared" si="66"/>
        <v>Eric/Blake</v>
      </c>
      <c r="S390" t="str">
        <f t="shared" si="67"/>
        <v>Clay/Ryan</v>
      </c>
      <c r="T390">
        <f t="shared" si="68"/>
        <v>127.46</v>
      </c>
      <c r="U390">
        <f t="shared" si="69"/>
        <v>116.1</v>
      </c>
    </row>
    <row r="391" spans="1:21" x14ac:dyDescent="0.3">
      <c r="A391">
        <v>390</v>
      </c>
      <c r="B391" t="str">
        <f>H391&amp;R391&amp;I391</f>
        <v>2018Graham/Michael13</v>
      </c>
      <c r="C391" t="str">
        <f>H391&amp;S391&amp;I391</f>
        <v>2018Drew/Cam13</v>
      </c>
      <c r="D391">
        <f t="shared" si="60"/>
        <v>274</v>
      </c>
      <c r="E391">
        <f t="shared" si="61"/>
        <v>805</v>
      </c>
      <c r="F391">
        <f t="shared" si="62"/>
        <v>723</v>
      </c>
      <c r="G391">
        <f t="shared" si="63"/>
        <v>818</v>
      </c>
      <c r="H391">
        <v>2018</v>
      </c>
      <c r="I391">
        <v>13</v>
      </c>
      <c r="J391">
        <v>64</v>
      </c>
      <c r="K391" t="s">
        <v>37</v>
      </c>
      <c r="L391">
        <v>66.239999999999995</v>
      </c>
      <c r="M391" t="s">
        <v>29</v>
      </c>
      <c r="N391">
        <v>98.54</v>
      </c>
      <c r="O391" t="s">
        <v>20</v>
      </c>
      <c r="P391">
        <f t="shared" si="64"/>
        <v>164.78</v>
      </c>
      <c r="Q391">
        <f t="shared" si="65"/>
        <v>32.300000000000011</v>
      </c>
      <c r="R391" t="str">
        <f t="shared" si="66"/>
        <v>Graham/Michael</v>
      </c>
      <c r="S391" t="str">
        <f t="shared" si="67"/>
        <v>Drew/Cam</v>
      </c>
      <c r="T391">
        <f t="shared" si="68"/>
        <v>98.54</v>
      </c>
      <c r="U391">
        <f t="shared" si="69"/>
        <v>66.239999999999995</v>
      </c>
    </row>
    <row r="392" spans="1:21" x14ac:dyDescent="0.3">
      <c r="A392">
        <v>391</v>
      </c>
      <c r="B392" t="str">
        <f>H392&amp;R392&amp;I392</f>
        <v>2019Clay/Ryan1</v>
      </c>
      <c r="C392" t="str">
        <f>H392&amp;S392&amp;I392</f>
        <v>2019Pat/Tucker1</v>
      </c>
      <c r="D392">
        <f t="shared" si="60"/>
        <v>9</v>
      </c>
      <c r="E392">
        <f t="shared" si="61"/>
        <v>201</v>
      </c>
      <c r="F392">
        <f t="shared" si="62"/>
        <v>27</v>
      </c>
      <c r="G392">
        <f t="shared" si="63"/>
        <v>704</v>
      </c>
      <c r="H392">
        <v>2019</v>
      </c>
      <c r="I392">
        <v>1</v>
      </c>
      <c r="J392">
        <v>0</v>
      </c>
      <c r="K392" t="s">
        <v>35</v>
      </c>
      <c r="L392">
        <v>163.32</v>
      </c>
      <c r="M392" t="s">
        <v>31</v>
      </c>
      <c r="N392">
        <v>77.319999999999993</v>
      </c>
      <c r="O392" t="s">
        <v>20</v>
      </c>
      <c r="P392">
        <f t="shared" si="64"/>
        <v>240.64</v>
      </c>
      <c r="Q392">
        <f t="shared" si="65"/>
        <v>86</v>
      </c>
      <c r="R392" t="str">
        <f t="shared" si="66"/>
        <v>Clay/Ryan</v>
      </c>
      <c r="S392" t="str">
        <f t="shared" si="67"/>
        <v>Pat/Tucker</v>
      </c>
      <c r="T392">
        <f t="shared" si="68"/>
        <v>163.32</v>
      </c>
      <c r="U392">
        <f t="shared" si="69"/>
        <v>77.319999999999993</v>
      </c>
    </row>
    <row r="393" spans="1:21" x14ac:dyDescent="0.3">
      <c r="A393">
        <v>392</v>
      </c>
      <c r="B393" t="str">
        <f>H393&amp;R393&amp;I393</f>
        <v>2019Eric/Blake1</v>
      </c>
      <c r="C393" t="str">
        <f>H393&amp;S393&amp;I393</f>
        <v>2019David/Marshall1</v>
      </c>
      <c r="D393">
        <f t="shared" si="60"/>
        <v>387</v>
      </c>
      <c r="E393">
        <f t="shared" si="61"/>
        <v>415</v>
      </c>
      <c r="F393">
        <f t="shared" si="62"/>
        <v>433</v>
      </c>
      <c r="G393">
        <f t="shared" si="63"/>
        <v>408</v>
      </c>
      <c r="H393">
        <v>2019</v>
      </c>
      <c r="I393">
        <v>1</v>
      </c>
      <c r="J393">
        <v>1</v>
      </c>
      <c r="K393" t="s">
        <v>38</v>
      </c>
      <c r="L393">
        <v>95.9</v>
      </c>
      <c r="M393" t="s">
        <v>34</v>
      </c>
      <c r="N393">
        <v>119.82</v>
      </c>
      <c r="O393" t="s">
        <v>20</v>
      </c>
      <c r="P393">
        <f t="shared" si="64"/>
        <v>215.72</v>
      </c>
      <c r="Q393">
        <f t="shared" si="65"/>
        <v>23.919999999999987</v>
      </c>
      <c r="R393" t="str">
        <f t="shared" si="66"/>
        <v>Eric/Blake</v>
      </c>
      <c r="S393" t="str">
        <f t="shared" si="67"/>
        <v>David/Marshall</v>
      </c>
      <c r="T393">
        <f t="shared" si="68"/>
        <v>119.82</v>
      </c>
      <c r="U393">
        <f t="shared" si="69"/>
        <v>95.9</v>
      </c>
    </row>
    <row r="394" spans="1:21" x14ac:dyDescent="0.3">
      <c r="A394">
        <v>393</v>
      </c>
      <c r="B394" t="str">
        <f>H394&amp;R394&amp;I394</f>
        <v>2019Drew/Cam1</v>
      </c>
      <c r="C394" t="str">
        <f>H394&amp;S394&amp;I394</f>
        <v>2019Trent/Colin1</v>
      </c>
      <c r="D394">
        <f t="shared" si="60"/>
        <v>444</v>
      </c>
      <c r="E394">
        <f t="shared" si="61"/>
        <v>796</v>
      </c>
      <c r="F394">
        <f t="shared" si="62"/>
        <v>780</v>
      </c>
      <c r="G394">
        <f t="shared" si="63"/>
        <v>765</v>
      </c>
      <c r="H394">
        <v>2019</v>
      </c>
      <c r="I394">
        <v>1</v>
      </c>
      <c r="J394">
        <v>2</v>
      </c>
      <c r="K394" t="s">
        <v>33</v>
      </c>
      <c r="L394">
        <v>73</v>
      </c>
      <c r="M394" t="s">
        <v>37</v>
      </c>
      <c r="N394">
        <v>94.04</v>
      </c>
      <c r="O394" t="s">
        <v>20</v>
      </c>
      <c r="P394">
        <f t="shared" si="64"/>
        <v>167.04000000000002</v>
      </c>
      <c r="Q394">
        <f t="shared" si="65"/>
        <v>21.040000000000006</v>
      </c>
      <c r="R394" t="str">
        <f t="shared" si="66"/>
        <v>Drew/Cam</v>
      </c>
      <c r="S394" t="str">
        <f t="shared" si="67"/>
        <v>Trent/Colin</v>
      </c>
      <c r="T394">
        <f t="shared" si="68"/>
        <v>94.04</v>
      </c>
      <c r="U394">
        <f t="shared" si="69"/>
        <v>73</v>
      </c>
    </row>
    <row r="395" spans="1:21" x14ac:dyDescent="0.3">
      <c r="A395">
        <v>394</v>
      </c>
      <c r="B395" t="str">
        <f>H395&amp;R395&amp;I395</f>
        <v>2019Dave/Nolan1</v>
      </c>
      <c r="C395" t="str">
        <f>H395&amp;S395&amp;I395</f>
        <v>2019Walker/Cory1</v>
      </c>
      <c r="D395">
        <f t="shared" si="60"/>
        <v>96</v>
      </c>
      <c r="E395">
        <f t="shared" si="61"/>
        <v>12</v>
      </c>
      <c r="F395">
        <f t="shared" si="62"/>
        <v>12</v>
      </c>
      <c r="G395">
        <f t="shared" si="63"/>
        <v>72</v>
      </c>
      <c r="H395">
        <v>2019</v>
      </c>
      <c r="I395">
        <v>1</v>
      </c>
      <c r="J395">
        <v>3</v>
      </c>
      <c r="K395" t="s">
        <v>30</v>
      </c>
      <c r="L395">
        <v>170.8</v>
      </c>
      <c r="M395" t="s">
        <v>36</v>
      </c>
      <c r="N395">
        <v>120.16</v>
      </c>
      <c r="O395" t="s">
        <v>20</v>
      </c>
      <c r="P395">
        <f t="shared" si="64"/>
        <v>290.96000000000004</v>
      </c>
      <c r="Q395">
        <f t="shared" si="65"/>
        <v>50.640000000000015</v>
      </c>
      <c r="R395" t="str">
        <f t="shared" si="66"/>
        <v>Dave/Nolan</v>
      </c>
      <c r="S395" t="str">
        <f t="shared" si="67"/>
        <v>Walker/Cory</v>
      </c>
      <c r="T395">
        <f t="shared" si="68"/>
        <v>170.8</v>
      </c>
      <c r="U395">
        <f t="shared" si="69"/>
        <v>120.16</v>
      </c>
    </row>
    <row r="396" spans="1:21" x14ac:dyDescent="0.3">
      <c r="A396">
        <v>395</v>
      </c>
      <c r="B396" t="str">
        <f>H396&amp;R396&amp;I396</f>
        <v>2019Graham/Michael1</v>
      </c>
      <c r="C396" t="str">
        <f>H396&amp;S396&amp;I396</f>
        <v>2019Brian/Travis1</v>
      </c>
      <c r="D396">
        <f t="shared" si="60"/>
        <v>149</v>
      </c>
      <c r="E396">
        <f t="shared" si="61"/>
        <v>132</v>
      </c>
      <c r="F396">
        <f t="shared" si="62"/>
        <v>93</v>
      </c>
      <c r="G396">
        <f t="shared" si="63"/>
        <v>268</v>
      </c>
      <c r="H396">
        <v>2019</v>
      </c>
      <c r="I396">
        <v>1</v>
      </c>
      <c r="J396">
        <v>4</v>
      </c>
      <c r="K396" t="s">
        <v>32</v>
      </c>
      <c r="L396">
        <v>103.4</v>
      </c>
      <c r="M396" t="s">
        <v>29</v>
      </c>
      <c r="N396">
        <v>147.16</v>
      </c>
      <c r="O396" t="s">
        <v>20</v>
      </c>
      <c r="P396">
        <f t="shared" si="64"/>
        <v>250.56</v>
      </c>
      <c r="Q396">
        <f t="shared" si="65"/>
        <v>43.759999999999991</v>
      </c>
      <c r="R396" t="str">
        <f t="shared" si="66"/>
        <v>Graham/Michael</v>
      </c>
      <c r="S396" t="str">
        <f t="shared" si="67"/>
        <v>Brian/Travis</v>
      </c>
      <c r="T396">
        <f t="shared" si="68"/>
        <v>147.16</v>
      </c>
      <c r="U396">
        <f t="shared" si="69"/>
        <v>103.4</v>
      </c>
    </row>
    <row r="397" spans="1:21" x14ac:dyDescent="0.3">
      <c r="A397">
        <v>396</v>
      </c>
      <c r="B397" t="str">
        <f>H397&amp;R397&amp;I397</f>
        <v>2019Drew/Cam2</v>
      </c>
      <c r="C397" t="str">
        <f>H397&amp;S397&amp;I397</f>
        <v>2019Eric/Blake2</v>
      </c>
      <c r="D397">
        <f t="shared" si="60"/>
        <v>511</v>
      </c>
      <c r="E397">
        <f t="shared" si="61"/>
        <v>497</v>
      </c>
      <c r="F397">
        <f t="shared" si="62"/>
        <v>548</v>
      </c>
      <c r="G397">
        <f t="shared" si="63"/>
        <v>414</v>
      </c>
      <c r="H397">
        <v>2019</v>
      </c>
      <c r="I397">
        <v>2</v>
      </c>
      <c r="J397">
        <v>5</v>
      </c>
      <c r="K397" t="s">
        <v>34</v>
      </c>
      <c r="L397">
        <v>95.16</v>
      </c>
      <c r="M397" t="s">
        <v>37</v>
      </c>
      <c r="N397">
        <v>112.32</v>
      </c>
      <c r="O397" t="s">
        <v>20</v>
      </c>
      <c r="P397">
        <f t="shared" si="64"/>
        <v>207.48</v>
      </c>
      <c r="Q397">
        <f t="shared" si="65"/>
        <v>17.159999999999997</v>
      </c>
      <c r="R397" t="str">
        <f t="shared" si="66"/>
        <v>Drew/Cam</v>
      </c>
      <c r="S397" t="str">
        <f t="shared" si="67"/>
        <v>Eric/Blake</v>
      </c>
      <c r="T397">
        <f t="shared" si="68"/>
        <v>112.32</v>
      </c>
      <c r="U397">
        <f t="shared" si="69"/>
        <v>95.16</v>
      </c>
    </row>
    <row r="398" spans="1:21" x14ac:dyDescent="0.3">
      <c r="A398">
        <v>397</v>
      </c>
      <c r="B398" t="str">
        <f>H398&amp;R398&amp;I398</f>
        <v>2019Walker/Cory2</v>
      </c>
      <c r="C398" t="str">
        <f>H398&amp;S398&amp;I398</f>
        <v>2019Clay/Ryan2</v>
      </c>
      <c r="D398">
        <f t="shared" si="60"/>
        <v>659</v>
      </c>
      <c r="E398">
        <f t="shared" si="61"/>
        <v>372</v>
      </c>
      <c r="F398">
        <f t="shared" si="62"/>
        <v>500</v>
      </c>
      <c r="G398">
        <f t="shared" si="63"/>
        <v>230</v>
      </c>
      <c r="H398">
        <v>2019</v>
      </c>
      <c r="I398">
        <v>2</v>
      </c>
      <c r="J398">
        <v>6</v>
      </c>
      <c r="K398" t="s">
        <v>36</v>
      </c>
      <c r="L398">
        <v>115.5</v>
      </c>
      <c r="M398" t="s">
        <v>35</v>
      </c>
      <c r="N398">
        <v>105.84</v>
      </c>
      <c r="O398" t="s">
        <v>20</v>
      </c>
      <c r="P398">
        <f t="shared" si="64"/>
        <v>221.34</v>
      </c>
      <c r="Q398">
        <f t="shared" si="65"/>
        <v>9.6599999999999966</v>
      </c>
      <c r="R398" t="str">
        <f t="shared" si="66"/>
        <v>Walker/Cory</v>
      </c>
      <c r="S398" t="str">
        <f t="shared" si="67"/>
        <v>Clay/Ryan</v>
      </c>
      <c r="T398">
        <f t="shared" si="68"/>
        <v>115.5</v>
      </c>
      <c r="U398">
        <f t="shared" si="69"/>
        <v>105.84</v>
      </c>
    </row>
    <row r="399" spans="1:21" x14ac:dyDescent="0.3">
      <c r="A399">
        <v>398</v>
      </c>
      <c r="B399" t="str">
        <f>H399&amp;R399&amp;I399</f>
        <v>2019Pat/Tucker2</v>
      </c>
      <c r="C399" t="str">
        <f>H399&amp;S399&amp;I399</f>
        <v>2019Graham/Michael2</v>
      </c>
      <c r="D399">
        <f t="shared" si="60"/>
        <v>504</v>
      </c>
      <c r="E399">
        <f t="shared" si="61"/>
        <v>393</v>
      </c>
      <c r="F399">
        <f t="shared" si="62"/>
        <v>461</v>
      </c>
      <c r="G399">
        <f t="shared" si="63"/>
        <v>320</v>
      </c>
      <c r="H399">
        <v>2019</v>
      </c>
      <c r="I399">
        <v>2</v>
      </c>
      <c r="J399">
        <v>7</v>
      </c>
      <c r="K399" t="s">
        <v>29</v>
      </c>
      <c r="L399">
        <v>100.38</v>
      </c>
      <c r="M399" t="s">
        <v>31</v>
      </c>
      <c r="N399">
        <v>117.92</v>
      </c>
      <c r="O399" t="s">
        <v>20</v>
      </c>
      <c r="P399">
        <f t="shared" si="64"/>
        <v>218.3</v>
      </c>
      <c r="Q399">
        <f t="shared" si="65"/>
        <v>17.540000000000006</v>
      </c>
      <c r="R399" t="str">
        <f t="shared" si="66"/>
        <v>Pat/Tucker</v>
      </c>
      <c r="S399" t="str">
        <f t="shared" si="67"/>
        <v>Graham/Michael</v>
      </c>
      <c r="T399">
        <f t="shared" si="68"/>
        <v>117.92</v>
      </c>
      <c r="U399">
        <f t="shared" si="69"/>
        <v>100.38</v>
      </c>
    </row>
    <row r="400" spans="1:21" x14ac:dyDescent="0.3">
      <c r="A400">
        <v>399</v>
      </c>
      <c r="B400" t="str">
        <f>H400&amp;R400&amp;I400</f>
        <v>2019Dave/Nolan2</v>
      </c>
      <c r="C400" t="str">
        <f>H400&amp;S400&amp;I400</f>
        <v>2019David/Marshall2</v>
      </c>
      <c r="D400">
        <f t="shared" si="60"/>
        <v>848</v>
      </c>
      <c r="E400">
        <f t="shared" si="61"/>
        <v>147</v>
      </c>
      <c r="F400">
        <f t="shared" si="62"/>
        <v>354</v>
      </c>
      <c r="G400">
        <f t="shared" si="63"/>
        <v>56</v>
      </c>
      <c r="H400">
        <v>2019</v>
      </c>
      <c r="I400">
        <v>2</v>
      </c>
      <c r="J400">
        <v>8</v>
      </c>
      <c r="K400" t="s">
        <v>30</v>
      </c>
      <c r="L400">
        <v>124.36</v>
      </c>
      <c r="M400" t="s">
        <v>38</v>
      </c>
      <c r="N400">
        <v>123.32</v>
      </c>
      <c r="O400" t="s">
        <v>20</v>
      </c>
      <c r="P400">
        <f t="shared" si="64"/>
        <v>247.68</v>
      </c>
      <c r="Q400">
        <f t="shared" si="65"/>
        <v>1.0400000000000063</v>
      </c>
      <c r="R400" t="str">
        <f t="shared" si="66"/>
        <v>Dave/Nolan</v>
      </c>
      <c r="S400" t="str">
        <f t="shared" si="67"/>
        <v>David/Marshall</v>
      </c>
      <c r="T400">
        <f t="shared" si="68"/>
        <v>124.36</v>
      </c>
      <c r="U400">
        <f t="shared" si="69"/>
        <v>123.32</v>
      </c>
    </row>
    <row r="401" spans="1:21" x14ac:dyDescent="0.3">
      <c r="A401">
        <v>400</v>
      </c>
      <c r="B401" t="str">
        <f>H401&amp;R401&amp;I401</f>
        <v>2019Trent/Colin2</v>
      </c>
      <c r="C401" t="str">
        <f>H401&amp;S401&amp;I401</f>
        <v>2019Brian/Travis2</v>
      </c>
      <c r="D401">
        <f t="shared" si="60"/>
        <v>703</v>
      </c>
      <c r="E401">
        <f t="shared" si="61"/>
        <v>496</v>
      </c>
      <c r="F401">
        <f t="shared" si="62"/>
        <v>611</v>
      </c>
      <c r="G401">
        <f t="shared" si="63"/>
        <v>329</v>
      </c>
      <c r="H401">
        <v>2019</v>
      </c>
      <c r="I401">
        <v>2</v>
      </c>
      <c r="J401">
        <v>9</v>
      </c>
      <c r="K401" t="s">
        <v>32</v>
      </c>
      <c r="L401">
        <v>99.86</v>
      </c>
      <c r="M401" t="s">
        <v>33</v>
      </c>
      <c r="N401">
        <v>107.7</v>
      </c>
      <c r="O401" t="s">
        <v>20</v>
      </c>
      <c r="P401">
        <f t="shared" si="64"/>
        <v>207.56</v>
      </c>
      <c r="Q401">
        <f t="shared" si="65"/>
        <v>7.8400000000000034</v>
      </c>
      <c r="R401" t="str">
        <f t="shared" si="66"/>
        <v>Trent/Colin</v>
      </c>
      <c r="S401" t="str">
        <f t="shared" si="67"/>
        <v>Brian/Travis</v>
      </c>
      <c r="T401">
        <f t="shared" si="68"/>
        <v>107.7</v>
      </c>
      <c r="U401">
        <f t="shared" si="69"/>
        <v>99.86</v>
      </c>
    </row>
    <row r="402" spans="1:21" x14ac:dyDescent="0.3">
      <c r="A402">
        <v>401</v>
      </c>
      <c r="B402" t="str">
        <f>H402&amp;R402&amp;I402</f>
        <v>2019Graham/Michael3</v>
      </c>
      <c r="C402" t="str">
        <f>H402&amp;S402&amp;I402</f>
        <v>2019Walker/Cory3</v>
      </c>
      <c r="D402">
        <f t="shared" si="60"/>
        <v>692</v>
      </c>
      <c r="E402">
        <f t="shared" si="61"/>
        <v>10</v>
      </c>
      <c r="F402">
        <f t="shared" si="62"/>
        <v>68</v>
      </c>
      <c r="G402">
        <f t="shared" si="63"/>
        <v>6</v>
      </c>
      <c r="H402">
        <v>2019</v>
      </c>
      <c r="I402">
        <v>3</v>
      </c>
      <c r="J402">
        <v>10</v>
      </c>
      <c r="K402" t="s">
        <v>36</v>
      </c>
      <c r="L402">
        <v>142.26</v>
      </c>
      <c r="M402" t="s">
        <v>29</v>
      </c>
      <c r="N402">
        <v>150.47999999999999</v>
      </c>
      <c r="O402" t="s">
        <v>20</v>
      </c>
      <c r="P402">
        <f t="shared" si="64"/>
        <v>292.74</v>
      </c>
      <c r="Q402">
        <f t="shared" si="65"/>
        <v>8.2199999999999989</v>
      </c>
      <c r="R402" t="str">
        <f t="shared" si="66"/>
        <v>Graham/Michael</v>
      </c>
      <c r="S402" t="str">
        <f t="shared" si="67"/>
        <v>Walker/Cory</v>
      </c>
      <c r="T402">
        <f t="shared" si="68"/>
        <v>150.47999999999999</v>
      </c>
      <c r="U402">
        <f t="shared" si="69"/>
        <v>142.26</v>
      </c>
    </row>
    <row r="403" spans="1:21" x14ac:dyDescent="0.3">
      <c r="A403">
        <v>402</v>
      </c>
      <c r="B403" t="str">
        <f>H403&amp;R403&amp;I403</f>
        <v>2019Dave/Nolan3</v>
      </c>
      <c r="C403" t="str">
        <f>H403&amp;S403&amp;I403</f>
        <v>2019Eric/Blake3</v>
      </c>
      <c r="D403">
        <f t="shared" si="60"/>
        <v>251</v>
      </c>
      <c r="E403">
        <f t="shared" si="61"/>
        <v>216</v>
      </c>
      <c r="F403">
        <f t="shared" si="62"/>
        <v>180</v>
      </c>
      <c r="G403">
        <f t="shared" si="63"/>
        <v>291</v>
      </c>
      <c r="H403">
        <v>2019</v>
      </c>
      <c r="I403">
        <v>3</v>
      </c>
      <c r="J403">
        <v>11</v>
      </c>
      <c r="K403" t="s">
        <v>34</v>
      </c>
      <c r="L403">
        <v>101.9</v>
      </c>
      <c r="M403" t="s">
        <v>30</v>
      </c>
      <c r="N403">
        <v>136.04</v>
      </c>
      <c r="O403" t="s">
        <v>20</v>
      </c>
      <c r="P403">
        <f t="shared" si="64"/>
        <v>237.94</v>
      </c>
      <c r="Q403">
        <f t="shared" si="65"/>
        <v>34.139999999999986</v>
      </c>
      <c r="R403" t="str">
        <f t="shared" si="66"/>
        <v>Dave/Nolan</v>
      </c>
      <c r="S403" t="str">
        <f t="shared" si="67"/>
        <v>Eric/Blake</v>
      </c>
      <c r="T403">
        <f t="shared" si="68"/>
        <v>136.04</v>
      </c>
      <c r="U403">
        <f t="shared" si="69"/>
        <v>101.9</v>
      </c>
    </row>
    <row r="404" spans="1:21" x14ac:dyDescent="0.3">
      <c r="A404">
        <v>403</v>
      </c>
      <c r="B404" t="str">
        <f>H404&amp;R404&amp;I404</f>
        <v>2019Drew/Cam3</v>
      </c>
      <c r="C404" t="str">
        <f>H404&amp;S404&amp;I404</f>
        <v>2019Brian/Travis3</v>
      </c>
      <c r="D404">
        <f t="shared" si="60"/>
        <v>121</v>
      </c>
      <c r="E404">
        <f t="shared" si="61"/>
        <v>476</v>
      </c>
      <c r="F404">
        <f t="shared" si="62"/>
        <v>283</v>
      </c>
      <c r="G404">
        <f t="shared" si="63"/>
        <v>676</v>
      </c>
      <c r="H404">
        <v>2019</v>
      </c>
      <c r="I404">
        <v>3</v>
      </c>
      <c r="J404">
        <v>12</v>
      </c>
      <c r="K404" t="s">
        <v>37</v>
      </c>
      <c r="L404">
        <v>128.22</v>
      </c>
      <c r="M404" t="s">
        <v>32</v>
      </c>
      <c r="N404">
        <v>80.739999999999995</v>
      </c>
      <c r="O404" t="s">
        <v>20</v>
      </c>
      <c r="P404">
        <f t="shared" si="64"/>
        <v>208.95999999999998</v>
      </c>
      <c r="Q404">
        <f t="shared" si="65"/>
        <v>47.480000000000004</v>
      </c>
      <c r="R404" t="str">
        <f t="shared" si="66"/>
        <v>Drew/Cam</v>
      </c>
      <c r="S404" t="str">
        <f t="shared" si="67"/>
        <v>Brian/Travis</v>
      </c>
      <c r="T404">
        <f t="shared" si="68"/>
        <v>128.22</v>
      </c>
      <c r="U404">
        <f t="shared" si="69"/>
        <v>80.739999999999995</v>
      </c>
    </row>
    <row r="405" spans="1:21" x14ac:dyDescent="0.3">
      <c r="A405">
        <v>404</v>
      </c>
      <c r="B405" t="str">
        <f>H405&amp;R405&amp;I405</f>
        <v>2019David/Marshall3</v>
      </c>
      <c r="C405" t="str">
        <f>H405&amp;S405&amp;I405</f>
        <v>2019Clay/Ryan3</v>
      </c>
      <c r="D405">
        <f t="shared" si="60"/>
        <v>650</v>
      </c>
      <c r="E405">
        <f t="shared" si="61"/>
        <v>130</v>
      </c>
      <c r="F405">
        <f t="shared" si="62"/>
        <v>244</v>
      </c>
      <c r="G405">
        <f t="shared" si="63"/>
        <v>71</v>
      </c>
      <c r="H405">
        <v>2019</v>
      </c>
      <c r="I405">
        <v>3</v>
      </c>
      <c r="J405">
        <v>13</v>
      </c>
      <c r="K405" t="s">
        <v>35</v>
      </c>
      <c r="L405">
        <v>120.36</v>
      </c>
      <c r="M405" t="s">
        <v>38</v>
      </c>
      <c r="N405">
        <v>130.54</v>
      </c>
      <c r="O405" t="s">
        <v>20</v>
      </c>
      <c r="P405">
        <f t="shared" si="64"/>
        <v>250.89999999999998</v>
      </c>
      <c r="Q405">
        <f t="shared" si="65"/>
        <v>10.179999999999993</v>
      </c>
      <c r="R405" t="str">
        <f t="shared" si="66"/>
        <v>David/Marshall</v>
      </c>
      <c r="S405" t="str">
        <f t="shared" si="67"/>
        <v>Clay/Ryan</v>
      </c>
      <c r="T405">
        <f t="shared" si="68"/>
        <v>130.54</v>
      </c>
      <c r="U405">
        <f t="shared" si="69"/>
        <v>120.36</v>
      </c>
    </row>
    <row r="406" spans="1:21" x14ac:dyDescent="0.3">
      <c r="A406">
        <v>405</v>
      </c>
      <c r="B406" t="str">
        <f>H406&amp;R406&amp;I406</f>
        <v>2019Pat/Tucker3</v>
      </c>
      <c r="C406" t="str">
        <f>H406&amp;S406&amp;I406</f>
        <v>2019Trent/Colin3</v>
      </c>
      <c r="D406">
        <f t="shared" si="60"/>
        <v>25</v>
      </c>
      <c r="E406">
        <f t="shared" si="61"/>
        <v>179</v>
      </c>
      <c r="F406">
        <f t="shared" si="62"/>
        <v>43</v>
      </c>
      <c r="G406">
        <f t="shared" si="63"/>
        <v>572</v>
      </c>
      <c r="H406">
        <v>2019</v>
      </c>
      <c r="I406">
        <v>3</v>
      </c>
      <c r="J406">
        <v>14</v>
      </c>
      <c r="K406" t="s">
        <v>31</v>
      </c>
      <c r="L406">
        <v>156.36000000000001</v>
      </c>
      <c r="M406" t="s">
        <v>33</v>
      </c>
      <c r="N406">
        <v>87.1</v>
      </c>
      <c r="O406" t="s">
        <v>20</v>
      </c>
      <c r="P406">
        <f t="shared" si="64"/>
        <v>243.46</v>
      </c>
      <c r="Q406">
        <f t="shared" si="65"/>
        <v>69.260000000000019</v>
      </c>
      <c r="R406" t="str">
        <f t="shared" si="66"/>
        <v>Pat/Tucker</v>
      </c>
      <c r="S406" t="str">
        <f t="shared" si="67"/>
        <v>Trent/Colin</v>
      </c>
      <c r="T406">
        <f t="shared" si="68"/>
        <v>156.36000000000001</v>
      </c>
      <c r="U406">
        <f t="shared" si="69"/>
        <v>87.1</v>
      </c>
    </row>
    <row r="407" spans="1:21" x14ac:dyDescent="0.3">
      <c r="A407">
        <v>406</v>
      </c>
      <c r="B407" t="str">
        <f>H407&amp;R407&amp;I407</f>
        <v>2019Dave/Nolan4</v>
      </c>
      <c r="C407" t="str">
        <f>H407&amp;S407&amp;I407</f>
        <v>2019Brian/Travis4</v>
      </c>
      <c r="D407">
        <f t="shared" si="60"/>
        <v>493</v>
      </c>
      <c r="E407">
        <f t="shared" si="61"/>
        <v>252</v>
      </c>
      <c r="F407">
        <f t="shared" si="62"/>
        <v>318</v>
      </c>
      <c r="G407">
        <f t="shared" si="63"/>
        <v>207</v>
      </c>
      <c r="H407">
        <v>2019</v>
      </c>
      <c r="I407">
        <v>4</v>
      </c>
      <c r="J407">
        <v>15</v>
      </c>
      <c r="K407" t="s">
        <v>30</v>
      </c>
      <c r="L407">
        <v>126.22</v>
      </c>
      <c r="M407" t="s">
        <v>32</v>
      </c>
      <c r="N407">
        <v>108</v>
      </c>
      <c r="O407" t="s">
        <v>20</v>
      </c>
      <c r="P407">
        <f t="shared" si="64"/>
        <v>234.22</v>
      </c>
      <c r="Q407">
        <f t="shared" si="65"/>
        <v>18.22</v>
      </c>
      <c r="R407" t="str">
        <f t="shared" si="66"/>
        <v>Dave/Nolan</v>
      </c>
      <c r="S407" t="str">
        <f t="shared" si="67"/>
        <v>Brian/Travis</v>
      </c>
      <c r="T407">
        <f t="shared" si="68"/>
        <v>126.22</v>
      </c>
      <c r="U407">
        <f t="shared" si="69"/>
        <v>108</v>
      </c>
    </row>
    <row r="408" spans="1:21" x14ac:dyDescent="0.3">
      <c r="A408">
        <v>407</v>
      </c>
      <c r="B408" t="str">
        <f>H408&amp;R408&amp;I408</f>
        <v>2019David/Marshall4</v>
      </c>
      <c r="C408" t="str">
        <f>H408&amp;S408&amp;I408</f>
        <v>2019Walker/Cory4</v>
      </c>
      <c r="D408">
        <f t="shared" si="60"/>
        <v>598</v>
      </c>
      <c r="E408">
        <f t="shared" si="61"/>
        <v>661</v>
      </c>
      <c r="F408">
        <f t="shared" si="62"/>
        <v>702</v>
      </c>
      <c r="G408">
        <f t="shared" si="63"/>
        <v>538</v>
      </c>
      <c r="H408">
        <v>2019</v>
      </c>
      <c r="I408">
        <v>4</v>
      </c>
      <c r="J408">
        <v>16</v>
      </c>
      <c r="K408" t="s">
        <v>38</v>
      </c>
      <c r="L408">
        <v>100.4</v>
      </c>
      <c r="M408" t="s">
        <v>36</v>
      </c>
      <c r="N408">
        <v>88.28</v>
      </c>
      <c r="O408" t="s">
        <v>20</v>
      </c>
      <c r="P408">
        <f t="shared" si="64"/>
        <v>188.68</v>
      </c>
      <c r="Q408">
        <f t="shared" si="65"/>
        <v>12.120000000000005</v>
      </c>
      <c r="R408" t="str">
        <f t="shared" si="66"/>
        <v>David/Marshall</v>
      </c>
      <c r="S408" t="str">
        <f t="shared" si="67"/>
        <v>Walker/Cory</v>
      </c>
      <c r="T408">
        <f t="shared" si="68"/>
        <v>100.4</v>
      </c>
      <c r="U408">
        <f t="shared" si="69"/>
        <v>88.28</v>
      </c>
    </row>
    <row r="409" spans="1:21" x14ac:dyDescent="0.3">
      <c r="A409">
        <v>408</v>
      </c>
      <c r="B409" t="str">
        <f>H409&amp;R409&amp;I409</f>
        <v>2019Trent/Colin4</v>
      </c>
      <c r="C409" t="str">
        <f>H409&amp;S409&amp;I409</f>
        <v>2019Graham/Michael4</v>
      </c>
      <c r="D409">
        <f t="shared" si="60"/>
        <v>548</v>
      </c>
      <c r="E409">
        <f t="shared" si="61"/>
        <v>138</v>
      </c>
      <c r="F409">
        <f t="shared" si="62"/>
        <v>230</v>
      </c>
      <c r="G409">
        <f t="shared" si="63"/>
        <v>102</v>
      </c>
      <c r="H409">
        <v>2019</v>
      </c>
      <c r="I409">
        <v>4</v>
      </c>
      <c r="J409">
        <v>17</v>
      </c>
      <c r="K409" t="s">
        <v>33</v>
      </c>
      <c r="L409">
        <v>132</v>
      </c>
      <c r="M409" t="s">
        <v>29</v>
      </c>
      <c r="N409">
        <v>117.18</v>
      </c>
      <c r="O409" t="s">
        <v>20</v>
      </c>
      <c r="P409">
        <f t="shared" si="64"/>
        <v>249.18</v>
      </c>
      <c r="Q409">
        <f t="shared" si="65"/>
        <v>14.819999999999993</v>
      </c>
      <c r="R409" t="str">
        <f t="shared" si="66"/>
        <v>Trent/Colin</v>
      </c>
      <c r="S409" t="str">
        <f t="shared" si="67"/>
        <v>Graham/Michael</v>
      </c>
      <c r="T409">
        <f t="shared" si="68"/>
        <v>132</v>
      </c>
      <c r="U409">
        <f t="shared" si="69"/>
        <v>117.18</v>
      </c>
    </row>
    <row r="410" spans="1:21" x14ac:dyDescent="0.3">
      <c r="A410">
        <v>409</v>
      </c>
      <c r="B410" t="str">
        <f>H410&amp;R410&amp;I410</f>
        <v>2019Clay/Ryan4</v>
      </c>
      <c r="C410" t="str">
        <f>H410&amp;S410&amp;I410</f>
        <v>2019Eric/Blake4</v>
      </c>
      <c r="D410">
        <f t="shared" si="60"/>
        <v>93</v>
      </c>
      <c r="E410">
        <f t="shared" si="61"/>
        <v>703</v>
      </c>
      <c r="F410">
        <f t="shared" si="62"/>
        <v>465</v>
      </c>
      <c r="G410">
        <f t="shared" si="63"/>
        <v>815</v>
      </c>
      <c r="H410">
        <v>2019</v>
      </c>
      <c r="I410">
        <v>4</v>
      </c>
      <c r="J410">
        <v>18</v>
      </c>
      <c r="K410" t="s">
        <v>35</v>
      </c>
      <c r="L410">
        <v>117.6</v>
      </c>
      <c r="M410" t="s">
        <v>34</v>
      </c>
      <c r="N410">
        <v>66.540000000000006</v>
      </c>
      <c r="O410" t="s">
        <v>20</v>
      </c>
      <c r="P410">
        <f t="shared" si="64"/>
        <v>184.14</v>
      </c>
      <c r="Q410">
        <f t="shared" si="65"/>
        <v>51.059999999999988</v>
      </c>
      <c r="R410" t="str">
        <f t="shared" si="66"/>
        <v>Clay/Ryan</v>
      </c>
      <c r="S410" t="str">
        <f t="shared" si="67"/>
        <v>Eric/Blake</v>
      </c>
      <c r="T410">
        <f t="shared" si="68"/>
        <v>117.6</v>
      </c>
      <c r="U410">
        <f t="shared" si="69"/>
        <v>66.540000000000006</v>
      </c>
    </row>
    <row r="411" spans="1:21" x14ac:dyDescent="0.3">
      <c r="A411">
        <v>410</v>
      </c>
      <c r="B411" t="str">
        <f>H411&amp;R411&amp;I411</f>
        <v>2019Drew/Cam4</v>
      </c>
      <c r="C411" t="str">
        <f>H411&amp;S411&amp;I411</f>
        <v>2019Pat/Tucker4</v>
      </c>
      <c r="D411">
        <f t="shared" si="60"/>
        <v>685</v>
      </c>
      <c r="E411">
        <f t="shared" si="61"/>
        <v>420</v>
      </c>
      <c r="F411">
        <f t="shared" si="62"/>
        <v>561</v>
      </c>
      <c r="G411">
        <f t="shared" si="63"/>
        <v>272</v>
      </c>
      <c r="H411">
        <v>2019</v>
      </c>
      <c r="I411">
        <v>4</v>
      </c>
      <c r="J411">
        <v>19</v>
      </c>
      <c r="K411" t="s">
        <v>31</v>
      </c>
      <c r="L411">
        <v>103.1</v>
      </c>
      <c r="M411" t="s">
        <v>37</v>
      </c>
      <c r="N411">
        <v>111.68</v>
      </c>
      <c r="O411" t="s">
        <v>20</v>
      </c>
      <c r="P411">
        <f t="shared" si="64"/>
        <v>214.78</v>
      </c>
      <c r="Q411">
        <f t="shared" si="65"/>
        <v>8.5800000000000125</v>
      </c>
      <c r="R411" t="str">
        <f t="shared" si="66"/>
        <v>Drew/Cam</v>
      </c>
      <c r="S411" t="str">
        <f t="shared" si="67"/>
        <v>Pat/Tucker</v>
      </c>
      <c r="T411">
        <f t="shared" si="68"/>
        <v>111.68</v>
      </c>
      <c r="U411">
        <f t="shared" si="69"/>
        <v>103.1</v>
      </c>
    </row>
    <row r="412" spans="1:21" x14ac:dyDescent="0.3">
      <c r="A412">
        <v>411</v>
      </c>
      <c r="B412" t="str">
        <f>H412&amp;R412&amp;I412</f>
        <v>2019David/Marshall5</v>
      </c>
      <c r="C412" t="str">
        <f>H412&amp;S412&amp;I412</f>
        <v>2019Trent/Colin5</v>
      </c>
      <c r="D412">
        <f t="shared" si="60"/>
        <v>810</v>
      </c>
      <c r="E412">
        <f t="shared" si="61"/>
        <v>222</v>
      </c>
      <c r="F412">
        <f t="shared" si="62"/>
        <v>424</v>
      </c>
      <c r="G412">
        <f t="shared" si="63"/>
        <v>101</v>
      </c>
      <c r="H412">
        <v>2019</v>
      </c>
      <c r="I412">
        <v>5</v>
      </c>
      <c r="J412">
        <v>20</v>
      </c>
      <c r="K412" t="s">
        <v>38</v>
      </c>
      <c r="L412">
        <v>120.42</v>
      </c>
      <c r="M412" t="s">
        <v>33</v>
      </c>
      <c r="N412">
        <v>117.24</v>
      </c>
      <c r="O412" t="s">
        <v>20</v>
      </c>
      <c r="P412">
        <f t="shared" si="64"/>
        <v>237.66</v>
      </c>
      <c r="Q412">
        <f t="shared" si="65"/>
        <v>3.1800000000000068</v>
      </c>
      <c r="R412" t="str">
        <f t="shared" si="66"/>
        <v>David/Marshall</v>
      </c>
      <c r="S412" t="str">
        <f t="shared" si="67"/>
        <v>Trent/Colin</v>
      </c>
      <c r="T412">
        <f t="shared" si="68"/>
        <v>120.42</v>
      </c>
      <c r="U412">
        <f t="shared" si="69"/>
        <v>117.24</v>
      </c>
    </row>
    <row r="413" spans="1:21" x14ac:dyDescent="0.3">
      <c r="A413">
        <v>412</v>
      </c>
      <c r="B413" t="str">
        <f>H413&amp;R413&amp;I413</f>
        <v>2019Clay/Ryan5</v>
      </c>
      <c r="C413" t="str">
        <f>H413&amp;S413&amp;I413</f>
        <v>2019Dave/Nolan5</v>
      </c>
      <c r="D413">
        <f t="shared" si="60"/>
        <v>380</v>
      </c>
      <c r="E413">
        <f t="shared" si="61"/>
        <v>2</v>
      </c>
      <c r="F413">
        <f t="shared" si="62"/>
        <v>6</v>
      </c>
      <c r="G413">
        <f t="shared" si="63"/>
        <v>3</v>
      </c>
      <c r="H413">
        <v>2019</v>
      </c>
      <c r="I413">
        <v>5</v>
      </c>
      <c r="J413">
        <v>21</v>
      </c>
      <c r="K413" t="s">
        <v>30</v>
      </c>
      <c r="L413">
        <v>152.41999999999999</v>
      </c>
      <c r="M413" t="s">
        <v>35</v>
      </c>
      <c r="N413">
        <v>176.56</v>
      </c>
      <c r="O413" t="s">
        <v>20</v>
      </c>
      <c r="P413">
        <f t="shared" si="64"/>
        <v>328.98</v>
      </c>
      <c r="Q413">
        <f t="shared" si="65"/>
        <v>24.140000000000015</v>
      </c>
      <c r="R413" t="str">
        <f t="shared" si="66"/>
        <v>Clay/Ryan</v>
      </c>
      <c r="S413" t="str">
        <f t="shared" si="67"/>
        <v>Dave/Nolan</v>
      </c>
      <c r="T413">
        <f t="shared" si="68"/>
        <v>176.56</v>
      </c>
      <c r="U413">
        <f t="shared" si="69"/>
        <v>152.41999999999999</v>
      </c>
    </row>
    <row r="414" spans="1:21" x14ac:dyDescent="0.3">
      <c r="A414">
        <v>413</v>
      </c>
      <c r="B414" t="str">
        <f>H414&amp;R414&amp;I414</f>
        <v>2019Brian/Travis5</v>
      </c>
      <c r="C414" t="str">
        <f>H414&amp;S414&amp;I414</f>
        <v>2019Pat/Tucker5</v>
      </c>
      <c r="D414">
        <f t="shared" si="60"/>
        <v>364</v>
      </c>
      <c r="E414">
        <f t="shared" si="61"/>
        <v>516</v>
      </c>
      <c r="F414">
        <f t="shared" si="62"/>
        <v>505</v>
      </c>
      <c r="G414">
        <f t="shared" si="63"/>
        <v>509</v>
      </c>
      <c r="H414">
        <v>2019</v>
      </c>
      <c r="I414">
        <v>5</v>
      </c>
      <c r="J414">
        <v>22</v>
      </c>
      <c r="K414" t="s">
        <v>32</v>
      </c>
      <c r="L414">
        <v>115.34</v>
      </c>
      <c r="M414" t="s">
        <v>31</v>
      </c>
      <c r="N414">
        <v>89.84</v>
      </c>
      <c r="O414" t="s">
        <v>20</v>
      </c>
      <c r="P414">
        <f t="shared" si="64"/>
        <v>205.18</v>
      </c>
      <c r="Q414">
        <f t="shared" si="65"/>
        <v>25.5</v>
      </c>
      <c r="R414" t="str">
        <f t="shared" si="66"/>
        <v>Brian/Travis</v>
      </c>
      <c r="S414" t="str">
        <f t="shared" si="67"/>
        <v>Pat/Tucker</v>
      </c>
      <c r="T414">
        <f t="shared" si="68"/>
        <v>115.34</v>
      </c>
      <c r="U414">
        <f t="shared" si="69"/>
        <v>89.84</v>
      </c>
    </row>
    <row r="415" spans="1:21" x14ac:dyDescent="0.3">
      <c r="A415">
        <v>414</v>
      </c>
      <c r="B415" t="str">
        <f>H415&amp;R415&amp;I415</f>
        <v>2019Eric/Blake5</v>
      </c>
      <c r="C415" t="str">
        <f>H415&amp;S415&amp;I415</f>
        <v>2019Walker/Cory5</v>
      </c>
      <c r="D415">
        <f t="shared" si="60"/>
        <v>631</v>
      </c>
      <c r="E415">
        <f t="shared" si="61"/>
        <v>533</v>
      </c>
      <c r="F415">
        <f t="shared" si="62"/>
        <v>621</v>
      </c>
      <c r="G415">
        <f t="shared" si="63"/>
        <v>398</v>
      </c>
      <c r="H415">
        <v>2019</v>
      </c>
      <c r="I415">
        <v>5</v>
      </c>
      <c r="J415">
        <v>23</v>
      </c>
      <c r="K415" t="s">
        <v>36</v>
      </c>
      <c r="L415">
        <v>96.3</v>
      </c>
      <c r="M415" t="s">
        <v>34</v>
      </c>
      <c r="N415">
        <v>107.22</v>
      </c>
      <c r="O415" t="s">
        <v>20</v>
      </c>
      <c r="P415">
        <f t="shared" si="64"/>
        <v>203.51999999999998</v>
      </c>
      <c r="Q415">
        <f t="shared" si="65"/>
        <v>10.920000000000002</v>
      </c>
      <c r="R415" t="str">
        <f t="shared" si="66"/>
        <v>Eric/Blake</v>
      </c>
      <c r="S415" t="str">
        <f t="shared" si="67"/>
        <v>Walker/Cory</v>
      </c>
      <c r="T415">
        <f t="shared" si="68"/>
        <v>107.22</v>
      </c>
      <c r="U415">
        <f t="shared" si="69"/>
        <v>96.3</v>
      </c>
    </row>
    <row r="416" spans="1:21" x14ac:dyDescent="0.3">
      <c r="A416">
        <v>415</v>
      </c>
      <c r="B416" t="str">
        <f>H416&amp;R416&amp;I416</f>
        <v>2019Drew/Cam5</v>
      </c>
      <c r="C416" t="str">
        <f>H416&amp;S416&amp;I416</f>
        <v>2019Graham/Michael5</v>
      </c>
      <c r="D416">
        <f t="shared" si="60"/>
        <v>112</v>
      </c>
      <c r="E416">
        <f t="shared" si="61"/>
        <v>81</v>
      </c>
      <c r="F416">
        <f t="shared" si="62"/>
        <v>49</v>
      </c>
      <c r="G416">
        <f t="shared" si="63"/>
        <v>231</v>
      </c>
      <c r="H416">
        <v>2019</v>
      </c>
      <c r="I416">
        <v>5</v>
      </c>
      <c r="J416">
        <v>24</v>
      </c>
      <c r="K416" t="s">
        <v>29</v>
      </c>
      <c r="L416">
        <v>105.76</v>
      </c>
      <c r="M416" t="s">
        <v>37</v>
      </c>
      <c r="N416">
        <v>154.1</v>
      </c>
      <c r="O416" t="s">
        <v>20</v>
      </c>
      <c r="P416">
        <f t="shared" si="64"/>
        <v>259.86</v>
      </c>
      <c r="Q416">
        <f t="shared" si="65"/>
        <v>48.339999999999989</v>
      </c>
      <c r="R416" t="str">
        <f t="shared" si="66"/>
        <v>Drew/Cam</v>
      </c>
      <c r="S416" t="str">
        <f t="shared" si="67"/>
        <v>Graham/Michael</v>
      </c>
      <c r="T416">
        <f t="shared" si="68"/>
        <v>154.1</v>
      </c>
      <c r="U416">
        <f t="shared" si="69"/>
        <v>105.76</v>
      </c>
    </row>
    <row r="417" spans="1:21" x14ac:dyDescent="0.3">
      <c r="A417">
        <v>416</v>
      </c>
      <c r="B417" t="str">
        <f>H417&amp;R417&amp;I417</f>
        <v>2019Pat/Tucker6</v>
      </c>
      <c r="C417" t="str">
        <f>H417&amp;S417&amp;I417</f>
        <v>2019Eric/Blake6</v>
      </c>
      <c r="D417">
        <f t="shared" si="60"/>
        <v>808</v>
      </c>
      <c r="E417">
        <f t="shared" si="61"/>
        <v>622</v>
      </c>
      <c r="F417">
        <f t="shared" si="62"/>
        <v>734</v>
      </c>
      <c r="G417">
        <f t="shared" si="63"/>
        <v>415</v>
      </c>
      <c r="H417">
        <v>2019</v>
      </c>
      <c r="I417">
        <v>6</v>
      </c>
      <c r="J417">
        <v>25</v>
      </c>
      <c r="K417" t="s">
        <v>31</v>
      </c>
      <c r="L417">
        <v>98.46</v>
      </c>
      <c r="M417" t="s">
        <v>34</v>
      </c>
      <c r="N417">
        <v>95.1</v>
      </c>
      <c r="O417" t="s">
        <v>20</v>
      </c>
      <c r="P417">
        <f t="shared" si="64"/>
        <v>193.56</v>
      </c>
      <c r="Q417">
        <f t="shared" si="65"/>
        <v>3.3599999999999994</v>
      </c>
      <c r="R417" t="str">
        <f t="shared" si="66"/>
        <v>Pat/Tucker</v>
      </c>
      <c r="S417" t="str">
        <f t="shared" si="67"/>
        <v>Eric/Blake</v>
      </c>
      <c r="T417">
        <f t="shared" si="68"/>
        <v>98.46</v>
      </c>
      <c r="U417">
        <f t="shared" si="69"/>
        <v>95.1</v>
      </c>
    </row>
    <row r="418" spans="1:21" x14ac:dyDescent="0.3">
      <c r="A418">
        <v>417</v>
      </c>
      <c r="B418" t="str">
        <f>H418&amp;R418&amp;I418</f>
        <v>2019Walker/Cory6</v>
      </c>
      <c r="C418" t="str">
        <f>H418&amp;S418&amp;I418</f>
        <v>2019Drew/Cam6</v>
      </c>
      <c r="D418">
        <f t="shared" si="60"/>
        <v>114</v>
      </c>
      <c r="E418">
        <f t="shared" si="61"/>
        <v>371</v>
      </c>
      <c r="F418">
        <f t="shared" si="62"/>
        <v>192</v>
      </c>
      <c r="G418">
        <f t="shared" si="63"/>
        <v>585</v>
      </c>
      <c r="H418">
        <v>2019</v>
      </c>
      <c r="I418">
        <v>6</v>
      </c>
      <c r="J418">
        <v>26</v>
      </c>
      <c r="K418" t="s">
        <v>37</v>
      </c>
      <c r="L418">
        <v>86.62</v>
      </c>
      <c r="M418" t="s">
        <v>36</v>
      </c>
      <c r="N418">
        <v>134.74</v>
      </c>
      <c r="O418" t="s">
        <v>20</v>
      </c>
      <c r="P418">
        <f t="shared" si="64"/>
        <v>221.36</v>
      </c>
      <c r="Q418">
        <f t="shared" si="65"/>
        <v>48.120000000000005</v>
      </c>
      <c r="R418" t="str">
        <f t="shared" si="66"/>
        <v>Walker/Cory</v>
      </c>
      <c r="S418" t="str">
        <f t="shared" si="67"/>
        <v>Drew/Cam</v>
      </c>
      <c r="T418">
        <f t="shared" si="68"/>
        <v>134.74</v>
      </c>
      <c r="U418">
        <f t="shared" si="69"/>
        <v>86.62</v>
      </c>
    </row>
    <row r="419" spans="1:21" x14ac:dyDescent="0.3">
      <c r="A419">
        <v>418</v>
      </c>
      <c r="B419" t="str">
        <f>H419&amp;R419&amp;I419</f>
        <v>2019Graham/Michael6</v>
      </c>
      <c r="C419" t="str">
        <f>H419&amp;S419&amp;I419</f>
        <v>2019Dave/Nolan6</v>
      </c>
      <c r="D419">
        <f t="shared" si="60"/>
        <v>734</v>
      </c>
      <c r="E419">
        <f t="shared" si="61"/>
        <v>506</v>
      </c>
      <c r="F419">
        <f t="shared" si="62"/>
        <v>633</v>
      </c>
      <c r="G419">
        <f t="shared" si="63"/>
        <v>330</v>
      </c>
      <c r="H419">
        <v>2019</v>
      </c>
      <c r="I419">
        <v>6</v>
      </c>
      <c r="J419">
        <v>27</v>
      </c>
      <c r="K419" t="s">
        <v>29</v>
      </c>
      <c r="L419">
        <v>106.44</v>
      </c>
      <c r="M419" t="s">
        <v>30</v>
      </c>
      <c r="N419">
        <v>99.82</v>
      </c>
      <c r="O419" t="s">
        <v>20</v>
      </c>
      <c r="P419">
        <f t="shared" si="64"/>
        <v>206.26</v>
      </c>
      <c r="Q419">
        <f t="shared" si="65"/>
        <v>6.6200000000000045</v>
      </c>
      <c r="R419" t="str">
        <f t="shared" si="66"/>
        <v>Graham/Michael</v>
      </c>
      <c r="S419" t="str">
        <f t="shared" si="67"/>
        <v>Dave/Nolan</v>
      </c>
      <c r="T419">
        <f t="shared" si="68"/>
        <v>106.44</v>
      </c>
      <c r="U419">
        <f t="shared" si="69"/>
        <v>99.82</v>
      </c>
    </row>
    <row r="420" spans="1:21" x14ac:dyDescent="0.3">
      <c r="A420">
        <v>419</v>
      </c>
      <c r="B420" t="str">
        <f>H420&amp;R420&amp;I420</f>
        <v>2019David/Marshall6</v>
      </c>
      <c r="C420" t="str">
        <f>H420&amp;S420&amp;I420</f>
        <v>2019Brian/Travis6</v>
      </c>
      <c r="D420">
        <f t="shared" si="60"/>
        <v>812</v>
      </c>
      <c r="E420">
        <f t="shared" si="61"/>
        <v>13</v>
      </c>
      <c r="F420">
        <f t="shared" si="62"/>
        <v>103</v>
      </c>
      <c r="G420">
        <f t="shared" si="63"/>
        <v>5</v>
      </c>
      <c r="H420">
        <v>2019</v>
      </c>
      <c r="I420">
        <v>6</v>
      </c>
      <c r="J420">
        <v>28</v>
      </c>
      <c r="K420" t="s">
        <v>32</v>
      </c>
      <c r="L420">
        <v>142.4</v>
      </c>
      <c r="M420" t="s">
        <v>38</v>
      </c>
      <c r="N420">
        <v>145.5</v>
      </c>
      <c r="O420" t="s">
        <v>20</v>
      </c>
      <c r="P420">
        <f t="shared" si="64"/>
        <v>287.89999999999998</v>
      </c>
      <c r="Q420">
        <f t="shared" si="65"/>
        <v>3.0999999999999943</v>
      </c>
      <c r="R420" t="str">
        <f t="shared" si="66"/>
        <v>David/Marshall</v>
      </c>
      <c r="S420" t="str">
        <f t="shared" si="67"/>
        <v>Brian/Travis</v>
      </c>
      <c r="T420">
        <f t="shared" si="68"/>
        <v>145.5</v>
      </c>
      <c r="U420">
        <f t="shared" si="69"/>
        <v>142.4</v>
      </c>
    </row>
    <row r="421" spans="1:21" x14ac:dyDescent="0.3">
      <c r="A421">
        <v>420</v>
      </c>
      <c r="B421" t="str">
        <f>H421&amp;R421&amp;I421</f>
        <v>2019Trent/Colin6</v>
      </c>
      <c r="C421" t="str">
        <f>H421&amp;S421&amp;I421</f>
        <v>2019Clay/Ryan6</v>
      </c>
      <c r="D421">
        <f t="shared" si="60"/>
        <v>617</v>
      </c>
      <c r="E421">
        <f t="shared" si="61"/>
        <v>203</v>
      </c>
      <c r="F421">
        <f t="shared" si="62"/>
        <v>322</v>
      </c>
      <c r="G421">
        <f t="shared" si="63"/>
        <v>134</v>
      </c>
      <c r="H421">
        <v>2019</v>
      </c>
      <c r="I421">
        <v>6</v>
      </c>
      <c r="J421">
        <v>29</v>
      </c>
      <c r="K421" t="s">
        <v>33</v>
      </c>
      <c r="L421">
        <v>125.9</v>
      </c>
      <c r="M421" t="s">
        <v>35</v>
      </c>
      <c r="N421">
        <v>114.34</v>
      </c>
      <c r="O421" t="s">
        <v>20</v>
      </c>
      <c r="P421">
        <f t="shared" si="64"/>
        <v>240.24</v>
      </c>
      <c r="Q421">
        <f t="shared" si="65"/>
        <v>11.560000000000002</v>
      </c>
      <c r="R421" t="str">
        <f t="shared" si="66"/>
        <v>Trent/Colin</v>
      </c>
      <c r="S421" t="str">
        <f t="shared" si="67"/>
        <v>Clay/Ryan</v>
      </c>
      <c r="T421">
        <f t="shared" si="68"/>
        <v>125.9</v>
      </c>
      <c r="U421">
        <f t="shared" si="69"/>
        <v>114.34</v>
      </c>
    </row>
    <row r="422" spans="1:21" x14ac:dyDescent="0.3">
      <c r="A422">
        <v>421</v>
      </c>
      <c r="B422" t="str">
        <f>H422&amp;R422&amp;I422</f>
        <v>2019Pat/Tucker7</v>
      </c>
      <c r="C422" t="str">
        <f>H422&amp;S422&amp;I422</f>
        <v>2019Walker/Cory7</v>
      </c>
      <c r="D422">
        <f t="shared" si="60"/>
        <v>298</v>
      </c>
      <c r="E422">
        <f t="shared" si="61"/>
        <v>357</v>
      </c>
      <c r="F422">
        <f t="shared" si="62"/>
        <v>310</v>
      </c>
      <c r="G422">
        <f t="shared" si="63"/>
        <v>400</v>
      </c>
      <c r="H422">
        <v>2019</v>
      </c>
      <c r="I422">
        <v>7</v>
      </c>
      <c r="J422">
        <v>30</v>
      </c>
      <c r="K422" t="s">
        <v>36</v>
      </c>
      <c r="L422">
        <v>96.26</v>
      </c>
      <c r="M422" t="s">
        <v>31</v>
      </c>
      <c r="N422">
        <v>126.54</v>
      </c>
      <c r="O422" t="s">
        <v>20</v>
      </c>
      <c r="P422">
        <f t="shared" si="64"/>
        <v>222.8</v>
      </c>
      <c r="Q422">
        <f t="shared" si="65"/>
        <v>30.28</v>
      </c>
      <c r="R422" t="str">
        <f t="shared" si="66"/>
        <v>Pat/Tucker</v>
      </c>
      <c r="S422" t="str">
        <f t="shared" si="67"/>
        <v>Walker/Cory</v>
      </c>
      <c r="T422">
        <f t="shared" si="68"/>
        <v>126.54</v>
      </c>
      <c r="U422">
        <f t="shared" si="69"/>
        <v>96.26</v>
      </c>
    </row>
    <row r="423" spans="1:21" x14ac:dyDescent="0.3">
      <c r="A423">
        <v>422</v>
      </c>
      <c r="B423" t="str">
        <f>H423&amp;R423&amp;I423</f>
        <v>2019Dave/Nolan7</v>
      </c>
      <c r="C423" t="str">
        <f>H423&amp;S423&amp;I423</f>
        <v>2019Drew/Cam7</v>
      </c>
      <c r="D423">
        <f t="shared" si="60"/>
        <v>170</v>
      </c>
      <c r="E423">
        <f t="shared" si="61"/>
        <v>674</v>
      </c>
      <c r="F423">
        <f t="shared" si="62"/>
        <v>514</v>
      </c>
      <c r="G423">
        <f t="shared" si="63"/>
        <v>773</v>
      </c>
      <c r="H423">
        <v>2019</v>
      </c>
      <c r="I423">
        <v>7</v>
      </c>
      <c r="J423">
        <v>31</v>
      </c>
      <c r="K423" t="s">
        <v>30</v>
      </c>
      <c r="L423">
        <v>114.76</v>
      </c>
      <c r="M423" t="s">
        <v>37</v>
      </c>
      <c r="N423">
        <v>72.62</v>
      </c>
      <c r="O423" t="s">
        <v>20</v>
      </c>
      <c r="P423">
        <f t="shared" si="64"/>
        <v>187.38</v>
      </c>
      <c r="Q423">
        <f t="shared" si="65"/>
        <v>42.14</v>
      </c>
      <c r="R423" t="str">
        <f t="shared" si="66"/>
        <v>Dave/Nolan</v>
      </c>
      <c r="S423" t="str">
        <f t="shared" si="67"/>
        <v>Drew/Cam</v>
      </c>
      <c r="T423">
        <f t="shared" si="68"/>
        <v>114.76</v>
      </c>
      <c r="U423">
        <f t="shared" si="69"/>
        <v>72.62</v>
      </c>
    </row>
    <row r="424" spans="1:21" x14ac:dyDescent="0.3">
      <c r="A424">
        <v>423</v>
      </c>
      <c r="B424" t="str">
        <f>H424&amp;R424&amp;I424</f>
        <v>2019Graham/Michael7</v>
      </c>
      <c r="C424" t="str">
        <f>H424&amp;S424&amp;I424</f>
        <v>2019David/Marshall7</v>
      </c>
      <c r="D424">
        <f t="shared" si="60"/>
        <v>230</v>
      </c>
      <c r="E424">
        <f t="shared" si="61"/>
        <v>287</v>
      </c>
      <c r="F424">
        <f t="shared" si="62"/>
        <v>218</v>
      </c>
      <c r="G424">
        <f t="shared" si="63"/>
        <v>394</v>
      </c>
      <c r="H424">
        <v>2019</v>
      </c>
      <c r="I424">
        <v>7</v>
      </c>
      <c r="J424">
        <v>32</v>
      </c>
      <c r="K424" t="s">
        <v>38</v>
      </c>
      <c r="L424">
        <v>96.44</v>
      </c>
      <c r="M424" t="s">
        <v>29</v>
      </c>
      <c r="N424">
        <v>133.02000000000001</v>
      </c>
      <c r="O424" t="s">
        <v>20</v>
      </c>
      <c r="P424">
        <f t="shared" si="64"/>
        <v>229.46</v>
      </c>
      <c r="Q424">
        <f t="shared" si="65"/>
        <v>36.580000000000013</v>
      </c>
      <c r="R424" t="str">
        <f t="shared" si="66"/>
        <v>Graham/Michael</v>
      </c>
      <c r="S424" t="str">
        <f t="shared" si="67"/>
        <v>David/Marshall</v>
      </c>
      <c r="T424">
        <f t="shared" si="68"/>
        <v>133.02000000000001</v>
      </c>
      <c r="U424">
        <f t="shared" si="69"/>
        <v>96.44</v>
      </c>
    </row>
    <row r="425" spans="1:21" x14ac:dyDescent="0.3">
      <c r="A425">
        <v>424</v>
      </c>
      <c r="B425" t="str">
        <f>H425&amp;R425&amp;I425</f>
        <v>2019Brian/Travis7</v>
      </c>
      <c r="C425" t="str">
        <f>H425&amp;S425&amp;I425</f>
        <v>2019Clay/Ryan7</v>
      </c>
      <c r="D425">
        <f t="shared" si="60"/>
        <v>616</v>
      </c>
      <c r="E425">
        <f t="shared" si="61"/>
        <v>762</v>
      </c>
      <c r="F425">
        <f t="shared" si="62"/>
        <v>790</v>
      </c>
      <c r="G425">
        <f t="shared" si="63"/>
        <v>663</v>
      </c>
      <c r="H425">
        <v>2019</v>
      </c>
      <c r="I425">
        <v>7</v>
      </c>
      <c r="J425">
        <v>33</v>
      </c>
      <c r="K425" t="s">
        <v>35</v>
      </c>
      <c r="L425">
        <v>81.64</v>
      </c>
      <c r="M425" t="s">
        <v>32</v>
      </c>
      <c r="N425">
        <v>93.42</v>
      </c>
      <c r="O425" t="s">
        <v>20</v>
      </c>
      <c r="P425">
        <f t="shared" si="64"/>
        <v>175.06</v>
      </c>
      <c r="Q425">
        <f t="shared" si="65"/>
        <v>11.780000000000001</v>
      </c>
      <c r="R425" t="str">
        <f t="shared" si="66"/>
        <v>Brian/Travis</v>
      </c>
      <c r="S425" t="str">
        <f t="shared" si="67"/>
        <v>Clay/Ryan</v>
      </c>
      <c r="T425">
        <f t="shared" si="68"/>
        <v>93.42</v>
      </c>
      <c r="U425">
        <f t="shared" si="69"/>
        <v>81.64</v>
      </c>
    </row>
    <row r="426" spans="1:21" x14ac:dyDescent="0.3">
      <c r="A426">
        <v>425</v>
      </c>
      <c r="B426" t="str">
        <f>H426&amp;R426&amp;I426</f>
        <v>2019Trent/Colin7</v>
      </c>
      <c r="C426" t="str">
        <f>H426&amp;S426&amp;I426</f>
        <v>2019Eric/Blake7</v>
      </c>
      <c r="D426">
        <f t="shared" si="60"/>
        <v>46</v>
      </c>
      <c r="E426">
        <f t="shared" si="61"/>
        <v>808</v>
      </c>
      <c r="F426">
        <f t="shared" si="62"/>
        <v>555</v>
      </c>
      <c r="G426">
        <f t="shared" si="63"/>
        <v>864</v>
      </c>
      <c r="H426">
        <v>2019</v>
      </c>
      <c r="I426">
        <v>7</v>
      </c>
      <c r="J426">
        <v>34</v>
      </c>
      <c r="K426" t="s">
        <v>34</v>
      </c>
      <c r="L426">
        <v>51.56</v>
      </c>
      <c r="M426" t="s">
        <v>33</v>
      </c>
      <c r="N426">
        <v>111.88</v>
      </c>
      <c r="O426" t="s">
        <v>20</v>
      </c>
      <c r="P426">
        <f t="shared" si="64"/>
        <v>163.44</v>
      </c>
      <c r="Q426">
        <f t="shared" si="65"/>
        <v>60.319999999999993</v>
      </c>
      <c r="R426" t="str">
        <f t="shared" si="66"/>
        <v>Trent/Colin</v>
      </c>
      <c r="S426" t="str">
        <f t="shared" si="67"/>
        <v>Eric/Blake</v>
      </c>
      <c r="T426">
        <f t="shared" si="68"/>
        <v>111.88</v>
      </c>
      <c r="U426">
        <f t="shared" si="69"/>
        <v>51.56</v>
      </c>
    </row>
    <row r="427" spans="1:21" x14ac:dyDescent="0.3">
      <c r="A427">
        <v>426</v>
      </c>
      <c r="B427" t="str">
        <f>H427&amp;R427&amp;I427</f>
        <v>2019Pat/Tucker8</v>
      </c>
      <c r="C427" t="str">
        <f>H427&amp;S427&amp;I427</f>
        <v>2019Dave/Nolan8</v>
      </c>
      <c r="D427">
        <f t="shared" si="60"/>
        <v>98</v>
      </c>
      <c r="E427">
        <f t="shared" si="61"/>
        <v>16</v>
      </c>
      <c r="F427">
        <f t="shared" si="62"/>
        <v>14</v>
      </c>
      <c r="G427">
        <f t="shared" si="63"/>
        <v>91</v>
      </c>
      <c r="H427">
        <v>2019</v>
      </c>
      <c r="I427">
        <v>8</v>
      </c>
      <c r="J427">
        <v>35</v>
      </c>
      <c r="K427" t="s">
        <v>31</v>
      </c>
      <c r="L427">
        <v>168.76</v>
      </c>
      <c r="M427" t="s">
        <v>30</v>
      </c>
      <c r="N427">
        <v>118.18</v>
      </c>
      <c r="O427" t="s">
        <v>20</v>
      </c>
      <c r="P427">
        <f t="shared" si="64"/>
        <v>286.94</v>
      </c>
      <c r="Q427">
        <f t="shared" si="65"/>
        <v>50.579999999999984</v>
      </c>
      <c r="R427" t="str">
        <f t="shared" si="66"/>
        <v>Pat/Tucker</v>
      </c>
      <c r="S427" t="str">
        <f t="shared" si="67"/>
        <v>Dave/Nolan</v>
      </c>
      <c r="T427">
        <f t="shared" si="68"/>
        <v>168.76</v>
      </c>
      <c r="U427">
        <f t="shared" si="69"/>
        <v>118.18</v>
      </c>
    </row>
    <row r="428" spans="1:21" x14ac:dyDescent="0.3">
      <c r="A428">
        <v>427</v>
      </c>
      <c r="B428" t="str">
        <f>H428&amp;R428&amp;I428</f>
        <v>2019Drew/Cam8</v>
      </c>
      <c r="C428" t="str">
        <f>H428&amp;S428&amp;I428</f>
        <v>2019David/Marshall8</v>
      </c>
      <c r="D428">
        <f t="shared" si="60"/>
        <v>589</v>
      </c>
      <c r="E428">
        <f t="shared" si="61"/>
        <v>585</v>
      </c>
      <c r="F428">
        <f t="shared" si="62"/>
        <v>641</v>
      </c>
      <c r="G428">
        <f t="shared" si="63"/>
        <v>455</v>
      </c>
      <c r="H428">
        <v>2019</v>
      </c>
      <c r="I428">
        <v>8</v>
      </c>
      <c r="J428">
        <v>36</v>
      </c>
      <c r="K428" t="s">
        <v>37</v>
      </c>
      <c r="L428">
        <v>105.52</v>
      </c>
      <c r="M428" t="s">
        <v>38</v>
      </c>
      <c r="N428">
        <v>92.68</v>
      </c>
      <c r="O428" t="s">
        <v>20</v>
      </c>
      <c r="P428">
        <f t="shared" si="64"/>
        <v>198.2</v>
      </c>
      <c r="Q428">
        <f t="shared" si="65"/>
        <v>12.839999999999989</v>
      </c>
      <c r="R428" t="str">
        <f t="shared" si="66"/>
        <v>Drew/Cam</v>
      </c>
      <c r="S428" t="str">
        <f t="shared" si="67"/>
        <v>David/Marshall</v>
      </c>
      <c r="T428">
        <f t="shared" si="68"/>
        <v>105.52</v>
      </c>
      <c r="U428">
        <f t="shared" si="69"/>
        <v>92.68</v>
      </c>
    </row>
    <row r="429" spans="1:21" x14ac:dyDescent="0.3">
      <c r="A429">
        <v>428</v>
      </c>
      <c r="B429" t="str">
        <f>H429&amp;R429&amp;I429</f>
        <v>2019Graham/Michael8</v>
      </c>
      <c r="C429" t="str">
        <f>H429&amp;S429&amp;I429</f>
        <v>2019Clay/Ryan8</v>
      </c>
      <c r="D429">
        <f t="shared" si="60"/>
        <v>358</v>
      </c>
      <c r="E429">
        <f t="shared" si="61"/>
        <v>87</v>
      </c>
      <c r="F429">
        <f t="shared" si="62"/>
        <v>120</v>
      </c>
      <c r="G429">
        <f t="shared" si="63"/>
        <v>115</v>
      </c>
      <c r="H429">
        <v>2019</v>
      </c>
      <c r="I429">
        <v>8</v>
      </c>
      <c r="J429">
        <v>37</v>
      </c>
      <c r="K429" t="s">
        <v>29</v>
      </c>
      <c r="L429">
        <v>142.13999999999999</v>
      </c>
      <c r="M429" t="s">
        <v>35</v>
      </c>
      <c r="N429">
        <v>116.1</v>
      </c>
      <c r="O429" t="s">
        <v>20</v>
      </c>
      <c r="P429">
        <f t="shared" si="64"/>
        <v>258.24</v>
      </c>
      <c r="Q429">
        <f t="shared" si="65"/>
        <v>26.039999999999992</v>
      </c>
      <c r="R429" t="str">
        <f t="shared" si="66"/>
        <v>Graham/Michael</v>
      </c>
      <c r="S429" t="str">
        <f t="shared" si="67"/>
        <v>Clay/Ryan</v>
      </c>
      <c r="T429">
        <f t="shared" si="68"/>
        <v>142.13999999999999</v>
      </c>
      <c r="U429">
        <f t="shared" si="69"/>
        <v>116.1</v>
      </c>
    </row>
    <row r="430" spans="1:21" x14ac:dyDescent="0.3">
      <c r="A430">
        <v>429</v>
      </c>
      <c r="B430" t="str">
        <f>H430&amp;R430&amp;I430</f>
        <v>2019Brian/Travis8</v>
      </c>
      <c r="C430" t="str">
        <f>H430&amp;S430&amp;I430</f>
        <v>2019Eric/Blake8</v>
      </c>
      <c r="D430">
        <f t="shared" si="60"/>
        <v>566</v>
      </c>
      <c r="E430">
        <f t="shared" si="61"/>
        <v>75</v>
      </c>
      <c r="F430">
        <f t="shared" si="62"/>
        <v>161</v>
      </c>
      <c r="G430">
        <f t="shared" si="63"/>
        <v>53</v>
      </c>
      <c r="H430">
        <v>2019</v>
      </c>
      <c r="I430">
        <v>8</v>
      </c>
      <c r="J430">
        <v>38</v>
      </c>
      <c r="K430" t="s">
        <v>32</v>
      </c>
      <c r="L430">
        <v>137.56</v>
      </c>
      <c r="M430" t="s">
        <v>34</v>
      </c>
      <c r="N430">
        <v>123.6</v>
      </c>
      <c r="O430" t="s">
        <v>20</v>
      </c>
      <c r="P430">
        <f t="shared" si="64"/>
        <v>261.15999999999997</v>
      </c>
      <c r="Q430">
        <f t="shared" si="65"/>
        <v>13.960000000000008</v>
      </c>
      <c r="R430" t="str">
        <f t="shared" si="66"/>
        <v>Brian/Travis</v>
      </c>
      <c r="S430" t="str">
        <f t="shared" si="67"/>
        <v>Eric/Blake</v>
      </c>
      <c r="T430">
        <f t="shared" si="68"/>
        <v>137.56</v>
      </c>
      <c r="U430">
        <f t="shared" si="69"/>
        <v>123.6</v>
      </c>
    </row>
    <row r="431" spans="1:21" x14ac:dyDescent="0.3">
      <c r="A431">
        <v>430</v>
      </c>
      <c r="B431" t="str">
        <f>H431&amp;R431&amp;I431</f>
        <v>2019Walker/Cory8</v>
      </c>
      <c r="C431" t="str">
        <f>H431&amp;S431&amp;I431</f>
        <v>2019Trent/Colin8</v>
      </c>
      <c r="D431">
        <f t="shared" si="60"/>
        <v>463</v>
      </c>
      <c r="E431">
        <f t="shared" si="61"/>
        <v>655</v>
      </c>
      <c r="F431">
        <f t="shared" si="62"/>
        <v>654</v>
      </c>
      <c r="G431">
        <f t="shared" si="63"/>
        <v>622</v>
      </c>
      <c r="H431">
        <v>2019</v>
      </c>
      <c r="I431">
        <v>8</v>
      </c>
      <c r="J431">
        <v>39</v>
      </c>
      <c r="K431" t="s">
        <v>33</v>
      </c>
      <c r="L431">
        <v>84.86</v>
      </c>
      <c r="M431" t="s">
        <v>36</v>
      </c>
      <c r="N431">
        <v>104.96</v>
      </c>
      <c r="O431" t="s">
        <v>20</v>
      </c>
      <c r="P431">
        <f t="shared" si="64"/>
        <v>189.82</v>
      </c>
      <c r="Q431">
        <f t="shared" si="65"/>
        <v>20.099999999999994</v>
      </c>
      <c r="R431" t="str">
        <f t="shared" si="66"/>
        <v>Walker/Cory</v>
      </c>
      <c r="S431" t="str">
        <f t="shared" si="67"/>
        <v>Trent/Colin</v>
      </c>
      <c r="T431">
        <f t="shared" si="68"/>
        <v>104.96</v>
      </c>
      <c r="U431">
        <f t="shared" si="69"/>
        <v>84.86</v>
      </c>
    </row>
    <row r="432" spans="1:21" x14ac:dyDescent="0.3">
      <c r="A432">
        <v>431</v>
      </c>
      <c r="B432" t="str">
        <f>H432&amp;R432&amp;I432</f>
        <v>2019Pat/Tucker9</v>
      </c>
      <c r="C432" t="str">
        <f>H432&amp;S432&amp;I432</f>
        <v>2019David/Marshall9</v>
      </c>
      <c r="D432">
        <f t="shared" si="60"/>
        <v>177</v>
      </c>
      <c r="E432">
        <f t="shared" si="61"/>
        <v>76</v>
      </c>
      <c r="F432">
        <f t="shared" si="62"/>
        <v>64</v>
      </c>
      <c r="G432">
        <f t="shared" si="63"/>
        <v>189</v>
      </c>
      <c r="H432">
        <v>2019</v>
      </c>
      <c r="I432">
        <v>9</v>
      </c>
      <c r="J432">
        <v>40</v>
      </c>
      <c r="K432" t="s">
        <v>38</v>
      </c>
      <c r="L432">
        <v>109.42</v>
      </c>
      <c r="M432" t="s">
        <v>31</v>
      </c>
      <c r="N432">
        <v>151.4</v>
      </c>
      <c r="O432" t="s">
        <v>20</v>
      </c>
      <c r="P432">
        <f t="shared" si="64"/>
        <v>260.82</v>
      </c>
      <c r="Q432">
        <f t="shared" si="65"/>
        <v>41.980000000000004</v>
      </c>
      <c r="R432" t="str">
        <f t="shared" si="66"/>
        <v>Pat/Tucker</v>
      </c>
      <c r="S432" t="str">
        <f t="shared" si="67"/>
        <v>David/Marshall</v>
      </c>
      <c r="T432">
        <f t="shared" si="68"/>
        <v>151.4</v>
      </c>
      <c r="U432">
        <f t="shared" si="69"/>
        <v>109.42</v>
      </c>
    </row>
    <row r="433" spans="1:21" x14ac:dyDescent="0.3">
      <c r="A433">
        <v>432</v>
      </c>
      <c r="B433" t="str">
        <f>H433&amp;R433&amp;I433</f>
        <v>2019Dave/Nolan9</v>
      </c>
      <c r="C433" t="str">
        <f>H433&amp;S433&amp;I433</f>
        <v>2019Clay/Ryan9</v>
      </c>
      <c r="D433">
        <f t="shared" si="60"/>
        <v>468</v>
      </c>
      <c r="E433">
        <f t="shared" si="61"/>
        <v>197</v>
      </c>
      <c r="F433">
        <f t="shared" si="62"/>
        <v>243</v>
      </c>
      <c r="G433">
        <f t="shared" si="63"/>
        <v>170</v>
      </c>
      <c r="H433">
        <v>2019</v>
      </c>
      <c r="I433">
        <v>9</v>
      </c>
      <c r="J433">
        <v>41</v>
      </c>
      <c r="K433" t="s">
        <v>35</v>
      </c>
      <c r="L433">
        <v>110.7</v>
      </c>
      <c r="M433" t="s">
        <v>30</v>
      </c>
      <c r="N433">
        <v>130.58000000000001</v>
      </c>
      <c r="O433" t="s">
        <v>20</v>
      </c>
      <c r="P433">
        <f t="shared" si="64"/>
        <v>241.28000000000003</v>
      </c>
      <c r="Q433">
        <f t="shared" si="65"/>
        <v>19.88000000000001</v>
      </c>
      <c r="R433" t="str">
        <f t="shared" si="66"/>
        <v>Dave/Nolan</v>
      </c>
      <c r="S433" t="str">
        <f t="shared" si="67"/>
        <v>Clay/Ryan</v>
      </c>
      <c r="T433">
        <f t="shared" si="68"/>
        <v>130.58000000000001</v>
      </c>
      <c r="U433">
        <f t="shared" si="69"/>
        <v>110.7</v>
      </c>
    </row>
    <row r="434" spans="1:21" x14ac:dyDescent="0.3">
      <c r="A434">
        <v>433</v>
      </c>
      <c r="B434" t="str">
        <f>H434&amp;R434&amp;I434</f>
        <v>2019Trent/Colin9</v>
      </c>
      <c r="C434" t="str">
        <f>H434&amp;S434&amp;I434</f>
        <v>2019Drew/Cam9</v>
      </c>
      <c r="D434">
        <f t="shared" si="60"/>
        <v>328</v>
      </c>
      <c r="E434">
        <f t="shared" si="61"/>
        <v>612</v>
      </c>
      <c r="F434">
        <f t="shared" si="62"/>
        <v>571</v>
      </c>
      <c r="G434">
        <f t="shared" si="63"/>
        <v>644</v>
      </c>
      <c r="H434">
        <v>2019</v>
      </c>
      <c r="I434">
        <v>9</v>
      </c>
      <c r="J434">
        <v>42</v>
      </c>
      <c r="K434" t="s">
        <v>37</v>
      </c>
      <c r="L434">
        <v>83.16</v>
      </c>
      <c r="M434" t="s">
        <v>33</v>
      </c>
      <c r="N434">
        <v>111.3</v>
      </c>
      <c r="O434" t="s">
        <v>20</v>
      </c>
      <c r="P434">
        <f t="shared" si="64"/>
        <v>194.45999999999998</v>
      </c>
      <c r="Q434">
        <f t="shared" si="65"/>
        <v>28.14</v>
      </c>
      <c r="R434" t="str">
        <f t="shared" si="66"/>
        <v>Trent/Colin</v>
      </c>
      <c r="S434" t="str">
        <f t="shared" si="67"/>
        <v>Drew/Cam</v>
      </c>
      <c r="T434">
        <f t="shared" si="68"/>
        <v>111.3</v>
      </c>
      <c r="U434">
        <f t="shared" si="69"/>
        <v>83.16</v>
      </c>
    </row>
    <row r="435" spans="1:21" x14ac:dyDescent="0.3">
      <c r="A435">
        <v>434</v>
      </c>
      <c r="B435" t="str">
        <f>H435&amp;R435&amp;I435</f>
        <v>2019Eric/Blake9</v>
      </c>
      <c r="C435" t="str">
        <f>H435&amp;S435&amp;I435</f>
        <v>2019Walker/Cory9</v>
      </c>
      <c r="D435">
        <f t="shared" si="60"/>
        <v>799</v>
      </c>
      <c r="E435">
        <f t="shared" si="61"/>
        <v>835</v>
      </c>
      <c r="F435">
        <f t="shared" si="62"/>
        <v>856</v>
      </c>
      <c r="G435">
        <f t="shared" si="63"/>
        <v>728</v>
      </c>
      <c r="H435">
        <v>2019</v>
      </c>
      <c r="I435">
        <v>9</v>
      </c>
      <c r="J435">
        <v>43</v>
      </c>
      <c r="K435" t="s">
        <v>34</v>
      </c>
      <c r="L435">
        <v>79.040000000000006</v>
      </c>
      <c r="M435" t="s">
        <v>36</v>
      </c>
      <c r="N435">
        <v>75.36</v>
      </c>
      <c r="O435" t="s">
        <v>20</v>
      </c>
      <c r="P435">
        <f t="shared" si="64"/>
        <v>154.4</v>
      </c>
      <c r="Q435">
        <f t="shared" si="65"/>
        <v>3.6800000000000068</v>
      </c>
      <c r="R435" t="str">
        <f t="shared" si="66"/>
        <v>Eric/Blake</v>
      </c>
      <c r="S435" t="str">
        <f t="shared" si="67"/>
        <v>Walker/Cory</v>
      </c>
      <c r="T435">
        <f t="shared" si="68"/>
        <v>79.040000000000006</v>
      </c>
      <c r="U435">
        <f t="shared" si="69"/>
        <v>75.36</v>
      </c>
    </row>
    <row r="436" spans="1:21" x14ac:dyDescent="0.3">
      <c r="A436">
        <v>435</v>
      </c>
      <c r="B436" t="str">
        <f>H436&amp;R436&amp;I436</f>
        <v>2019Brian/Travis9</v>
      </c>
      <c r="C436" t="str">
        <f>H436&amp;S436&amp;I436</f>
        <v>2019Graham/Michael9</v>
      </c>
      <c r="D436">
        <f t="shared" si="60"/>
        <v>276</v>
      </c>
      <c r="E436">
        <f t="shared" si="61"/>
        <v>77</v>
      </c>
      <c r="F436">
        <f t="shared" si="62"/>
        <v>99</v>
      </c>
      <c r="G436">
        <f t="shared" si="63"/>
        <v>135</v>
      </c>
      <c r="H436">
        <v>2019</v>
      </c>
      <c r="I436">
        <v>9</v>
      </c>
      <c r="J436">
        <v>44</v>
      </c>
      <c r="K436" t="s">
        <v>29</v>
      </c>
      <c r="L436">
        <v>114.32</v>
      </c>
      <c r="M436" t="s">
        <v>32</v>
      </c>
      <c r="N436">
        <v>146.34</v>
      </c>
      <c r="O436" t="s">
        <v>20</v>
      </c>
      <c r="P436">
        <f t="shared" si="64"/>
        <v>260.65999999999997</v>
      </c>
      <c r="Q436">
        <f t="shared" si="65"/>
        <v>32.02000000000001</v>
      </c>
      <c r="R436" t="str">
        <f t="shared" si="66"/>
        <v>Brian/Travis</v>
      </c>
      <c r="S436" t="str">
        <f t="shared" si="67"/>
        <v>Graham/Michael</v>
      </c>
      <c r="T436">
        <f t="shared" si="68"/>
        <v>146.34</v>
      </c>
      <c r="U436">
        <f t="shared" si="69"/>
        <v>114.32</v>
      </c>
    </row>
    <row r="437" spans="1:21" x14ac:dyDescent="0.3">
      <c r="A437">
        <v>436</v>
      </c>
      <c r="B437" t="str">
        <f>H437&amp;R437&amp;I437</f>
        <v>2019Clay/Ryan10</v>
      </c>
      <c r="C437" t="str">
        <f>H437&amp;S437&amp;I437</f>
        <v>2019Drew/Cam10</v>
      </c>
      <c r="D437">
        <f t="shared" si="60"/>
        <v>217</v>
      </c>
      <c r="E437">
        <f t="shared" si="61"/>
        <v>508</v>
      </c>
      <c r="F437">
        <f t="shared" si="62"/>
        <v>403</v>
      </c>
      <c r="G437">
        <f t="shared" si="63"/>
        <v>625</v>
      </c>
      <c r="H437">
        <v>2019</v>
      </c>
      <c r="I437">
        <v>10</v>
      </c>
      <c r="J437">
        <v>45</v>
      </c>
      <c r="K437" t="s">
        <v>35</v>
      </c>
      <c r="L437">
        <v>121.7</v>
      </c>
      <c r="M437" t="s">
        <v>37</v>
      </c>
      <c r="N437">
        <v>84.38</v>
      </c>
      <c r="O437" t="s">
        <v>20</v>
      </c>
      <c r="P437">
        <f t="shared" si="64"/>
        <v>206.07999999999998</v>
      </c>
      <c r="Q437">
        <f t="shared" si="65"/>
        <v>37.320000000000007</v>
      </c>
      <c r="R437" t="str">
        <f t="shared" si="66"/>
        <v>Clay/Ryan</v>
      </c>
      <c r="S437" t="str">
        <f t="shared" si="67"/>
        <v>Drew/Cam</v>
      </c>
      <c r="T437">
        <f t="shared" si="68"/>
        <v>121.7</v>
      </c>
      <c r="U437">
        <f t="shared" si="69"/>
        <v>84.38</v>
      </c>
    </row>
    <row r="438" spans="1:21" x14ac:dyDescent="0.3">
      <c r="A438">
        <v>437</v>
      </c>
      <c r="B438" t="str">
        <f>H438&amp;R438&amp;I438</f>
        <v>2019David/Marshall10</v>
      </c>
      <c r="C438" t="str">
        <f>H438&amp;S438&amp;I438</f>
        <v>2019Eric/Blake10</v>
      </c>
      <c r="D438">
        <f t="shared" si="60"/>
        <v>532</v>
      </c>
      <c r="E438">
        <f t="shared" si="61"/>
        <v>854</v>
      </c>
      <c r="F438">
        <f t="shared" si="62"/>
        <v>850</v>
      </c>
      <c r="G438">
        <f t="shared" si="63"/>
        <v>822</v>
      </c>
      <c r="H438">
        <v>2019</v>
      </c>
      <c r="I438">
        <v>10</v>
      </c>
      <c r="J438">
        <v>46</v>
      </c>
      <c r="K438" t="s">
        <v>34</v>
      </c>
      <c r="L438">
        <v>65.52</v>
      </c>
      <c r="M438" t="s">
        <v>38</v>
      </c>
      <c r="N438">
        <v>81.38</v>
      </c>
      <c r="O438" t="s">
        <v>20</v>
      </c>
      <c r="P438">
        <f t="shared" si="64"/>
        <v>146.89999999999998</v>
      </c>
      <c r="Q438">
        <f t="shared" si="65"/>
        <v>15.86</v>
      </c>
      <c r="R438" t="str">
        <f t="shared" si="66"/>
        <v>David/Marshall</v>
      </c>
      <c r="S438" t="str">
        <f t="shared" si="67"/>
        <v>Eric/Blake</v>
      </c>
      <c r="T438">
        <f t="shared" si="68"/>
        <v>81.38</v>
      </c>
      <c r="U438">
        <f t="shared" si="69"/>
        <v>65.52</v>
      </c>
    </row>
    <row r="439" spans="1:21" x14ac:dyDescent="0.3">
      <c r="A439">
        <v>438</v>
      </c>
      <c r="B439" t="str">
        <f>H439&amp;R439&amp;I439</f>
        <v>2019Graham/Michael10</v>
      </c>
      <c r="C439" t="str">
        <f>H439&amp;S439&amp;I439</f>
        <v>2019Pat/Tucker10</v>
      </c>
      <c r="D439">
        <f t="shared" si="60"/>
        <v>253</v>
      </c>
      <c r="E439">
        <f t="shared" si="61"/>
        <v>316</v>
      </c>
      <c r="F439">
        <f t="shared" si="62"/>
        <v>253</v>
      </c>
      <c r="G439">
        <f t="shared" si="63"/>
        <v>403</v>
      </c>
      <c r="H439">
        <v>2019</v>
      </c>
      <c r="I439">
        <v>10</v>
      </c>
      <c r="J439">
        <v>47</v>
      </c>
      <c r="K439" t="s">
        <v>31</v>
      </c>
      <c r="L439">
        <v>96.08</v>
      </c>
      <c r="M439" t="s">
        <v>29</v>
      </c>
      <c r="N439">
        <v>130.12</v>
      </c>
      <c r="O439" t="s">
        <v>20</v>
      </c>
      <c r="P439">
        <f t="shared" si="64"/>
        <v>226.2</v>
      </c>
      <c r="Q439">
        <f t="shared" si="65"/>
        <v>34.040000000000006</v>
      </c>
      <c r="R439" t="str">
        <f t="shared" si="66"/>
        <v>Graham/Michael</v>
      </c>
      <c r="S439" t="str">
        <f t="shared" si="67"/>
        <v>Pat/Tucker</v>
      </c>
      <c r="T439">
        <f t="shared" si="68"/>
        <v>130.12</v>
      </c>
      <c r="U439">
        <f t="shared" si="69"/>
        <v>96.08</v>
      </c>
    </row>
    <row r="440" spans="1:21" x14ac:dyDescent="0.3">
      <c r="A440">
        <v>439</v>
      </c>
      <c r="B440" t="str">
        <f>H440&amp;R440&amp;I440</f>
        <v>2019Dave/Nolan10</v>
      </c>
      <c r="C440" t="str">
        <f>H440&amp;S440&amp;I440</f>
        <v>2019Walker/Cory10</v>
      </c>
      <c r="D440">
        <f t="shared" si="60"/>
        <v>28</v>
      </c>
      <c r="E440">
        <f t="shared" si="61"/>
        <v>167</v>
      </c>
      <c r="F440">
        <f t="shared" si="62"/>
        <v>40</v>
      </c>
      <c r="G440">
        <f t="shared" si="63"/>
        <v>538</v>
      </c>
      <c r="H440">
        <v>2019</v>
      </c>
      <c r="I440">
        <v>10</v>
      </c>
      <c r="J440">
        <v>48</v>
      </c>
      <c r="K440" t="s">
        <v>36</v>
      </c>
      <c r="L440">
        <v>88.28</v>
      </c>
      <c r="M440" t="s">
        <v>30</v>
      </c>
      <c r="N440">
        <v>156.68</v>
      </c>
      <c r="O440" t="s">
        <v>20</v>
      </c>
      <c r="P440">
        <f t="shared" si="64"/>
        <v>244.96</v>
      </c>
      <c r="Q440">
        <f t="shared" si="65"/>
        <v>68.400000000000006</v>
      </c>
      <c r="R440" t="str">
        <f t="shared" si="66"/>
        <v>Dave/Nolan</v>
      </c>
      <c r="S440" t="str">
        <f t="shared" si="67"/>
        <v>Walker/Cory</v>
      </c>
      <c r="T440">
        <f t="shared" si="68"/>
        <v>156.68</v>
      </c>
      <c r="U440">
        <f t="shared" si="69"/>
        <v>88.28</v>
      </c>
    </row>
    <row r="441" spans="1:21" x14ac:dyDescent="0.3">
      <c r="A441">
        <v>440</v>
      </c>
      <c r="B441" t="str">
        <f>H441&amp;R441&amp;I441</f>
        <v>2019Trent/Colin10</v>
      </c>
      <c r="C441" t="str">
        <f>H441&amp;S441&amp;I441</f>
        <v>2019Brian/Travis10</v>
      </c>
      <c r="D441">
        <f t="shared" si="60"/>
        <v>864</v>
      </c>
      <c r="E441">
        <f t="shared" si="61"/>
        <v>21</v>
      </c>
      <c r="F441">
        <f t="shared" si="62"/>
        <v>131</v>
      </c>
      <c r="G441">
        <f t="shared" si="63"/>
        <v>7</v>
      </c>
      <c r="H441">
        <v>2019</v>
      </c>
      <c r="I441">
        <v>10</v>
      </c>
      <c r="J441">
        <v>49</v>
      </c>
      <c r="K441" t="s">
        <v>33</v>
      </c>
      <c r="L441">
        <v>140.84</v>
      </c>
      <c r="M441" t="s">
        <v>32</v>
      </c>
      <c r="N441">
        <v>140.72</v>
      </c>
      <c r="O441" t="s">
        <v>20</v>
      </c>
      <c r="P441">
        <f t="shared" si="64"/>
        <v>281.56</v>
      </c>
      <c r="Q441">
        <f t="shared" si="65"/>
        <v>0.12000000000000455</v>
      </c>
      <c r="R441" t="str">
        <f t="shared" si="66"/>
        <v>Trent/Colin</v>
      </c>
      <c r="S441" t="str">
        <f t="shared" si="67"/>
        <v>Brian/Travis</v>
      </c>
      <c r="T441">
        <f t="shared" si="68"/>
        <v>140.84</v>
      </c>
      <c r="U441">
        <f t="shared" si="69"/>
        <v>140.72</v>
      </c>
    </row>
    <row r="442" spans="1:21" x14ac:dyDescent="0.3">
      <c r="A442">
        <v>441</v>
      </c>
      <c r="B442" t="str">
        <f>H442&amp;R442&amp;I442</f>
        <v>2019Graham/Michael11</v>
      </c>
      <c r="C442" t="str">
        <f>H442&amp;S442&amp;I442</f>
        <v>2019Eric/Blake11</v>
      </c>
      <c r="D442">
        <f t="shared" si="60"/>
        <v>229</v>
      </c>
      <c r="E442">
        <f t="shared" si="61"/>
        <v>446</v>
      </c>
      <c r="F442">
        <f t="shared" si="62"/>
        <v>358</v>
      </c>
      <c r="G442">
        <f t="shared" si="63"/>
        <v>567</v>
      </c>
      <c r="H442">
        <v>2019</v>
      </c>
      <c r="I442">
        <v>11</v>
      </c>
      <c r="J442">
        <v>50</v>
      </c>
      <c r="K442" t="s">
        <v>34</v>
      </c>
      <c r="L442">
        <v>87.42</v>
      </c>
      <c r="M442" t="s">
        <v>29</v>
      </c>
      <c r="N442">
        <v>124.08</v>
      </c>
      <c r="O442" t="s">
        <v>20</v>
      </c>
      <c r="P442">
        <f t="shared" si="64"/>
        <v>211.5</v>
      </c>
      <c r="Q442">
        <f t="shared" si="65"/>
        <v>36.659999999999997</v>
      </c>
      <c r="R442" t="str">
        <f t="shared" si="66"/>
        <v>Graham/Michael</v>
      </c>
      <c r="S442" t="str">
        <f t="shared" si="67"/>
        <v>Eric/Blake</v>
      </c>
      <c r="T442">
        <f t="shared" si="68"/>
        <v>124.08</v>
      </c>
      <c r="U442">
        <f t="shared" si="69"/>
        <v>87.42</v>
      </c>
    </row>
    <row r="443" spans="1:21" x14ac:dyDescent="0.3">
      <c r="A443">
        <v>442</v>
      </c>
      <c r="B443" t="str">
        <f>H443&amp;R443&amp;I443</f>
        <v>2019Walker/Cory11</v>
      </c>
      <c r="C443" t="str">
        <f>H443&amp;S443&amp;I443</f>
        <v>2019Clay/Ryan11</v>
      </c>
      <c r="D443">
        <f t="shared" si="60"/>
        <v>399</v>
      </c>
      <c r="E443">
        <f t="shared" si="61"/>
        <v>80</v>
      </c>
      <c r="F443">
        <f t="shared" si="62"/>
        <v>123</v>
      </c>
      <c r="G443">
        <f t="shared" si="63"/>
        <v>89</v>
      </c>
      <c r="H443">
        <v>2019</v>
      </c>
      <c r="I443">
        <v>11</v>
      </c>
      <c r="J443">
        <v>51</v>
      </c>
      <c r="K443" t="s">
        <v>35</v>
      </c>
      <c r="L443">
        <v>118.46</v>
      </c>
      <c r="M443" t="s">
        <v>36</v>
      </c>
      <c r="N443">
        <v>141.54</v>
      </c>
      <c r="O443" t="s">
        <v>20</v>
      </c>
      <c r="P443">
        <f t="shared" si="64"/>
        <v>260</v>
      </c>
      <c r="Q443">
        <f t="shared" si="65"/>
        <v>23.08</v>
      </c>
      <c r="R443" t="str">
        <f t="shared" si="66"/>
        <v>Walker/Cory</v>
      </c>
      <c r="S443" t="str">
        <f t="shared" si="67"/>
        <v>Clay/Ryan</v>
      </c>
      <c r="T443">
        <f t="shared" si="68"/>
        <v>141.54</v>
      </c>
      <c r="U443">
        <f t="shared" si="69"/>
        <v>118.46</v>
      </c>
    </row>
    <row r="444" spans="1:21" x14ac:dyDescent="0.3">
      <c r="A444">
        <v>443</v>
      </c>
      <c r="B444" t="str">
        <f>H444&amp;R444&amp;I444</f>
        <v>2019Drew/Cam11</v>
      </c>
      <c r="C444" t="str">
        <f>H444&amp;S444&amp;I444</f>
        <v>2019Brian/Travis11</v>
      </c>
      <c r="D444">
        <f t="shared" si="60"/>
        <v>59</v>
      </c>
      <c r="E444">
        <f t="shared" si="61"/>
        <v>692</v>
      </c>
      <c r="F444">
        <f t="shared" si="62"/>
        <v>407</v>
      </c>
      <c r="G444">
        <f t="shared" si="63"/>
        <v>828</v>
      </c>
      <c r="H444">
        <v>2019</v>
      </c>
      <c r="I444">
        <v>11</v>
      </c>
      <c r="J444">
        <v>52</v>
      </c>
      <c r="K444" t="s">
        <v>32</v>
      </c>
      <c r="L444">
        <v>64.16</v>
      </c>
      <c r="M444" t="s">
        <v>37</v>
      </c>
      <c r="N444">
        <v>121.32</v>
      </c>
      <c r="O444" t="s">
        <v>20</v>
      </c>
      <c r="P444">
        <f t="shared" si="64"/>
        <v>185.48</v>
      </c>
      <c r="Q444">
        <f t="shared" si="65"/>
        <v>57.16</v>
      </c>
      <c r="R444" t="str">
        <f t="shared" si="66"/>
        <v>Drew/Cam</v>
      </c>
      <c r="S444" t="str">
        <f t="shared" si="67"/>
        <v>Brian/Travis</v>
      </c>
      <c r="T444">
        <f t="shared" si="68"/>
        <v>121.32</v>
      </c>
      <c r="U444">
        <f t="shared" si="69"/>
        <v>64.16</v>
      </c>
    </row>
    <row r="445" spans="1:21" x14ac:dyDescent="0.3">
      <c r="A445">
        <v>444</v>
      </c>
      <c r="B445" t="str">
        <f>H445&amp;R445&amp;I445</f>
        <v>2019Dave/Nolan11</v>
      </c>
      <c r="C445" t="str">
        <f>H445&amp;S445&amp;I445</f>
        <v>2019David/Marshall11</v>
      </c>
      <c r="D445">
        <f t="shared" si="60"/>
        <v>777</v>
      </c>
      <c r="E445">
        <f t="shared" si="61"/>
        <v>381</v>
      </c>
      <c r="F445">
        <f t="shared" si="62"/>
        <v>547</v>
      </c>
      <c r="G445">
        <f t="shared" si="63"/>
        <v>210</v>
      </c>
      <c r="H445">
        <v>2019</v>
      </c>
      <c r="I445">
        <v>11</v>
      </c>
      <c r="J445">
        <v>53</v>
      </c>
      <c r="K445" t="s">
        <v>38</v>
      </c>
      <c r="L445">
        <v>107.76</v>
      </c>
      <c r="M445" t="s">
        <v>30</v>
      </c>
      <c r="N445">
        <v>112.36</v>
      </c>
      <c r="O445" t="s">
        <v>20</v>
      </c>
      <c r="P445">
        <f t="shared" si="64"/>
        <v>220.12</v>
      </c>
      <c r="Q445">
        <f t="shared" si="65"/>
        <v>4.5999999999999943</v>
      </c>
      <c r="R445" t="str">
        <f t="shared" si="66"/>
        <v>Dave/Nolan</v>
      </c>
      <c r="S445" t="str">
        <f t="shared" si="67"/>
        <v>David/Marshall</v>
      </c>
      <c r="T445">
        <f t="shared" si="68"/>
        <v>112.36</v>
      </c>
      <c r="U445">
        <f t="shared" si="69"/>
        <v>107.76</v>
      </c>
    </row>
    <row r="446" spans="1:21" x14ac:dyDescent="0.3">
      <c r="A446">
        <v>445</v>
      </c>
      <c r="B446" t="str">
        <f>H446&amp;R446&amp;I446</f>
        <v>2019Trent/Colin11</v>
      </c>
      <c r="C446" t="str">
        <f>H446&amp;S446&amp;I446</f>
        <v>2019Pat/Tucker11</v>
      </c>
      <c r="D446">
        <f t="shared" si="60"/>
        <v>219</v>
      </c>
      <c r="E446">
        <f t="shared" si="61"/>
        <v>577</v>
      </c>
      <c r="F446">
        <f t="shared" si="62"/>
        <v>460</v>
      </c>
      <c r="G446">
        <f t="shared" si="63"/>
        <v>673</v>
      </c>
      <c r="H446">
        <v>2019</v>
      </c>
      <c r="I446">
        <v>11</v>
      </c>
      <c r="J446">
        <v>54</v>
      </c>
      <c r="K446" t="s">
        <v>33</v>
      </c>
      <c r="L446">
        <v>117.94</v>
      </c>
      <c r="M446" t="s">
        <v>31</v>
      </c>
      <c r="N446">
        <v>80.88</v>
      </c>
      <c r="O446" t="s">
        <v>20</v>
      </c>
      <c r="P446">
        <f t="shared" si="64"/>
        <v>198.82</v>
      </c>
      <c r="Q446">
        <f t="shared" si="65"/>
        <v>37.06</v>
      </c>
      <c r="R446" t="str">
        <f t="shared" si="66"/>
        <v>Trent/Colin</v>
      </c>
      <c r="S446" t="str">
        <f t="shared" si="67"/>
        <v>Pat/Tucker</v>
      </c>
      <c r="T446">
        <f t="shared" si="68"/>
        <v>117.94</v>
      </c>
      <c r="U446">
        <f t="shared" si="69"/>
        <v>80.88</v>
      </c>
    </row>
    <row r="447" spans="1:21" x14ac:dyDescent="0.3">
      <c r="A447">
        <v>446</v>
      </c>
      <c r="B447" t="str">
        <f>H447&amp;R447&amp;I447</f>
        <v>2019Brian/Travis12</v>
      </c>
      <c r="C447" t="str">
        <f>H447&amp;S447&amp;I447</f>
        <v>2019Walker/Cory12</v>
      </c>
      <c r="D447">
        <f t="shared" si="60"/>
        <v>138</v>
      </c>
      <c r="E447">
        <f t="shared" si="61"/>
        <v>778</v>
      </c>
      <c r="F447">
        <f t="shared" si="62"/>
        <v>603</v>
      </c>
      <c r="G447">
        <f t="shared" si="63"/>
        <v>834</v>
      </c>
      <c r="H447">
        <v>2019</v>
      </c>
      <c r="I447">
        <v>12</v>
      </c>
      <c r="J447">
        <v>55</v>
      </c>
      <c r="K447" t="s">
        <v>36</v>
      </c>
      <c r="L447">
        <v>63.04</v>
      </c>
      <c r="M447" t="s">
        <v>32</v>
      </c>
      <c r="N447">
        <v>108.52</v>
      </c>
      <c r="O447" t="s">
        <v>20</v>
      </c>
      <c r="P447">
        <f t="shared" si="64"/>
        <v>171.56</v>
      </c>
      <c r="Q447">
        <f t="shared" si="65"/>
        <v>45.48</v>
      </c>
      <c r="R447" t="str">
        <f t="shared" si="66"/>
        <v>Brian/Travis</v>
      </c>
      <c r="S447" t="str">
        <f t="shared" si="67"/>
        <v>Walker/Cory</v>
      </c>
      <c r="T447">
        <f t="shared" si="68"/>
        <v>108.52</v>
      </c>
      <c r="U447">
        <f t="shared" si="69"/>
        <v>63.04</v>
      </c>
    </row>
    <row r="448" spans="1:21" x14ac:dyDescent="0.3">
      <c r="A448">
        <v>447</v>
      </c>
      <c r="B448" t="str">
        <f>H448&amp;R448&amp;I448</f>
        <v>2019Dave/Nolan12</v>
      </c>
      <c r="C448" t="str">
        <f>H448&amp;S448&amp;I448</f>
        <v>2019Eric/Blake12</v>
      </c>
      <c r="D448">
        <f t="shared" si="60"/>
        <v>207</v>
      </c>
      <c r="E448">
        <f t="shared" si="61"/>
        <v>861</v>
      </c>
      <c r="F448">
        <f t="shared" si="62"/>
        <v>815</v>
      </c>
      <c r="G448">
        <f t="shared" si="63"/>
        <v>860</v>
      </c>
      <c r="H448">
        <v>2019</v>
      </c>
      <c r="I448">
        <v>12</v>
      </c>
      <c r="J448">
        <v>56</v>
      </c>
      <c r="K448" t="s">
        <v>30</v>
      </c>
      <c r="L448">
        <v>90.48</v>
      </c>
      <c r="M448" t="s">
        <v>34</v>
      </c>
      <c r="N448">
        <v>52.16</v>
      </c>
      <c r="O448" t="s">
        <v>20</v>
      </c>
      <c r="P448">
        <f t="shared" si="64"/>
        <v>142.63999999999999</v>
      </c>
      <c r="Q448">
        <f t="shared" si="65"/>
        <v>38.320000000000007</v>
      </c>
      <c r="R448" t="str">
        <f t="shared" si="66"/>
        <v>Dave/Nolan</v>
      </c>
      <c r="S448" t="str">
        <f t="shared" si="67"/>
        <v>Eric/Blake</v>
      </c>
      <c r="T448">
        <f t="shared" si="68"/>
        <v>90.48</v>
      </c>
      <c r="U448">
        <f t="shared" si="69"/>
        <v>52.16</v>
      </c>
    </row>
    <row r="449" spans="1:21" x14ac:dyDescent="0.3">
      <c r="A449">
        <v>448</v>
      </c>
      <c r="B449" t="str">
        <f>H449&amp;R449&amp;I449</f>
        <v>2019Graham/Michael12</v>
      </c>
      <c r="C449" t="str">
        <f>H449&amp;S449&amp;I449</f>
        <v>2019Trent/Colin12</v>
      </c>
      <c r="D449">
        <f t="shared" si="60"/>
        <v>661</v>
      </c>
      <c r="E449">
        <f t="shared" si="61"/>
        <v>56</v>
      </c>
      <c r="F449">
        <f t="shared" si="62"/>
        <v>144</v>
      </c>
      <c r="G449">
        <f t="shared" si="63"/>
        <v>26</v>
      </c>
      <c r="H449">
        <v>2019</v>
      </c>
      <c r="I449">
        <v>12</v>
      </c>
      <c r="J449">
        <v>57</v>
      </c>
      <c r="K449" t="s">
        <v>29</v>
      </c>
      <c r="L449">
        <v>139.46</v>
      </c>
      <c r="M449" t="s">
        <v>33</v>
      </c>
      <c r="N449">
        <v>129.88</v>
      </c>
      <c r="O449" t="s">
        <v>20</v>
      </c>
      <c r="P449">
        <f t="shared" si="64"/>
        <v>269.34000000000003</v>
      </c>
      <c r="Q449">
        <f t="shared" si="65"/>
        <v>9.5800000000000125</v>
      </c>
      <c r="R449" t="str">
        <f t="shared" si="66"/>
        <v>Graham/Michael</v>
      </c>
      <c r="S449" t="str">
        <f t="shared" si="67"/>
        <v>Trent/Colin</v>
      </c>
      <c r="T449">
        <f t="shared" si="68"/>
        <v>139.46</v>
      </c>
      <c r="U449">
        <f t="shared" si="69"/>
        <v>129.88</v>
      </c>
    </row>
    <row r="450" spans="1:21" x14ac:dyDescent="0.3">
      <c r="A450">
        <v>449</v>
      </c>
      <c r="B450" t="str">
        <f>H450&amp;R450&amp;I450</f>
        <v>2019Clay/Ryan12</v>
      </c>
      <c r="C450" t="str">
        <f>H450&amp;S450&amp;I450</f>
        <v>2019David/Marshall12</v>
      </c>
      <c r="D450">
        <f t="shared" ref="D450:D513" si="70">RANK(Q450,Q:Q)</f>
        <v>319</v>
      </c>
      <c r="E450">
        <f t="shared" ref="E450:E513" si="71">RANK(P450,P:P)</f>
        <v>430</v>
      </c>
      <c r="F450">
        <f t="shared" ref="F450:F513" si="72">RANK(T450,T:T)</f>
        <v>417</v>
      </c>
      <c r="G450">
        <f t="shared" ref="G450:G513" si="73">RANK(U450,U:U)</f>
        <v>463</v>
      </c>
      <c r="H450">
        <v>2019</v>
      </c>
      <c r="I450">
        <v>12</v>
      </c>
      <c r="J450">
        <v>58</v>
      </c>
      <c r="K450" t="s">
        <v>38</v>
      </c>
      <c r="L450">
        <v>92.3</v>
      </c>
      <c r="M450" t="s">
        <v>35</v>
      </c>
      <c r="N450">
        <v>120.88</v>
      </c>
      <c r="O450" t="s">
        <v>20</v>
      </c>
      <c r="P450">
        <f t="shared" ref="P450:P513" si="74">SUM(L450,N450)</f>
        <v>213.18</v>
      </c>
      <c r="Q450">
        <f t="shared" ref="Q450:Q513" si="75">ABS(L450-N450)</f>
        <v>28.58</v>
      </c>
      <c r="R450" t="str">
        <f t="shared" ref="R450:R513" si="76">IF(L450&gt;N450,K450,M450)</f>
        <v>Clay/Ryan</v>
      </c>
      <c r="S450" t="str">
        <f t="shared" ref="S450:S513" si="77">IF(L450&gt;N450,M450,K450)</f>
        <v>David/Marshall</v>
      </c>
      <c r="T450">
        <f t="shared" ref="T450:T513" si="78">IF(L450&gt;N450,L450,N450)</f>
        <v>120.88</v>
      </c>
      <c r="U450">
        <f t="shared" ref="U450:U513" si="79">IF(L450&gt;N450,N450,L450)</f>
        <v>92.3</v>
      </c>
    </row>
    <row r="451" spans="1:21" x14ac:dyDescent="0.3">
      <c r="A451">
        <v>450</v>
      </c>
      <c r="B451" t="str">
        <f>H451&amp;R451&amp;I451</f>
        <v>2019Pat/Tucker12</v>
      </c>
      <c r="C451" t="str">
        <f>H451&amp;S451&amp;I451</f>
        <v>2019Drew/Cam12</v>
      </c>
      <c r="D451">
        <f t="shared" si="70"/>
        <v>272</v>
      </c>
      <c r="E451">
        <f t="shared" si="71"/>
        <v>443</v>
      </c>
      <c r="F451">
        <f t="shared" si="72"/>
        <v>394</v>
      </c>
      <c r="G451">
        <f t="shared" si="73"/>
        <v>508</v>
      </c>
      <c r="H451">
        <v>2019</v>
      </c>
      <c r="I451">
        <v>12</v>
      </c>
      <c r="J451">
        <v>59</v>
      </c>
      <c r="K451" t="s">
        <v>37</v>
      </c>
      <c r="L451">
        <v>89.94</v>
      </c>
      <c r="M451" t="s">
        <v>31</v>
      </c>
      <c r="N451">
        <v>122.4</v>
      </c>
      <c r="O451" t="s">
        <v>20</v>
      </c>
      <c r="P451">
        <f t="shared" si="74"/>
        <v>212.34</v>
      </c>
      <c r="Q451">
        <f t="shared" si="75"/>
        <v>32.460000000000008</v>
      </c>
      <c r="R451" t="str">
        <f t="shared" si="76"/>
        <v>Pat/Tucker</v>
      </c>
      <c r="S451" t="str">
        <f t="shared" si="77"/>
        <v>Drew/Cam</v>
      </c>
      <c r="T451">
        <f t="shared" si="78"/>
        <v>122.4</v>
      </c>
      <c r="U451">
        <f t="shared" si="79"/>
        <v>89.94</v>
      </c>
    </row>
    <row r="452" spans="1:21" x14ac:dyDescent="0.3">
      <c r="A452">
        <v>451</v>
      </c>
      <c r="B452" t="str">
        <f>H452&amp;R452&amp;I452</f>
        <v>2019Dave/Nolan13</v>
      </c>
      <c r="C452" t="str">
        <f>H452&amp;S452&amp;I452</f>
        <v>2019Trent/Colin13</v>
      </c>
      <c r="D452">
        <f t="shared" si="70"/>
        <v>75</v>
      </c>
      <c r="E452">
        <f t="shared" si="71"/>
        <v>690</v>
      </c>
      <c r="F452">
        <f t="shared" si="72"/>
        <v>431</v>
      </c>
      <c r="G452">
        <f t="shared" si="73"/>
        <v>820</v>
      </c>
      <c r="H452">
        <v>2019</v>
      </c>
      <c r="I452">
        <v>13</v>
      </c>
      <c r="J452">
        <v>60</v>
      </c>
      <c r="K452" t="s">
        <v>30</v>
      </c>
      <c r="L452">
        <v>120.1</v>
      </c>
      <c r="M452" t="s">
        <v>33</v>
      </c>
      <c r="N452">
        <v>65.7</v>
      </c>
      <c r="O452" t="s">
        <v>20</v>
      </c>
      <c r="P452">
        <f t="shared" si="74"/>
        <v>185.8</v>
      </c>
      <c r="Q452">
        <f t="shared" si="75"/>
        <v>54.399999999999991</v>
      </c>
      <c r="R452" t="str">
        <f t="shared" si="76"/>
        <v>Dave/Nolan</v>
      </c>
      <c r="S452" t="str">
        <f t="shared" si="77"/>
        <v>Trent/Colin</v>
      </c>
      <c r="T452">
        <f t="shared" si="78"/>
        <v>120.1</v>
      </c>
      <c r="U452">
        <f t="shared" si="79"/>
        <v>65.7</v>
      </c>
    </row>
    <row r="453" spans="1:21" x14ac:dyDescent="0.3">
      <c r="A453">
        <v>452</v>
      </c>
      <c r="B453" t="str">
        <f>H453&amp;R453&amp;I453</f>
        <v>2019Walker/Cory13</v>
      </c>
      <c r="C453" t="str">
        <f>H453&amp;S453&amp;I453</f>
        <v>2019David/Marshall13</v>
      </c>
      <c r="D453">
        <f t="shared" si="70"/>
        <v>815</v>
      </c>
      <c r="E453">
        <f t="shared" si="71"/>
        <v>224</v>
      </c>
      <c r="F453">
        <f t="shared" si="72"/>
        <v>427</v>
      </c>
      <c r="G453">
        <f t="shared" si="73"/>
        <v>98</v>
      </c>
      <c r="H453">
        <v>2019</v>
      </c>
      <c r="I453">
        <v>13</v>
      </c>
      <c r="J453">
        <v>61</v>
      </c>
      <c r="K453" t="s">
        <v>36</v>
      </c>
      <c r="L453">
        <v>120.28</v>
      </c>
      <c r="M453" t="s">
        <v>38</v>
      </c>
      <c r="N453">
        <v>117.3</v>
      </c>
      <c r="O453" t="s">
        <v>20</v>
      </c>
      <c r="P453">
        <f t="shared" si="74"/>
        <v>237.57999999999998</v>
      </c>
      <c r="Q453">
        <f t="shared" si="75"/>
        <v>2.980000000000004</v>
      </c>
      <c r="R453" t="str">
        <f t="shared" si="76"/>
        <v>Walker/Cory</v>
      </c>
      <c r="S453" t="str">
        <f t="shared" si="77"/>
        <v>David/Marshall</v>
      </c>
      <c r="T453">
        <f t="shared" si="78"/>
        <v>120.28</v>
      </c>
      <c r="U453">
        <f t="shared" si="79"/>
        <v>117.3</v>
      </c>
    </row>
    <row r="454" spans="1:21" x14ac:dyDescent="0.3">
      <c r="A454">
        <v>453</v>
      </c>
      <c r="B454" t="str">
        <f>H454&amp;R454&amp;I454</f>
        <v>2019Brian/Travis13</v>
      </c>
      <c r="C454" t="str">
        <f>H454&amp;S454&amp;I454</f>
        <v>2019Pat/Tucker13</v>
      </c>
      <c r="D454">
        <f t="shared" si="70"/>
        <v>261</v>
      </c>
      <c r="E454">
        <f t="shared" si="71"/>
        <v>306</v>
      </c>
      <c r="F454">
        <f t="shared" si="72"/>
        <v>251</v>
      </c>
      <c r="G454">
        <f t="shared" si="73"/>
        <v>380</v>
      </c>
      <c r="H454">
        <v>2019</v>
      </c>
      <c r="I454">
        <v>13</v>
      </c>
      <c r="J454">
        <v>62</v>
      </c>
      <c r="K454" t="s">
        <v>31</v>
      </c>
      <c r="L454">
        <v>97.2</v>
      </c>
      <c r="M454" t="s">
        <v>32</v>
      </c>
      <c r="N454">
        <v>130.38</v>
      </c>
      <c r="O454" t="s">
        <v>20</v>
      </c>
      <c r="P454">
        <f t="shared" si="74"/>
        <v>227.57999999999998</v>
      </c>
      <c r="Q454">
        <f t="shared" si="75"/>
        <v>33.179999999999993</v>
      </c>
      <c r="R454" t="str">
        <f t="shared" si="76"/>
        <v>Brian/Travis</v>
      </c>
      <c r="S454" t="str">
        <f t="shared" si="77"/>
        <v>Pat/Tucker</v>
      </c>
      <c r="T454">
        <f t="shared" si="78"/>
        <v>130.38</v>
      </c>
      <c r="U454">
        <f t="shared" si="79"/>
        <v>97.2</v>
      </c>
    </row>
    <row r="455" spans="1:21" x14ac:dyDescent="0.3">
      <c r="A455">
        <v>454</v>
      </c>
      <c r="B455" t="str">
        <f>H455&amp;R455&amp;I455</f>
        <v>2019Clay/Ryan13</v>
      </c>
      <c r="C455" t="str">
        <f>H455&amp;S455&amp;I455</f>
        <v>2019Eric/Blake13</v>
      </c>
      <c r="D455">
        <f t="shared" si="70"/>
        <v>576</v>
      </c>
      <c r="E455">
        <f t="shared" si="71"/>
        <v>240</v>
      </c>
      <c r="F455">
        <f t="shared" si="72"/>
        <v>355</v>
      </c>
      <c r="G455">
        <f t="shared" si="73"/>
        <v>168</v>
      </c>
      <c r="H455">
        <v>2019</v>
      </c>
      <c r="I455">
        <v>13</v>
      </c>
      <c r="J455">
        <v>63</v>
      </c>
      <c r="K455" t="s">
        <v>34</v>
      </c>
      <c r="L455">
        <v>111.12</v>
      </c>
      <c r="M455" t="s">
        <v>35</v>
      </c>
      <c r="N455">
        <v>124.34</v>
      </c>
      <c r="O455" t="s">
        <v>20</v>
      </c>
      <c r="P455">
        <f t="shared" si="74"/>
        <v>235.46</v>
      </c>
      <c r="Q455">
        <f t="shared" si="75"/>
        <v>13.219999999999999</v>
      </c>
      <c r="R455" t="str">
        <f t="shared" si="76"/>
        <v>Clay/Ryan</v>
      </c>
      <c r="S455" t="str">
        <f t="shared" si="77"/>
        <v>Eric/Blake</v>
      </c>
      <c r="T455">
        <f t="shared" si="78"/>
        <v>124.34</v>
      </c>
      <c r="U455">
        <f t="shared" si="79"/>
        <v>111.12</v>
      </c>
    </row>
    <row r="456" spans="1:21" x14ac:dyDescent="0.3">
      <c r="A456">
        <v>455</v>
      </c>
      <c r="B456" t="str">
        <f>H456&amp;R456&amp;I456</f>
        <v>2019Drew/Cam13</v>
      </c>
      <c r="C456" t="str">
        <f>H456&amp;S456&amp;I456</f>
        <v>2019Graham/Michael13</v>
      </c>
      <c r="D456">
        <f t="shared" si="70"/>
        <v>450</v>
      </c>
      <c r="E456">
        <f t="shared" si="71"/>
        <v>591</v>
      </c>
      <c r="F456">
        <f t="shared" si="72"/>
        <v>599</v>
      </c>
      <c r="G456">
        <f t="shared" si="73"/>
        <v>542</v>
      </c>
      <c r="H456">
        <v>2019</v>
      </c>
      <c r="I456">
        <v>13</v>
      </c>
      <c r="J456">
        <v>64</v>
      </c>
      <c r="K456" t="s">
        <v>37</v>
      </c>
      <c r="L456">
        <v>108.86</v>
      </c>
      <c r="M456" t="s">
        <v>29</v>
      </c>
      <c r="N456">
        <v>88.14</v>
      </c>
      <c r="O456" t="s">
        <v>20</v>
      </c>
      <c r="P456">
        <f t="shared" si="74"/>
        <v>197</v>
      </c>
      <c r="Q456">
        <f t="shared" si="75"/>
        <v>20.72</v>
      </c>
      <c r="R456" t="str">
        <f t="shared" si="76"/>
        <v>Drew/Cam</v>
      </c>
      <c r="S456" t="str">
        <f t="shared" si="77"/>
        <v>Graham/Michael</v>
      </c>
      <c r="T456">
        <f t="shared" si="78"/>
        <v>108.86</v>
      </c>
      <c r="U456">
        <f t="shared" si="79"/>
        <v>88.14</v>
      </c>
    </row>
    <row r="457" spans="1:21" x14ac:dyDescent="0.3">
      <c r="A457">
        <v>456</v>
      </c>
      <c r="B457" t="str">
        <f>H457&amp;R457&amp;I457</f>
        <v>2020Pat/Tucker1</v>
      </c>
      <c r="C457" t="str">
        <f>H457&amp;S457&amp;I457</f>
        <v>2020Clay/Ryan1</v>
      </c>
      <c r="D457">
        <f t="shared" si="70"/>
        <v>612</v>
      </c>
      <c r="E457">
        <f t="shared" si="71"/>
        <v>86</v>
      </c>
      <c r="F457">
        <f t="shared" si="72"/>
        <v>189</v>
      </c>
      <c r="G457">
        <f t="shared" si="73"/>
        <v>57</v>
      </c>
      <c r="H457">
        <v>2020</v>
      </c>
      <c r="I457">
        <v>1</v>
      </c>
      <c r="J457">
        <v>0</v>
      </c>
      <c r="K457" t="s">
        <v>35</v>
      </c>
      <c r="L457">
        <v>123.2</v>
      </c>
      <c r="M457" t="s">
        <v>31</v>
      </c>
      <c r="N457">
        <v>135.13999999999999</v>
      </c>
      <c r="O457" t="s">
        <v>20</v>
      </c>
      <c r="P457">
        <f t="shared" si="74"/>
        <v>258.33999999999997</v>
      </c>
      <c r="Q457">
        <f t="shared" si="75"/>
        <v>11.939999999999984</v>
      </c>
      <c r="R457" t="str">
        <f t="shared" si="76"/>
        <v>Pat/Tucker</v>
      </c>
      <c r="S457" t="str">
        <f t="shared" si="77"/>
        <v>Clay/Ryan</v>
      </c>
      <c r="T457">
        <f t="shared" si="78"/>
        <v>135.13999999999999</v>
      </c>
      <c r="U457">
        <f t="shared" si="79"/>
        <v>123.2</v>
      </c>
    </row>
    <row r="458" spans="1:21" x14ac:dyDescent="0.3">
      <c r="A458">
        <v>457</v>
      </c>
      <c r="B458" t="str">
        <f>H458&amp;R458&amp;I458</f>
        <v>2020David/Marshall1</v>
      </c>
      <c r="C458" t="str">
        <f>H458&amp;S458&amp;I458</f>
        <v>2020Eric/Blake1</v>
      </c>
      <c r="D458">
        <f t="shared" si="70"/>
        <v>550</v>
      </c>
      <c r="E458">
        <f t="shared" si="71"/>
        <v>381</v>
      </c>
      <c r="F458">
        <f t="shared" si="72"/>
        <v>470</v>
      </c>
      <c r="G458">
        <f t="shared" si="73"/>
        <v>276</v>
      </c>
      <c r="H458">
        <v>2020</v>
      </c>
      <c r="I458">
        <v>1</v>
      </c>
      <c r="J458">
        <v>1</v>
      </c>
      <c r="K458" t="s">
        <v>38</v>
      </c>
      <c r="L458">
        <v>117.36</v>
      </c>
      <c r="M458" t="s">
        <v>34</v>
      </c>
      <c r="N458">
        <v>102.76</v>
      </c>
      <c r="O458" t="s">
        <v>20</v>
      </c>
      <c r="P458">
        <f t="shared" si="74"/>
        <v>220.12</v>
      </c>
      <c r="Q458">
        <f t="shared" si="75"/>
        <v>14.599999999999994</v>
      </c>
      <c r="R458" t="str">
        <f t="shared" si="76"/>
        <v>David/Marshall</v>
      </c>
      <c r="S458" t="str">
        <f t="shared" si="77"/>
        <v>Eric/Blake</v>
      </c>
      <c r="T458">
        <f t="shared" si="78"/>
        <v>117.36</v>
      </c>
      <c r="U458">
        <f t="shared" si="79"/>
        <v>102.76</v>
      </c>
    </row>
    <row r="459" spans="1:21" x14ac:dyDescent="0.3">
      <c r="A459">
        <v>458</v>
      </c>
      <c r="B459" t="str">
        <f>H459&amp;R459&amp;I459</f>
        <v>2020Trent/Colin1</v>
      </c>
      <c r="C459" t="str">
        <f>H459&amp;S459&amp;I459</f>
        <v>2020Drew/Cam1</v>
      </c>
      <c r="D459">
        <f t="shared" si="70"/>
        <v>200</v>
      </c>
      <c r="E459">
        <f t="shared" si="71"/>
        <v>365</v>
      </c>
      <c r="F459">
        <f t="shared" si="72"/>
        <v>250</v>
      </c>
      <c r="G459">
        <f t="shared" si="73"/>
        <v>473</v>
      </c>
      <c r="H459">
        <v>2020</v>
      </c>
      <c r="I459">
        <v>1</v>
      </c>
      <c r="J459">
        <v>2</v>
      </c>
      <c r="K459" t="s">
        <v>33</v>
      </c>
      <c r="L459">
        <v>130.41999999999999</v>
      </c>
      <c r="M459" t="s">
        <v>37</v>
      </c>
      <c r="N459">
        <v>91.68</v>
      </c>
      <c r="O459" t="s">
        <v>20</v>
      </c>
      <c r="P459">
        <f t="shared" si="74"/>
        <v>222.1</v>
      </c>
      <c r="Q459">
        <f t="shared" si="75"/>
        <v>38.739999999999981</v>
      </c>
      <c r="R459" t="str">
        <f t="shared" si="76"/>
        <v>Trent/Colin</v>
      </c>
      <c r="S459" t="str">
        <f t="shared" si="77"/>
        <v>Drew/Cam</v>
      </c>
      <c r="T459">
        <f t="shared" si="78"/>
        <v>130.41999999999999</v>
      </c>
      <c r="U459">
        <f t="shared" si="79"/>
        <v>91.68</v>
      </c>
    </row>
    <row r="460" spans="1:21" x14ac:dyDescent="0.3">
      <c r="A460">
        <v>459</v>
      </c>
      <c r="B460" t="str">
        <f>H460&amp;R460&amp;I460</f>
        <v>2020Dave/Nolan1</v>
      </c>
      <c r="C460" t="str">
        <f>H460&amp;S460&amp;I460</f>
        <v>2020Walker/Cory1</v>
      </c>
      <c r="D460">
        <f t="shared" si="70"/>
        <v>294</v>
      </c>
      <c r="E460">
        <f t="shared" si="71"/>
        <v>292</v>
      </c>
      <c r="F460">
        <f t="shared" si="72"/>
        <v>259</v>
      </c>
      <c r="G460">
        <f t="shared" si="73"/>
        <v>343</v>
      </c>
      <c r="H460">
        <v>2020</v>
      </c>
      <c r="I460">
        <v>1</v>
      </c>
      <c r="J460">
        <v>3</v>
      </c>
      <c r="K460" t="s">
        <v>30</v>
      </c>
      <c r="L460">
        <v>129.69999999999999</v>
      </c>
      <c r="M460" t="s">
        <v>36</v>
      </c>
      <c r="N460">
        <v>99.18</v>
      </c>
      <c r="O460" t="s">
        <v>20</v>
      </c>
      <c r="P460">
        <f t="shared" si="74"/>
        <v>228.88</v>
      </c>
      <c r="Q460">
        <f t="shared" si="75"/>
        <v>30.519999999999982</v>
      </c>
      <c r="R460" t="str">
        <f t="shared" si="76"/>
        <v>Dave/Nolan</v>
      </c>
      <c r="S460" t="str">
        <f t="shared" si="77"/>
        <v>Walker/Cory</v>
      </c>
      <c r="T460">
        <f t="shared" si="78"/>
        <v>129.69999999999999</v>
      </c>
      <c r="U460">
        <f t="shared" si="79"/>
        <v>99.18</v>
      </c>
    </row>
    <row r="461" spans="1:21" x14ac:dyDescent="0.3">
      <c r="A461">
        <v>460</v>
      </c>
      <c r="B461" t="str">
        <f>H461&amp;R461&amp;I461</f>
        <v>2020Graham/Michael1</v>
      </c>
      <c r="C461" t="str">
        <f>H461&amp;S461&amp;I461</f>
        <v>2020Brian/Travis1</v>
      </c>
      <c r="D461">
        <f t="shared" si="70"/>
        <v>408</v>
      </c>
      <c r="E461">
        <f t="shared" si="71"/>
        <v>613</v>
      </c>
      <c r="F461">
        <f t="shared" si="72"/>
        <v>604</v>
      </c>
      <c r="G461">
        <f t="shared" si="73"/>
        <v>601</v>
      </c>
      <c r="H461">
        <v>2020</v>
      </c>
      <c r="I461">
        <v>1</v>
      </c>
      <c r="J461">
        <v>4</v>
      </c>
      <c r="K461" t="s">
        <v>32</v>
      </c>
      <c r="L461">
        <v>85.74</v>
      </c>
      <c r="M461" t="s">
        <v>29</v>
      </c>
      <c r="N461">
        <v>108.5</v>
      </c>
      <c r="O461" t="s">
        <v>20</v>
      </c>
      <c r="P461">
        <f t="shared" si="74"/>
        <v>194.24</v>
      </c>
      <c r="Q461">
        <f t="shared" si="75"/>
        <v>22.760000000000005</v>
      </c>
      <c r="R461" t="str">
        <f t="shared" si="76"/>
        <v>Graham/Michael</v>
      </c>
      <c r="S461" t="str">
        <f t="shared" si="77"/>
        <v>Brian/Travis</v>
      </c>
      <c r="T461">
        <f t="shared" si="78"/>
        <v>108.5</v>
      </c>
      <c r="U461">
        <f t="shared" si="79"/>
        <v>85.74</v>
      </c>
    </row>
    <row r="462" spans="1:21" x14ac:dyDescent="0.3">
      <c r="A462">
        <v>461</v>
      </c>
      <c r="B462" t="str">
        <f>H462&amp;R462&amp;I462</f>
        <v>2020Drew/Cam2</v>
      </c>
      <c r="C462" t="str">
        <f>H462&amp;S462&amp;I462</f>
        <v>2020Eric/Blake2</v>
      </c>
      <c r="D462">
        <f t="shared" si="70"/>
        <v>590</v>
      </c>
      <c r="E462">
        <f t="shared" si="71"/>
        <v>304</v>
      </c>
      <c r="F462">
        <f t="shared" si="72"/>
        <v>426</v>
      </c>
      <c r="G462">
        <f t="shared" si="73"/>
        <v>213</v>
      </c>
      <c r="H462">
        <v>2020</v>
      </c>
      <c r="I462">
        <v>2</v>
      </c>
      <c r="J462">
        <v>5</v>
      </c>
      <c r="K462" t="s">
        <v>34</v>
      </c>
      <c r="L462">
        <v>107.52</v>
      </c>
      <c r="M462" t="s">
        <v>37</v>
      </c>
      <c r="N462">
        <v>120.3</v>
      </c>
      <c r="O462" t="s">
        <v>20</v>
      </c>
      <c r="P462">
        <f t="shared" si="74"/>
        <v>227.82</v>
      </c>
      <c r="Q462">
        <f t="shared" si="75"/>
        <v>12.780000000000001</v>
      </c>
      <c r="R462" t="str">
        <f t="shared" si="76"/>
        <v>Drew/Cam</v>
      </c>
      <c r="S462" t="str">
        <f t="shared" si="77"/>
        <v>Eric/Blake</v>
      </c>
      <c r="T462">
        <f t="shared" si="78"/>
        <v>120.3</v>
      </c>
      <c r="U462">
        <f t="shared" si="79"/>
        <v>107.52</v>
      </c>
    </row>
    <row r="463" spans="1:21" x14ac:dyDescent="0.3">
      <c r="A463">
        <v>462</v>
      </c>
      <c r="B463" t="str">
        <f>H463&amp;R463&amp;I463</f>
        <v>2020Clay/Ryan2</v>
      </c>
      <c r="C463" t="str">
        <f>H463&amp;S463&amp;I463</f>
        <v>2020Walker/Cory2</v>
      </c>
      <c r="D463">
        <f t="shared" si="70"/>
        <v>706</v>
      </c>
      <c r="E463">
        <f t="shared" si="71"/>
        <v>173</v>
      </c>
      <c r="F463">
        <f t="shared" si="72"/>
        <v>322</v>
      </c>
      <c r="G463">
        <f t="shared" si="73"/>
        <v>90</v>
      </c>
      <c r="H463">
        <v>2020</v>
      </c>
      <c r="I463">
        <v>2</v>
      </c>
      <c r="J463">
        <v>6</v>
      </c>
      <c r="K463" t="s">
        <v>36</v>
      </c>
      <c r="L463">
        <v>118.28</v>
      </c>
      <c r="M463" t="s">
        <v>35</v>
      </c>
      <c r="N463">
        <v>125.9</v>
      </c>
      <c r="O463" t="s">
        <v>20</v>
      </c>
      <c r="P463">
        <f t="shared" si="74"/>
        <v>244.18</v>
      </c>
      <c r="Q463">
        <f t="shared" si="75"/>
        <v>7.6200000000000045</v>
      </c>
      <c r="R463" t="str">
        <f t="shared" si="76"/>
        <v>Clay/Ryan</v>
      </c>
      <c r="S463" t="str">
        <f t="shared" si="77"/>
        <v>Walker/Cory</v>
      </c>
      <c r="T463">
        <f t="shared" si="78"/>
        <v>125.9</v>
      </c>
      <c r="U463">
        <f t="shared" si="79"/>
        <v>118.28</v>
      </c>
    </row>
    <row r="464" spans="1:21" x14ac:dyDescent="0.3">
      <c r="A464">
        <v>463</v>
      </c>
      <c r="B464" t="str">
        <f>H464&amp;R464&amp;I464</f>
        <v>2020Pat/Tucker2</v>
      </c>
      <c r="C464" t="str">
        <f>H464&amp;S464&amp;I464</f>
        <v>2020Graham/Michael2</v>
      </c>
      <c r="D464">
        <f t="shared" si="70"/>
        <v>180</v>
      </c>
      <c r="E464">
        <f t="shared" si="71"/>
        <v>49</v>
      </c>
      <c r="F464">
        <f t="shared" si="72"/>
        <v>39</v>
      </c>
      <c r="G464">
        <f t="shared" si="73"/>
        <v>126</v>
      </c>
      <c r="H464">
        <v>2020</v>
      </c>
      <c r="I464">
        <v>2</v>
      </c>
      <c r="J464">
        <v>7</v>
      </c>
      <c r="K464" t="s">
        <v>29</v>
      </c>
      <c r="L464">
        <v>115.16</v>
      </c>
      <c r="M464" t="s">
        <v>31</v>
      </c>
      <c r="N464">
        <v>156.69999999999999</v>
      </c>
      <c r="O464" t="s">
        <v>20</v>
      </c>
      <c r="P464">
        <f t="shared" si="74"/>
        <v>271.86</v>
      </c>
      <c r="Q464">
        <f t="shared" si="75"/>
        <v>41.539999999999992</v>
      </c>
      <c r="R464" t="str">
        <f t="shared" si="76"/>
        <v>Pat/Tucker</v>
      </c>
      <c r="S464" t="str">
        <f t="shared" si="77"/>
        <v>Graham/Michael</v>
      </c>
      <c r="T464">
        <f t="shared" si="78"/>
        <v>156.69999999999999</v>
      </c>
      <c r="U464">
        <f t="shared" si="79"/>
        <v>115.16</v>
      </c>
    </row>
    <row r="465" spans="1:21" x14ac:dyDescent="0.3">
      <c r="A465">
        <v>464</v>
      </c>
      <c r="B465" t="str">
        <f>H465&amp;R465&amp;I465</f>
        <v>2020David/Marshall2</v>
      </c>
      <c r="C465" t="str">
        <f>H465&amp;S465&amp;I465</f>
        <v>2020Dave/Nolan2</v>
      </c>
      <c r="D465">
        <f t="shared" si="70"/>
        <v>84</v>
      </c>
      <c r="E465">
        <f t="shared" si="71"/>
        <v>21</v>
      </c>
      <c r="F465">
        <f t="shared" si="72"/>
        <v>17</v>
      </c>
      <c r="G465">
        <f t="shared" si="73"/>
        <v>136</v>
      </c>
      <c r="H465">
        <v>2020</v>
      </c>
      <c r="I465">
        <v>2</v>
      </c>
      <c r="J465">
        <v>8</v>
      </c>
      <c r="K465" t="s">
        <v>30</v>
      </c>
      <c r="L465">
        <v>114.28</v>
      </c>
      <c r="M465" t="s">
        <v>38</v>
      </c>
      <c r="N465">
        <v>167.28</v>
      </c>
      <c r="O465" t="s">
        <v>20</v>
      </c>
      <c r="P465">
        <f t="shared" si="74"/>
        <v>281.56</v>
      </c>
      <c r="Q465">
        <f t="shared" si="75"/>
        <v>53</v>
      </c>
      <c r="R465" t="str">
        <f t="shared" si="76"/>
        <v>David/Marshall</v>
      </c>
      <c r="S465" t="str">
        <f t="shared" si="77"/>
        <v>Dave/Nolan</v>
      </c>
      <c r="T465">
        <f t="shared" si="78"/>
        <v>167.28</v>
      </c>
      <c r="U465">
        <f t="shared" si="79"/>
        <v>114.28</v>
      </c>
    </row>
    <row r="466" spans="1:21" x14ac:dyDescent="0.3">
      <c r="A466">
        <v>465</v>
      </c>
      <c r="B466" t="str">
        <f>H466&amp;R466&amp;I466</f>
        <v>2020Brian/Travis2</v>
      </c>
      <c r="C466" t="str">
        <f>H466&amp;S466&amp;I466</f>
        <v>2020Trent/Colin2</v>
      </c>
      <c r="D466">
        <f t="shared" si="70"/>
        <v>11</v>
      </c>
      <c r="E466">
        <f t="shared" si="71"/>
        <v>276</v>
      </c>
      <c r="F466">
        <f t="shared" si="72"/>
        <v>47</v>
      </c>
      <c r="G466">
        <f t="shared" si="73"/>
        <v>729</v>
      </c>
      <c r="H466">
        <v>2020</v>
      </c>
      <c r="I466">
        <v>2</v>
      </c>
      <c r="J466">
        <v>9</v>
      </c>
      <c r="K466" t="s">
        <v>32</v>
      </c>
      <c r="L466">
        <v>154.97999999999999</v>
      </c>
      <c r="M466" t="s">
        <v>33</v>
      </c>
      <c r="N466">
        <v>75.099999999999994</v>
      </c>
      <c r="O466" t="s">
        <v>20</v>
      </c>
      <c r="P466">
        <f t="shared" si="74"/>
        <v>230.07999999999998</v>
      </c>
      <c r="Q466">
        <f t="shared" si="75"/>
        <v>79.88</v>
      </c>
      <c r="R466" t="str">
        <f t="shared" si="76"/>
        <v>Brian/Travis</v>
      </c>
      <c r="S466" t="str">
        <f t="shared" si="77"/>
        <v>Trent/Colin</v>
      </c>
      <c r="T466">
        <f t="shared" si="78"/>
        <v>154.97999999999999</v>
      </c>
      <c r="U466">
        <f t="shared" si="79"/>
        <v>75.099999999999994</v>
      </c>
    </row>
    <row r="467" spans="1:21" x14ac:dyDescent="0.3">
      <c r="A467">
        <v>466</v>
      </c>
      <c r="B467" t="str">
        <f>H467&amp;R467&amp;I467</f>
        <v>2020Walker/Cory3</v>
      </c>
      <c r="C467" t="str">
        <f>H467&amp;S467&amp;I467</f>
        <v>2020Graham/Michael3</v>
      </c>
      <c r="D467">
        <f t="shared" si="70"/>
        <v>624</v>
      </c>
      <c r="E467">
        <f t="shared" si="71"/>
        <v>211</v>
      </c>
      <c r="F467">
        <f t="shared" si="72"/>
        <v>332</v>
      </c>
      <c r="G467">
        <f t="shared" si="73"/>
        <v>139</v>
      </c>
      <c r="H467">
        <v>2020</v>
      </c>
      <c r="I467">
        <v>3</v>
      </c>
      <c r="J467">
        <v>10</v>
      </c>
      <c r="K467" t="s">
        <v>36</v>
      </c>
      <c r="L467">
        <v>125.3</v>
      </c>
      <c r="M467" t="s">
        <v>29</v>
      </c>
      <c r="N467">
        <v>114.18</v>
      </c>
      <c r="O467" t="s">
        <v>20</v>
      </c>
      <c r="P467">
        <f t="shared" si="74"/>
        <v>239.48000000000002</v>
      </c>
      <c r="Q467">
        <f t="shared" si="75"/>
        <v>11.11999999999999</v>
      </c>
      <c r="R467" t="str">
        <f t="shared" si="76"/>
        <v>Walker/Cory</v>
      </c>
      <c r="S467" t="str">
        <f t="shared" si="77"/>
        <v>Graham/Michael</v>
      </c>
      <c r="T467">
        <f t="shared" si="78"/>
        <v>125.3</v>
      </c>
      <c r="U467">
        <f t="shared" si="79"/>
        <v>114.18</v>
      </c>
    </row>
    <row r="468" spans="1:21" x14ac:dyDescent="0.3">
      <c r="A468">
        <v>467</v>
      </c>
      <c r="B468" t="str">
        <f>H468&amp;R468&amp;I468</f>
        <v>2020Dave/Nolan3</v>
      </c>
      <c r="C468" t="str">
        <f>H468&amp;S468&amp;I468</f>
        <v>2020Eric/Blake3</v>
      </c>
      <c r="D468">
        <f t="shared" si="70"/>
        <v>191</v>
      </c>
      <c r="E468">
        <f t="shared" si="71"/>
        <v>45</v>
      </c>
      <c r="F468">
        <f t="shared" si="72"/>
        <v>41</v>
      </c>
      <c r="G468">
        <f t="shared" si="73"/>
        <v>109</v>
      </c>
      <c r="H468">
        <v>2020</v>
      </c>
      <c r="I468">
        <v>3</v>
      </c>
      <c r="J468">
        <v>11</v>
      </c>
      <c r="K468" t="s">
        <v>34</v>
      </c>
      <c r="L468">
        <v>116.42</v>
      </c>
      <c r="M468" t="s">
        <v>30</v>
      </c>
      <c r="N468">
        <v>156.6</v>
      </c>
      <c r="O468" t="s">
        <v>20</v>
      </c>
      <c r="P468">
        <f t="shared" si="74"/>
        <v>273.02</v>
      </c>
      <c r="Q468">
        <f t="shared" si="75"/>
        <v>40.179999999999993</v>
      </c>
      <c r="R468" t="str">
        <f t="shared" si="76"/>
        <v>Dave/Nolan</v>
      </c>
      <c r="S468" t="str">
        <f t="shared" si="77"/>
        <v>Eric/Blake</v>
      </c>
      <c r="T468">
        <f t="shared" si="78"/>
        <v>156.6</v>
      </c>
      <c r="U468">
        <f t="shared" si="79"/>
        <v>116.42</v>
      </c>
    </row>
    <row r="469" spans="1:21" x14ac:dyDescent="0.3">
      <c r="A469">
        <v>468</v>
      </c>
      <c r="B469" t="str">
        <f>H469&amp;R469&amp;I469</f>
        <v>2020Brian/Travis3</v>
      </c>
      <c r="C469" t="str">
        <f>H469&amp;S469&amp;I469</f>
        <v>2020Drew/Cam3</v>
      </c>
      <c r="D469">
        <f t="shared" si="70"/>
        <v>515</v>
      </c>
      <c r="E469">
        <f t="shared" si="71"/>
        <v>339</v>
      </c>
      <c r="F469">
        <f t="shared" si="72"/>
        <v>420</v>
      </c>
      <c r="G469">
        <f t="shared" si="73"/>
        <v>259</v>
      </c>
      <c r="H469">
        <v>2020</v>
      </c>
      <c r="I469">
        <v>3</v>
      </c>
      <c r="J469">
        <v>12</v>
      </c>
      <c r="K469" t="s">
        <v>37</v>
      </c>
      <c r="L469">
        <v>103.64</v>
      </c>
      <c r="M469" t="s">
        <v>32</v>
      </c>
      <c r="N469">
        <v>120.6</v>
      </c>
      <c r="O469" t="s">
        <v>20</v>
      </c>
      <c r="P469">
        <f t="shared" si="74"/>
        <v>224.24</v>
      </c>
      <c r="Q469">
        <f t="shared" si="75"/>
        <v>16.959999999999994</v>
      </c>
      <c r="R469" t="str">
        <f t="shared" si="76"/>
        <v>Brian/Travis</v>
      </c>
      <c r="S469" t="str">
        <f t="shared" si="77"/>
        <v>Drew/Cam</v>
      </c>
      <c r="T469">
        <f t="shared" si="78"/>
        <v>120.6</v>
      </c>
      <c r="U469">
        <f t="shared" si="79"/>
        <v>103.64</v>
      </c>
    </row>
    <row r="470" spans="1:21" x14ac:dyDescent="0.3">
      <c r="A470">
        <v>469</v>
      </c>
      <c r="B470" t="str">
        <f>H470&amp;R470&amp;I470</f>
        <v>2020David/Marshall3</v>
      </c>
      <c r="C470" t="str">
        <f>H470&amp;S470&amp;I470</f>
        <v>2020Clay/Ryan3</v>
      </c>
      <c r="D470">
        <f t="shared" si="70"/>
        <v>137</v>
      </c>
      <c r="E470">
        <f t="shared" si="71"/>
        <v>258</v>
      </c>
      <c r="F470">
        <f t="shared" si="72"/>
        <v>145</v>
      </c>
      <c r="G470">
        <f t="shared" si="73"/>
        <v>444</v>
      </c>
      <c r="H470">
        <v>2020</v>
      </c>
      <c r="I470">
        <v>3</v>
      </c>
      <c r="J470">
        <v>13</v>
      </c>
      <c r="K470" t="s">
        <v>35</v>
      </c>
      <c r="L470">
        <v>93.8</v>
      </c>
      <c r="M470" t="s">
        <v>38</v>
      </c>
      <c r="N470">
        <v>139.28</v>
      </c>
      <c r="O470" t="s">
        <v>20</v>
      </c>
      <c r="P470">
        <f t="shared" si="74"/>
        <v>233.07999999999998</v>
      </c>
      <c r="Q470">
        <f t="shared" si="75"/>
        <v>45.480000000000004</v>
      </c>
      <c r="R470" t="str">
        <f t="shared" si="76"/>
        <v>David/Marshall</v>
      </c>
      <c r="S470" t="str">
        <f t="shared" si="77"/>
        <v>Clay/Ryan</v>
      </c>
      <c r="T470">
        <f t="shared" si="78"/>
        <v>139.28</v>
      </c>
      <c r="U470">
        <f t="shared" si="79"/>
        <v>93.8</v>
      </c>
    </row>
    <row r="471" spans="1:21" x14ac:dyDescent="0.3">
      <c r="A471">
        <v>470</v>
      </c>
      <c r="B471" t="str">
        <f>H471&amp;R471&amp;I471</f>
        <v>2020Pat/Tucker3</v>
      </c>
      <c r="C471" t="str">
        <f>H471&amp;S471&amp;I471</f>
        <v>2020Trent/Colin3</v>
      </c>
      <c r="D471">
        <f t="shared" si="70"/>
        <v>570</v>
      </c>
      <c r="E471">
        <f t="shared" si="71"/>
        <v>106</v>
      </c>
      <c r="F471">
        <f t="shared" si="72"/>
        <v>200</v>
      </c>
      <c r="G471">
        <f t="shared" si="73"/>
        <v>68</v>
      </c>
      <c r="H471">
        <v>2020</v>
      </c>
      <c r="I471">
        <v>3</v>
      </c>
      <c r="J471">
        <v>14</v>
      </c>
      <c r="K471" t="s">
        <v>31</v>
      </c>
      <c r="L471">
        <v>134.28</v>
      </c>
      <c r="M471" t="s">
        <v>33</v>
      </c>
      <c r="N471">
        <v>120.76</v>
      </c>
      <c r="O471" t="s">
        <v>20</v>
      </c>
      <c r="P471">
        <f t="shared" si="74"/>
        <v>255.04000000000002</v>
      </c>
      <c r="Q471">
        <f t="shared" si="75"/>
        <v>13.519999999999996</v>
      </c>
      <c r="R471" t="str">
        <f t="shared" si="76"/>
        <v>Pat/Tucker</v>
      </c>
      <c r="S471" t="str">
        <f t="shared" si="77"/>
        <v>Trent/Colin</v>
      </c>
      <c r="T471">
        <f t="shared" si="78"/>
        <v>134.28</v>
      </c>
      <c r="U471">
        <f t="shared" si="79"/>
        <v>120.76</v>
      </c>
    </row>
    <row r="472" spans="1:21" x14ac:dyDescent="0.3">
      <c r="A472">
        <v>471</v>
      </c>
      <c r="B472" t="str">
        <f>H472&amp;R472&amp;I472</f>
        <v>2020Brian/Travis4</v>
      </c>
      <c r="C472" t="str">
        <f>H472&amp;S472&amp;I472</f>
        <v>2020Dave/Nolan4</v>
      </c>
      <c r="D472">
        <f t="shared" si="70"/>
        <v>241</v>
      </c>
      <c r="E472">
        <f t="shared" si="71"/>
        <v>189</v>
      </c>
      <c r="F472">
        <f t="shared" si="72"/>
        <v>151</v>
      </c>
      <c r="G472">
        <f t="shared" si="73"/>
        <v>262</v>
      </c>
      <c r="H472">
        <v>2020</v>
      </c>
      <c r="I472">
        <v>4</v>
      </c>
      <c r="J472">
        <v>15</v>
      </c>
      <c r="K472" t="s">
        <v>30</v>
      </c>
      <c r="L472">
        <v>103.52</v>
      </c>
      <c r="M472" t="s">
        <v>32</v>
      </c>
      <c r="N472">
        <v>138.63999999999999</v>
      </c>
      <c r="O472" t="s">
        <v>20</v>
      </c>
      <c r="P472">
        <f t="shared" si="74"/>
        <v>242.15999999999997</v>
      </c>
      <c r="Q472">
        <f t="shared" si="75"/>
        <v>35.11999999999999</v>
      </c>
      <c r="R472" t="str">
        <f t="shared" si="76"/>
        <v>Brian/Travis</v>
      </c>
      <c r="S472" t="str">
        <f t="shared" si="77"/>
        <v>Dave/Nolan</v>
      </c>
      <c r="T472">
        <f t="shared" si="78"/>
        <v>138.63999999999999</v>
      </c>
      <c r="U472">
        <f t="shared" si="79"/>
        <v>103.52</v>
      </c>
    </row>
    <row r="473" spans="1:21" x14ac:dyDescent="0.3">
      <c r="A473">
        <v>472</v>
      </c>
      <c r="B473" t="str">
        <f>H473&amp;R473&amp;I473</f>
        <v>2020David/Marshall4</v>
      </c>
      <c r="C473" t="str">
        <f>H473&amp;S473&amp;I473</f>
        <v>2020Walker/Cory4</v>
      </c>
      <c r="D473">
        <f t="shared" si="70"/>
        <v>427</v>
      </c>
      <c r="E473">
        <f t="shared" si="71"/>
        <v>19</v>
      </c>
      <c r="F473">
        <f t="shared" si="72"/>
        <v>57</v>
      </c>
      <c r="G473">
        <f t="shared" si="73"/>
        <v>25</v>
      </c>
      <c r="H473">
        <v>2020</v>
      </c>
      <c r="I473">
        <v>4</v>
      </c>
      <c r="J473">
        <v>16</v>
      </c>
      <c r="K473" t="s">
        <v>38</v>
      </c>
      <c r="L473">
        <v>152.66</v>
      </c>
      <c r="M473" t="s">
        <v>36</v>
      </c>
      <c r="N473">
        <v>130.6</v>
      </c>
      <c r="O473" t="s">
        <v>20</v>
      </c>
      <c r="P473">
        <f t="shared" si="74"/>
        <v>283.26</v>
      </c>
      <c r="Q473">
        <f t="shared" si="75"/>
        <v>22.060000000000002</v>
      </c>
      <c r="R473" t="str">
        <f t="shared" si="76"/>
        <v>David/Marshall</v>
      </c>
      <c r="S473" t="str">
        <f t="shared" si="77"/>
        <v>Walker/Cory</v>
      </c>
      <c r="T473">
        <f t="shared" si="78"/>
        <v>152.66</v>
      </c>
      <c r="U473">
        <f t="shared" si="79"/>
        <v>130.6</v>
      </c>
    </row>
    <row r="474" spans="1:21" x14ac:dyDescent="0.3">
      <c r="A474">
        <v>473</v>
      </c>
      <c r="B474" t="str">
        <f>H474&amp;R474&amp;I474</f>
        <v>2020Graham/Michael4</v>
      </c>
      <c r="C474" t="str">
        <f>H474&amp;S474&amp;I474</f>
        <v>2020Trent/Colin4</v>
      </c>
      <c r="D474">
        <f t="shared" si="70"/>
        <v>865</v>
      </c>
      <c r="E474">
        <f t="shared" si="71"/>
        <v>501</v>
      </c>
      <c r="F474">
        <f t="shared" si="72"/>
        <v>675</v>
      </c>
      <c r="G474">
        <f t="shared" si="73"/>
        <v>271</v>
      </c>
      <c r="H474">
        <v>2020</v>
      </c>
      <c r="I474">
        <v>4</v>
      </c>
      <c r="J474">
        <v>17</v>
      </c>
      <c r="K474" t="s">
        <v>33</v>
      </c>
      <c r="L474">
        <v>103.2</v>
      </c>
      <c r="M474" t="s">
        <v>29</v>
      </c>
      <c r="N474">
        <v>103.32</v>
      </c>
      <c r="O474" t="s">
        <v>20</v>
      </c>
      <c r="P474">
        <f t="shared" si="74"/>
        <v>206.51999999999998</v>
      </c>
      <c r="Q474">
        <f t="shared" si="75"/>
        <v>0.11999999999999034</v>
      </c>
      <c r="R474" t="str">
        <f t="shared" si="76"/>
        <v>Graham/Michael</v>
      </c>
      <c r="S474" t="str">
        <f t="shared" si="77"/>
        <v>Trent/Colin</v>
      </c>
      <c r="T474">
        <f t="shared" si="78"/>
        <v>103.32</v>
      </c>
      <c r="U474">
        <f t="shared" si="79"/>
        <v>103.2</v>
      </c>
    </row>
    <row r="475" spans="1:21" x14ac:dyDescent="0.3">
      <c r="A475">
        <v>474</v>
      </c>
      <c r="B475" t="str">
        <f>H475&amp;R475&amp;I475</f>
        <v>2020Clay/Ryan4</v>
      </c>
      <c r="C475" t="str">
        <f>H475&amp;S475&amp;I475</f>
        <v>2020Eric/Blake4</v>
      </c>
      <c r="D475">
        <f t="shared" si="70"/>
        <v>307</v>
      </c>
      <c r="E475">
        <f t="shared" si="71"/>
        <v>548</v>
      </c>
      <c r="F475">
        <f t="shared" si="72"/>
        <v>495</v>
      </c>
      <c r="G475">
        <f t="shared" si="73"/>
        <v>596</v>
      </c>
      <c r="H475">
        <v>2020</v>
      </c>
      <c r="I475">
        <v>4</v>
      </c>
      <c r="J475">
        <v>18</v>
      </c>
      <c r="K475" t="s">
        <v>35</v>
      </c>
      <c r="L475">
        <v>115.96</v>
      </c>
      <c r="M475" t="s">
        <v>34</v>
      </c>
      <c r="N475">
        <v>86.3</v>
      </c>
      <c r="O475" t="s">
        <v>20</v>
      </c>
      <c r="P475">
        <f t="shared" si="74"/>
        <v>202.26</v>
      </c>
      <c r="Q475">
        <f t="shared" si="75"/>
        <v>29.659999999999997</v>
      </c>
      <c r="R475" t="str">
        <f t="shared" si="76"/>
        <v>Clay/Ryan</v>
      </c>
      <c r="S475" t="str">
        <f t="shared" si="77"/>
        <v>Eric/Blake</v>
      </c>
      <c r="T475">
        <f t="shared" si="78"/>
        <v>115.96</v>
      </c>
      <c r="U475">
        <f t="shared" si="79"/>
        <v>86.3</v>
      </c>
    </row>
    <row r="476" spans="1:21" x14ac:dyDescent="0.3">
      <c r="A476">
        <v>475</v>
      </c>
      <c r="B476" t="str">
        <f>H476&amp;R476&amp;I476</f>
        <v>2020Pat/Tucker4</v>
      </c>
      <c r="C476" t="str">
        <f>H476&amp;S476&amp;I476</f>
        <v>2020Drew/Cam4</v>
      </c>
      <c r="D476">
        <f t="shared" si="70"/>
        <v>145</v>
      </c>
      <c r="E476">
        <f t="shared" si="71"/>
        <v>7</v>
      </c>
      <c r="F476">
        <f t="shared" si="72"/>
        <v>10</v>
      </c>
      <c r="G476">
        <f t="shared" si="73"/>
        <v>33</v>
      </c>
      <c r="H476">
        <v>2020</v>
      </c>
      <c r="I476">
        <v>4</v>
      </c>
      <c r="J476">
        <v>19</v>
      </c>
      <c r="K476" t="s">
        <v>31</v>
      </c>
      <c r="L476">
        <v>171.38</v>
      </c>
      <c r="M476" t="s">
        <v>37</v>
      </c>
      <c r="N476">
        <v>127.21</v>
      </c>
      <c r="O476" t="s">
        <v>20</v>
      </c>
      <c r="P476">
        <f t="shared" si="74"/>
        <v>298.58999999999997</v>
      </c>
      <c r="Q476">
        <f t="shared" si="75"/>
        <v>44.17</v>
      </c>
      <c r="R476" t="str">
        <f t="shared" si="76"/>
        <v>Pat/Tucker</v>
      </c>
      <c r="S476" t="str">
        <f t="shared" si="77"/>
        <v>Drew/Cam</v>
      </c>
      <c r="T476">
        <f t="shared" si="78"/>
        <v>171.38</v>
      </c>
      <c r="U476">
        <f t="shared" si="79"/>
        <v>127.21</v>
      </c>
    </row>
    <row r="477" spans="1:21" x14ac:dyDescent="0.3">
      <c r="A477">
        <v>476</v>
      </c>
      <c r="B477" t="str">
        <f>H477&amp;R477&amp;I477</f>
        <v>2020David/Marshall5</v>
      </c>
      <c r="C477" t="str">
        <f>H477&amp;S477&amp;I477</f>
        <v>2020Trent/Colin5</v>
      </c>
      <c r="D477">
        <f t="shared" si="70"/>
        <v>499</v>
      </c>
      <c r="E477">
        <f t="shared" si="71"/>
        <v>642</v>
      </c>
      <c r="F477">
        <f t="shared" si="72"/>
        <v>660</v>
      </c>
      <c r="G477">
        <f t="shared" si="73"/>
        <v>593</v>
      </c>
      <c r="H477">
        <v>2020</v>
      </c>
      <c r="I477">
        <v>5</v>
      </c>
      <c r="J477">
        <v>20</v>
      </c>
      <c r="K477" t="s">
        <v>38</v>
      </c>
      <c r="L477">
        <v>104.44</v>
      </c>
      <c r="M477" t="s">
        <v>33</v>
      </c>
      <c r="N477">
        <v>86.46</v>
      </c>
      <c r="O477" t="s">
        <v>20</v>
      </c>
      <c r="P477">
        <f t="shared" si="74"/>
        <v>190.89999999999998</v>
      </c>
      <c r="Q477">
        <f t="shared" si="75"/>
        <v>17.980000000000004</v>
      </c>
      <c r="R477" t="str">
        <f t="shared" si="76"/>
        <v>David/Marshall</v>
      </c>
      <c r="S477" t="str">
        <f t="shared" si="77"/>
        <v>Trent/Colin</v>
      </c>
      <c r="T477">
        <f t="shared" si="78"/>
        <v>104.44</v>
      </c>
      <c r="U477">
        <f t="shared" si="79"/>
        <v>86.46</v>
      </c>
    </row>
    <row r="478" spans="1:21" x14ac:dyDescent="0.3">
      <c r="A478">
        <v>477</v>
      </c>
      <c r="B478" t="str">
        <f>H478&amp;R478&amp;I478</f>
        <v>2020Clay/Ryan5</v>
      </c>
      <c r="C478" t="str">
        <f>H478&amp;S478&amp;I478</f>
        <v>2020Dave/Nolan5</v>
      </c>
      <c r="D478">
        <f t="shared" si="70"/>
        <v>342</v>
      </c>
      <c r="E478">
        <f t="shared" si="71"/>
        <v>38</v>
      </c>
      <c r="F478">
        <f t="shared" si="72"/>
        <v>66</v>
      </c>
      <c r="G478">
        <f t="shared" si="73"/>
        <v>51</v>
      </c>
      <c r="H478">
        <v>2020</v>
      </c>
      <c r="I478">
        <v>5</v>
      </c>
      <c r="J478">
        <v>21</v>
      </c>
      <c r="K478" t="s">
        <v>30</v>
      </c>
      <c r="L478">
        <v>123.82</v>
      </c>
      <c r="M478" t="s">
        <v>35</v>
      </c>
      <c r="N478">
        <v>151</v>
      </c>
      <c r="O478" t="s">
        <v>20</v>
      </c>
      <c r="P478">
        <f t="shared" si="74"/>
        <v>274.82</v>
      </c>
      <c r="Q478">
        <f t="shared" si="75"/>
        <v>27.180000000000007</v>
      </c>
      <c r="R478" t="str">
        <f t="shared" si="76"/>
        <v>Clay/Ryan</v>
      </c>
      <c r="S478" t="str">
        <f t="shared" si="77"/>
        <v>Dave/Nolan</v>
      </c>
      <c r="T478">
        <f t="shared" si="78"/>
        <v>151</v>
      </c>
      <c r="U478">
        <f t="shared" si="79"/>
        <v>123.82</v>
      </c>
    </row>
    <row r="479" spans="1:21" x14ac:dyDescent="0.3">
      <c r="A479">
        <v>478</v>
      </c>
      <c r="B479" t="str">
        <f>H479&amp;R479&amp;I479</f>
        <v>2020Brian/Travis5</v>
      </c>
      <c r="C479" t="str">
        <f>H479&amp;S479&amp;I479</f>
        <v>2020Pat/Tucker5</v>
      </c>
      <c r="D479">
        <f t="shared" si="70"/>
        <v>716</v>
      </c>
      <c r="E479">
        <f t="shared" si="71"/>
        <v>632</v>
      </c>
      <c r="F479">
        <f t="shared" si="72"/>
        <v>704</v>
      </c>
      <c r="G479">
        <f t="shared" si="73"/>
        <v>454</v>
      </c>
      <c r="H479">
        <v>2020</v>
      </c>
      <c r="I479">
        <v>5</v>
      </c>
      <c r="J479">
        <v>22</v>
      </c>
      <c r="K479" t="s">
        <v>32</v>
      </c>
      <c r="L479">
        <v>100.1</v>
      </c>
      <c r="M479" t="s">
        <v>31</v>
      </c>
      <c r="N479">
        <v>92.74</v>
      </c>
      <c r="O479" t="s">
        <v>20</v>
      </c>
      <c r="P479">
        <f t="shared" si="74"/>
        <v>192.83999999999997</v>
      </c>
      <c r="Q479">
        <f t="shared" si="75"/>
        <v>7.3599999999999994</v>
      </c>
      <c r="R479" t="str">
        <f t="shared" si="76"/>
        <v>Brian/Travis</v>
      </c>
      <c r="S479" t="str">
        <f t="shared" si="77"/>
        <v>Pat/Tucker</v>
      </c>
      <c r="T479">
        <f t="shared" si="78"/>
        <v>100.1</v>
      </c>
      <c r="U479">
        <f t="shared" si="79"/>
        <v>92.74</v>
      </c>
    </row>
    <row r="480" spans="1:21" x14ac:dyDescent="0.3">
      <c r="A480">
        <v>479</v>
      </c>
      <c r="B480" t="str">
        <f>H480&amp;R480&amp;I480</f>
        <v>2020Walker/Cory5</v>
      </c>
      <c r="C480" t="str">
        <f>H480&amp;S480&amp;I480</f>
        <v>2020Eric/Blake5</v>
      </c>
      <c r="D480">
        <f t="shared" si="70"/>
        <v>283</v>
      </c>
      <c r="E480">
        <f t="shared" si="71"/>
        <v>183</v>
      </c>
      <c r="F480">
        <f t="shared" si="72"/>
        <v>166</v>
      </c>
      <c r="G480">
        <f t="shared" si="73"/>
        <v>232</v>
      </c>
      <c r="H480">
        <v>2020</v>
      </c>
      <c r="I480">
        <v>5</v>
      </c>
      <c r="J480">
        <v>23</v>
      </c>
      <c r="K480" t="s">
        <v>36</v>
      </c>
      <c r="L480">
        <v>137.47999999999999</v>
      </c>
      <c r="M480" t="s">
        <v>34</v>
      </c>
      <c r="N480">
        <v>105.66</v>
      </c>
      <c r="O480" t="s">
        <v>20</v>
      </c>
      <c r="P480">
        <f t="shared" si="74"/>
        <v>243.14</v>
      </c>
      <c r="Q480">
        <f t="shared" si="75"/>
        <v>31.819999999999993</v>
      </c>
      <c r="R480" t="str">
        <f t="shared" si="76"/>
        <v>Walker/Cory</v>
      </c>
      <c r="S480" t="str">
        <f t="shared" si="77"/>
        <v>Eric/Blake</v>
      </c>
      <c r="T480">
        <f t="shared" si="78"/>
        <v>137.47999999999999</v>
      </c>
      <c r="U480">
        <f t="shared" si="79"/>
        <v>105.66</v>
      </c>
    </row>
    <row r="481" spans="1:21" x14ac:dyDescent="0.3">
      <c r="A481">
        <v>480</v>
      </c>
      <c r="B481" t="str">
        <f>H481&amp;R481&amp;I481</f>
        <v>2020Drew/Cam5</v>
      </c>
      <c r="C481" t="str">
        <f>H481&amp;S481&amp;I481</f>
        <v>2020Graham/Michael5</v>
      </c>
      <c r="D481">
        <f t="shared" si="70"/>
        <v>710</v>
      </c>
      <c r="E481">
        <f t="shared" si="71"/>
        <v>513</v>
      </c>
      <c r="F481">
        <f t="shared" si="72"/>
        <v>628</v>
      </c>
      <c r="G481">
        <f t="shared" si="73"/>
        <v>344</v>
      </c>
      <c r="H481">
        <v>2020</v>
      </c>
      <c r="I481">
        <v>5</v>
      </c>
      <c r="J481">
        <v>24</v>
      </c>
      <c r="K481" t="s">
        <v>29</v>
      </c>
      <c r="L481">
        <v>99.1</v>
      </c>
      <c r="M481" t="s">
        <v>37</v>
      </c>
      <c r="N481">
        <v>106.62</v>
      </c>
      <c r="O481" t="s">
        <v>20</v>
      </c>
      <c r="P481">
        <f t="shared" si="74"/>
        <v>205.72</v>
      </c>
      <c r="Q481">
        <f t="shared" si="75"/>
        <v>7.5200000000000102</v>
      </c>
      <c r="R481" t="str">
        <f t="shared" si="76"/>
        <v>Drew/Cam</v>
      </c>
      <c r="S481" t="str">
        <f t="shared" si="77"/>
        <v>Graham/Michael</v>
      </c>
      <c r="T481">
        <f t="shared" si="78"/>
        <v>106.62</v>
      </c>
      <c r="U481">
        <f t="shared" si="79"/>
        <v>99.1</v>
      </c>
    </row>
    <row r="482" spans="1:21" x14ac:dyDescent="0.3">
      <c r="A482">
        <v>481</v>
      </c>
      <c r="B482" t="str">
        <f>H482&amp;R482&amp;I482</f>
        <v>2020Pat/Tucker6</v>
      </c>
      <c r="C482" t="str">
        <f>H482&amp;S482&amp;I482</f>
        <v>2020Eric/Blake6</v>
      </c>
      <c r="D482">
        <f t="shared" si="70"/>
        <v>796</v>
      </c>
      <c r="E482">
        <f t="shared" si="71"/>
        <v>200</v>
      </c>
      <c r="F482">
        <f t="shared" si="72"/>
        <v>395</v>
      </c>
      <c r="G482">
        <f t="shared" si="73"/>
        <v>88</v>
      </c>
      <c r="H482">
        <v>2020</v>
      </c>
      <c r="I482">
        <v>6</v>
      </c>
      <c r="J482">
        <v>25</v>
      </c>
      <c r="K482" t="s">
        <v>31</v>
      </c>
      <c r="L482">
        <v>122.34</v>
      </c>
      <c r="M482" t="s">
        <v>34</v>
      </c>
      <c r="N482">
        <v>118.48</v>
      </c>
      <c r="O482" t="s">
        <v>20</v>
      </c>
      <c r="P482">
        <f t="shared" si="74"/>
        <v>240.82</v>
      </c>
      <c r="Q482">
        <f t="shared" si="75"/>
        <v>3.8599999999999994</v>
      </c>
      <c r="R482" t="str">
        <f t="shared" si="76"/>
        <v>Pat/Tucker</v>
      </c>
      <c r="S482" t="str">
        <f t="shared" si="77"/>
        <v>Eric/Blake</v>
      </c>
      <c r="T482">
        <f t="shared" si="78"/>
        <v>122.34</v>
      </c>
      <c r="U482">
        <f t="shared" si="79"/>
        <v>118.48</v>
      </c>
    </row>
    <row r="483" spans="1:21" x14ac:dyDescent="0.3">
      <c r="A483">
        <v>482</v>
      </c>
      <c r="B483" t="str">
        <f>H483&amp;R483&amp;I483</f>
        <v>2020Walker/Cory6</v>
      </c>
      <c r="C483" t="str">
        <f>H483&amp;S483&amp;I483</f>
        <v>2020Drew/Cam6</v>
      </c>
      <c r="D483">
        <f t="shared" si="70"/>
        <v>206</v>
      </c>
      <c r="E483">
        <f t="shared" si="71"/>
        <v>421</v>
      </c>
      <c r="F483">
        <f t="shared" si="72"/>
        <v>311</v>
      </c>
      <c r="G483">
        <f t="shared" si="73"/>
        <v>541</v>
      </c>
      <c r="H483">
        <v>2020</v>
      </c>
      <c r="I483">
        <v>6</v>
      </c>
      <c r="J483">
        <v>26</v>
      </c>
      <c r="K483" t="s">
        <v>37</v>
      </c>
      <c r="L483">
        <v>88.18</v>
      </c>
      <c r="M483" t="s">
        <v>36</v>
      </c>
      <c r="N483">
        <v>126.52</v>
      </c>
      <c r="O483" t="s">
        <v>20</v>
      </c>
      <c r="P483">
        <f t="shared" si="74"/>
        <v>214.7</v>
      </c>
      <c r="Q483">
        <f t="shared" si="75"/>
        <v>38.339999999999989</v>
      </c>
      <c r="R483" t="str">
        <f t="shared" si="76"/>
        <v>Walker/Cory</v>
      </c>
      <c r="S483" t="str">
        <f t="shared" si="77"/>
        <v>Drew/Cam</v>
      </c>
      <c r="T483">
        <f t="shared" si="78"/>
        <v>126.52</v>
      </c>
      <c r="U483">
        <f t="shared" si="79"/>
        <v>88.18</v>
      </c>
    </row>
    <row r="484" spans="1:21" x14ac:dyDescent="0.3">
      <c r="A484">
        <v>483</v>
      </c>
      <c r="B484" t="str">
        <f>H484&amp;R484&amp;I484</f>
        <v>2020Dave/Nolan6</v>
      </c>
      <c r="C484" t="str">
        <f>H484&amp;S484&amp;I484</f>
        <v>2020Graham/Michael6</v>
      </c>
      <c r="D484">
        <f t="shared" si="70"/>
        <v>483</v>
      </c>
      <c r="E484">
        <f t="shared" si="71"/>
        <v>299</v>
      </c>
      <c r="F484">
        <f t="shared" si="72"/>
        <v>362</v>
      </c>
      <c r="G484">
        <f t="shared" si="73"/>
        <v>242</v>
      </c>
      <c r="H484">
        <v>2020</v>
      </c>
      <c r="I484">
        <v>6</v>
      </c>
      <c r="J484">
        <v>27</v>
      </c>
      <c r="K484" t="s">
        <v>29</v>
      </c>
      <c r="L484">
        <v>104.94</v>
      </c>
      <c r="M484" t="s">
        <v>30</v>
      </c>
      <c r="N484">
        <v>123.52</v>
      </c>
      <c r="O484" t="s">
        <v>20</v>
      </c>
      <c r="P484">
        <f t="shared" si="74"/>
        <v>228.45999999999998</v>
      </c>
      <c r="Q484">
        <f t="shared" si="75"/>
        <v>18.579999999999998</v>
      </c>
      <c r="R484" t="str">
        <f t="shared" si="76"/>
        <v>Dave/Nolan</v>
      </c>
      <c r="S484" t="str">
        <f t="shared" si="77"/>
        <v>Graham/Michael</v>
      </c>
      <c r="T484">
        <f t="shared" si="78"/>
        <v>123.52</v>
      </c>
      <c r="U484">
        <f t="shared" si="79"/>
        <v>104.94</v>
      </c>
    </row>
    <row r="485" spans="1:21" x14ac:dyDescent="0.3">
      <c r="A485">
        <v>484</v>
      </c>
      <c r="B485" t="str">
        <f>H485&amp;R485&amp;I485</f>
        <v>2020David/Marshall6</v>
      </c>
      <c r="C485" t="str">
        <f>H485&amp;S485&amp;I485</f>
        <v>2020Brian/Travis6</v>
      </c>
      <c r="D485">
        <f t="shared" si="70"/>
        <v>660</v>
      </c>
      <c r="E485">
        <f t="shared" si="71"/>
        <v>822</v>
      </c>
      <c r="F485">
        <f t="shared" si="72"/>
        <v>839</v>
      </c>
      <c r="G485">
        <f t="shared" si="73"/>
        <v>727</v>
      </c>
      <c r="H485">
        <v>2020</v>
      </c>
      <c r="I485">
        <v>6</v>
      </c>
      <c r="J485">
        <v>28</v>
      </c>
      <c r="K485" t="s">
        <v>32</v>
      </c>
      <c r="L485">
        <v>75.400000000000006</v>
      </c>
      <c r="M485" t="s">
        <v>38</v>
      </c>
      <c r="N485">
        <v>85.04</v>
      </c>
      <c r="O485" t="s">
        <v>20</v>
      </c>
      <c r="P485">
        <f t="shared" si="74"/>
        <v>160.44</v>
      </c>
      <c r="Q485">
        <f t="shared" si="75"/>
        <v>9.64</v>
      </c>
      <c r="R485" t="str">
        <f t="shared" si="76"/>
        <v>David/Marshall</v>
      </c>
      <c r="S485" t="str">
        <f t="shared" si="77"/>
        <v>Brian/Travis</v>
      </c>
      <c r="T485">
        <f t="shared" si="78"/>
        <v>85.04</v>
      </c>
      <c r="U485">
        <f t="shared" si="79"/>
        <v>75.400000000000006</v>
      </c>
    </row>
    <row r="486" spans="1:21" x14ac:dyDescent="0.3">
      <c r="A486">
        <v>485</v>
      </c>
      <c r="B486" t="str">
        <f>H486&amp;R486&amp;I486</f>
        <v>2020Clay/Ryan6</v>
      </c>
      <c r="C486" t="str">
        <f>H486&amp;S486&amp;I486</f>
        <v>2020Trent/Colin6</v>
      </c>
      <c r="D486">
        <f t="shared" si="70"/>
        <v>183</v>
      </c>
      <c r="E486">
        <f t="shared" si="71"/>
        <v>195</v>
      </c>
      <c r="F486">
        <f t="shared" si="72"/>
        <v>126</v>
      </c>
      <c r="G486">
        <f t="shared" si="73"/>
        <v>322</v>
      </c>
      <c r="H486">
        <v>2020</v>
      </c>
      <c r="I486">
        <v>6</v>
      </c>
      <c r="J486">
        <v>29</v>
      </c>
      <c r="K486" t="s">
        <v>33</v>
      </c>
      <c r="L486">
        <v>100.1</v>
      </c>
      <c r="M486" t="s">
        <v>35</v>
      </c>
      <c r="N486">
        <v>141.32</v>
      </c>
      <c r="O486" t="s">
        <v>20</v>
      </c>
      <c r="P486">
        <f t="shared" si="74"/>
        <v>241.42</v>
      </c>
      <c r="Q486">
        <f t="shared" si="75"/>
        <v>41.22</v>
      </c>
      <c r="R486" t="str">
        <f t="shared" si="76"/>
        <v>Clay/Ryan</v>
      </c>
      <c r="S486" t="str">
        <f t="shared" si="77"/>
        <v>Trent/Colin</v>
      </c>
      <c r="T486">
        <f t="shared" si="78"/>
        <v>141.32</v>
      </c>
      <c r="U486">
        <f t="shared" si="79"/>
        <v>100.1</v>
      </c>
    </row>
    <row r="487" spans="1:21" x14ac:dyDescent="0.3">
      <c r="A487">
        <v>486</v>
      </c>
      <c r="B487" t="str">
        <f>H487&amp;R487&amp;I487</f>
        <v>2020Walker/Cory7</v>
      </c>
      <c r="C487" t="str">
        <f>H487&amp;S487&amp;I487</f>
        <v>2020Pat/Tucker7</v>
      </c>
      <c r="D487">
        <f t="shared" si="70"/>
        <v>695</v>
      </c>
      <c r="E487">
        <f t="shared" si="71"/>
        <v>599</v>
      </c>
      <c r="F487">
        <f t="shared" si="72"/>
        <v>690</v>
      </c>
      <c r="G487">
        <f t="shared" si="73"/>
        <v>435</v>
      </c>
      <c r="H487">
        <v>2020</v>
      </c>
      <c r="I487">
        <v>7</v>
      </c>
      <c r="J487">
        <v>30</v>
      </c>
      <c r="K487" t="s">
        <v>36</v>
      </c>
      <c r="L487">
        <v>102.12</v>
      </c>
      <c r="M487" t="s">
        <v>31</v>
      </c>
      <c r="N487">
        <v>94</v>
      </c>
      <c r="O487" t="s">
        <v>20</v>
      </c>
      <c r="P487">
        <f t="shared" si="74"/>
        <v>196.12</v>
      </c>
      <c r="Q487">
        <f t="shared" si="75"/>
        <v>8.1200000000000045</v>
      </c>
      <c r="R487" t="str">
        <f t="shared" si="76"/>
        <v>Walker/Cory</v>
      </c>
      <c r="S487" t="str">
        <f t="shared" si="77"/>
        <v>Pat/Tucker</v>
      </c>
      <c r="T487">
        <f t="shared" si="78"/>
        <v>102.12</v>
      </c>
      <c r="U487">
        <f t="shared" si="79"/>
        <v>94</v>
      </c>
    </row>
    <row r="488" spans="1:21" x14ac:dyDescent="0.3">
      <c r="A488">
        <v>487</v>
      </c>
      <c r="B488" t="str">
        <f>H488&amp;R488&amp;I488</f>
        <v>2020Dave/Nolan7</v>
      </c>
      <c r="C488" t="str">
        <f>H488&amp;S488&amp;I488</f>
        <v>2020Drew/Cam7</v>
      </c>
      <c r="D488">
        <f t="shared" si="70"/>
        <v>42</v>
      </c>
      <c r="E488">
        <f t="shared" si="71"/>
        <v>236</v>
      </c>
      <c r="F488">
        <f t="shared" si="72"/>
        <v>82</v>
      </c>
      <c r="G488">
        <f t="shared" si="73"/>
        <v>569</v>
      </c>
      <c r="H488">
        <v>2020</v>
      </c>
      <c r="I488">
        <v>7</v>
      </c>
      <c r="J488">
        <v>31</v>
      </c>
      <c r="K488" t="s">
        <v>30</v>
      </c>
      <c r="L488">
        <v>148.46</v>
      </c>
      <c r="M488" t="s">
        <v>37</v>
      </c>
      <c r="N488">
        <v>87.38</v>
      </c>
      <c r="O488" t="s">
        <v>20</v>
      </c>
      <c r="P488">
        <f t="shared" si="74"/>
        <v>235.84</v>
      </c>
      <c r="Q488">
        <f t="shared" si="75"/>
        <v>61.080000000000013</v>
      </c>
      <c r="R488" t="str">
        <f t="shared" si="76"/>
        <v>Dave/Nolan</v>
      </c>
      <c r="S488" t="str">
        <f t="shared" si="77"/>
        <v>Drew/Cam</v>
      </c>
      <c r="T488">
        <f t="shared" si="78"/>
        <v>148.46</v>
      </c>
      <c r="U488">
        <f t="shared" si="79"/>
        <v>87.38</v>
      </c>
    </row>
    <row r="489" spans="1:21" x14ac:dyDescent="0.3">
      <c r="A489">
        <v>488</v>
      </c>
      <c r="B489" t="str">
        <f>H489&amp;R489&amp;I489</f>
        <v>2020Graham/Michael7</v>
      </c>
      <c r="C489" t="str">
        <f>H489&amp;S489&amp;I489</f>
        <v>2020David/Marshall7</v>
      </c>
      <c r="D489">
        <f t="shared" si="70"/>
        <v>246</v>
      </c>
      <c r="E489">
        <f t="shared" si="71"/>
        <v>263</v>
      </c>
      <c r="F489">
        <f t="shared" si="72"/>
        <v>208</v>
      </c>
      <c r="G489">
        <f t="shared" si="73"/>
        <v>346</v>
      </c>
      <c r="H489">
        <v>2020</v>
      </c>
      <c r="I489">
        <v>7</v>
      </c>
      <c r="J489">
        <v>32</v>
      </c>
      <c r="K489" t="s">
        <v>38</v>
      </c>
      <c r="L489">
        <v>99.06</v>
      </c>
      <c r="M489" t="s">
        <v>29</v>
      </c>
      <c r="N489">
        <v>133.80000000000001</v>
      </c>
      <c r="O489" t="s">
        <v>20</v>
      </c>
      <c r="P489">
        <f t="shared" si="74"/>
        <v>232.86</v>
      </c>
      <c r="Q489">
        <f t="shared" si="75"/>
        <v>34.740000000000009</v>
      </c>
      <c r="R489" t="str">
        <f t="shared" si="76"/>
        <v>Graham/Michael</v>
      </c>
      <c r="S489" t="str">
        <f t="shared" si="77"/>
        <v>David/Marshall</v>
      </c>
      <c r="T489">
        <f t="shared" si="78"/>
        <v>133.80000000000001</v>
      </c>
      <c r="U489">
        <f t="shared" si="79"/>
        <v>99.06</v>
      </c>
    </row>
    <row r="490" spans="1:21" x14ac:dyDescent="0.3">
      <c r="A490">
        <v>489</v>
      </c>
      <c r="B490" t="str">
        <f>H490&amp;R490&amp;I490</f>
        <v>2020Clay/Ryan7</v>
      </c>
      <c r="C490" t="str">
        <f>H490&amp;S490&amp;I490</f>
        <v>2020Brian/Travis7</v>
      </c>
      <c r="D490">
        <f t="shared" si="70"/>
        <v>161</v>
      </c>
      <c r="E490">
        <f t="shared" si="71"/>
        <v>83</v>
      </c>
      <c r="F490">
        <f t="shared" si="72"/>
        <v>66</v>
      </c>
      <c r="G490">
        <f t="shared" si="73"/>
        <v>203</v>
      </c>
      <c r="H490">
        <v>2020</v>
      </c>
      <c r="I490">
        <v>7</v>
      </c>
      <c r="J490">
        <v>33</v>
      </c>
      <c r="K490" t="s">
        <v>35</v>
      </c>
      <c r="L490">
        <v>151</v>
      </c>
      <c r="M490" t="s">
        <v>32</v>
      </c>
      <c r="N490">
        <v>108.1</v>
      </c>
      <c r="O490" t="s">
        <v>20</v>
      </c>
      <c r="P490">
        <f t="shared" si="74"/>
        <v>259.10000000000002</v>
      </c>
      <c r="Q490">
        <f t="shared" si="75"/>
        <v>42.900000000000006</v>
      </c>
      <c r="R490" t="str">
        <f t="shared" si="76"/>
        <v>Clay/Ryan</v>
      </c>
      <c r="S490" t="str">
        <f t="shared" si="77"/>
        <v>Brian/Travis</v>
      </c>
      <c r="T490">
        <f t="shared" si="78"/>
        <v>151</v>
      </c>
      <c r="U490">
        <f t="shared" si="79"/>
        <v>108.1</v>
      </c>
    </row>
    <row r="491" spans="1:21" x14ac:dyDescent="0.3">
      <c r="A491">
        <v>490</v>
      </c>
      <c r="B491" t="str">
        <f>H491&amp;R491&amp;I491</f>
        <v>2020Eric/Blake7</v>
      </c>
      <c r="C491" t="str">
        <f>H491&amp;S491&amp;I491</f>
        <v>2020Trent/Colin7</v>
      </c>
      <c r="D491">
        <f t="shared" si="70"/>
        <v>127</v>
      </c>
      <c r="E491">
        <f t="shared" si="71"/>
        <v>124</v>
      </c>
      <c r="F491">
        <f t="shared" si="72"/>
        <v>77</v>
      </c>
      <c r="G491">
        <f t="shared" si="73"/>
        <v>276</v>
      </c>
      <c r="H491">
        <v>2020</v>
      </c>
      <c r="I491">
        <v>7</v>
      </c>
      <c r="J491">
        <v>34</v>
      </c>
      <c r="K491" t="s">
        <v>34</v>
      </c>
      <c r="L491">
        <v>149.06</v>
      </c>
      <c r="M491" t="s">
        <v>33</v>
      </c>
      <c r="N491">
        <v>102.76</v>
      </c>
      <c r="O491" t="s">
        <v>20</v>
      </c>
      <c r="P491">
        <f t="shared" si="74"/>
        <v>251.82</v>
      </c>
      <c r="Q491">
        <f t="shared" si="75"/>
        <v>46.3</v>
      </c>
      <c r="R491" t="str">
        <f t="shared" si="76"/>
        <v>Eric/Blake</v>
      </c>
      <c r="S491" t="str">
        <f t="shared" si="77"/>
        <v>Trent/Colin</v>
      </c>
      <c r="T491">
        <f t="shared" si="78"/>
        <v>149.06</v>
      </c>
      <c r="U491">
        <f t="shared" si="79"/>
        <v>102.76</v>
      </c>
    </row>
    <row r="492" spans="1:21" x14ac:dyDescent="0.3">
      <c r="A492">
        <v>491</v>
      </c>
      <c r="B492" t="str">
        <f>H492&amp;R492&amp;I492</f>
        <v>2020Pat/Tucker8</v>
      </c>
      <c r="C492" t="str">
        <f>H492&amp;S492&amp;I492</f>
        <v>2020Dave/Nolan8</v>
      </c>
      <c r="D492">
        <f t="shared" si="70"/>
        <v>306</v>
      </c>
      <c r="E492">
        <f t="shared" si="71"/>
        <v>460</v>
      </c>
      <c r="F492">
        <f t="shared" si="72"/>
        <v>429</v>
      </c>
      <c r="G492">
        <f t="shared" si="73"/>
        <v>498</v>
      </c>
      <c r="H492">
        <v>2020</v>
      </c>
      <c r="I492">
        <v>8</v>
      </c>
      <c r="J492">
        <v>35</v>
      </c>
      <c r="K492" t="s">
        <v>31</v>
      </c>
      <c r="L492">
        <v>120.12</v>
      </c>
      <c r="M492" t="s">
        <v>30</v>
      </c>
      <c r="N492">
        <v>90.32</v>
      </c>
      <c r="O492" t="s">
        <v>20</v>
      </c>
      <c r="P492">
        <f t="shared" si="74"/>
        <v>210.44</v>
      </c>
      <c r="Q492">
        <f t="shared" si="75"/>
        <v>29.800000000000011</v>
      </c>
      <c r="R492" t="str">
        <f t="shared" si="76"/>
        <v>Pat/Tucker</v>
      </c>
      <c r="S492" t="str">
        <f t="shared" si="77"/>
        <v>Dave/Nolan</v>
      </c>
      <c r="T492">
        <f t="shared" si="78"/>
        <v>120.12</v>
      </c>
      <c r="U492">
        <f t="shared" si="79"/>
        <v>90.32</v>
      </c>
    </row>
    <row r="493" spans="1:21" x14ac:dyDescent="0.3">
      <c r="A493">
        <v>492</v>
      </c>
      <c r="B493" t="str">
        <f>H493&amp;R493&amp;I493</f>
        <v>2020David/Marshall8</v>
      </c>
      <c r="C493" t="str">
        <f>H493&amp;S493&amp;I493</f>
        <v>2020Drew/Cam8</v>
      </c>
      <c r="D493">
        <f t="shared" si="70"/>
        <v>300</v>
      </c>
      <c r="E493">
        <f t="shared" si="71"/>
        <v>721</v>
      </c>
      <c r="F493">
        <f t="shared" si="72"/>
        <v>636</v>
      </c>
      <c r="G493">
        <f t="shared" si="73"/>
        <v>717</v>
      </c>
      <c r="H493">
        <v>2020</v>
      </c>
      <c r="I493">
        <v>8</v>
      </c>
      <c r="J493">
        <v>36</v>
      </c>
      <c r="K493" t="s">
        <v>37</v>
      </c>
      <c r="L493">
        <v>76.06</v>
      </c>
      <c r="M493" t="s">
        <v>38</v>
      </c>
      <c r="N493">
        <v>106.06</v>
      </c>
      <c r="O493" t="s">
        <v>20</v>
      </c>
      <c r="P493">
        <f t="shared" si="74"/>
        <v>182.12</v>
      </c>
      <c r="Q493">
        <f t="shared" si="75"/>
        <v>30</v>
      </c>
      <c r="R493" t="str">
        <f t="shared" si="76"/>
        <v>David/Marshall</v>
      </c>
      <c r="S493" t="str">
        <f t="shared" si="77"/>
        <v>Drew/Cam</v>
      </c>
      <c r="T493">
        <f t="shared" si="78"/>
        <v>106.06</v>
      </c>
      <c r="U493">
        <f t="shared" si="79"/>
        <v>76.06</v>
      </c>
    </row>
    <row r="494" spans="1:21" x14ac:dyDescent="0.3">
      <c r="A494">
        <v>493</v>
      </c>
      <c r="B494" t="str">
        <f>H494&amp;R494&amp;I494</f>
        <v>2020Graham/Michael8</v>
      </c>
      <c r="C494" t="str">
        <f>H494&amp;S494&amp;I494</f>
        <v>2020Clay/Ryan8</v>
      </c>
      <c r="D494">
        <f t="shared" si="70"/>
        <v>700</v>
      </c>
      <c r="E494">
        <f t="shared" si="71"/>
        <v>658</v>
      </c>
      <c r="F494">
        <f t="shared" si="72"/>
        <v>722</v>
      </c>
      <c r="G494">
        <f t="shared" si="73"/>
        <v>495</v>
      </c>
      <c r="H494">
        <v>2020</v>
      </c>
      <c r="I494">
        <v>8</v>
      </c>
      <c r="J494">
        <v>37</v>
      </c>
      <c r="K494" t="s">
        <v>29</v>
      </c>
      <c r="L494">
        <v>98.72</v>
      </c>
      <c r="M494" t="s">
        <v>35</v>
      </c>
      <c r="N494">
        <v>90.74</v>
      </c>
      <c r="O494" t="s">
        <v>20</v>
      </c>
      <c r="P494">
        <f t="shared" si="74"/>
        <v>189.45999999999998</v>
      </c>
      <c r="Q494">
        <f t="shared" si="75"/>
        <v>7.980000000000004</v>
      </c>
      <c r="R494" t="str">
        <f t="shared" si="76"/>
        <v>Graham/Michael</v>
      </c>
      <c r="S494" t="str">
        <f t="shared" si="77"/>
        <v>Clay/Ryan</v>
      </c>
      <c r="T494">
        <f t="shared" si="78"/>
        <v>98.72</v>
      </c>
      <c r="U494">
        <f t="shared" si="79"/>
        <v>90.74</v>
      </c>
    </row>
    <row r="495" spans="1:21" x14ac:dyDescent="0.3">
      <c r="A495">
        <v>494</v>
      </c>
      <c r="B495" t="str">
        <f>H495&amp;R495&amp;I495</f>
        <v>2020Eric/Blake8</v>
      </c>
      <c r="C495" t="str">
        <f>H495&amp;S495&amp;I495</f>
        <v>2020Brian/Travis8</v>
      </c>
      <c r="D495">
        <f t="shared" si="70"/>
        <v>670</v>
      </c>
      <c r="E495">
        <f t="shared" si="71"/>
        <v>156</v>
      </c>
      <c r="F495">
        <f t="shared" si="72"/>
        <v>292</v>
      </c>
      <c r="G495">
        <f t="shared" si="73"/>
        <v>85</v>
      </c>
      <c r="H495">
        <v>2020</v>
      </c>
      <c r="I495">
        <v>8</v>
      </c>
      <c r="J495">
        <v>38</v>
      </c>
      <c r="K495" t="s">
        <v>32</v>
      </c>
      <c r="L495">
        <v>118.64</v>
      </c>
      <c r="M495" t="s">
        <v>34</v>
      </c>
      <c r="N495">
        <v>127.92</v>
      </c>
      <c r="O495" t="s">
        <v>20</v>
      </c>
      <c r="P495">
        <f t="shared" si="74"/>
        <v>246.56</v>
      </c>
      <c r="Q495">
        <f t="shared" si="75"/>
        <v>9.2800000000000011</v>
      </c>
      <c r="R495" t="str">
        <f t="shared" si="76"/>
        <v>Eric/Blake</v>
      </c>
      <c r="S495" t="str">
        <f t="shared" si="77"/>
        <v>Brian/Travis</v>
      </c>
      <c r="T495">
        <f t="shared" si="78"/>
        <v>127.92</v>
      </c>
      <c r="U495">
        <f t="shared" si="79"/>
        <v>118.64</v>
      </c>
    </row>
    <row r="496" spans="1:21" x14ac:dyDescent="0.3">
      <c r="A496">
        <v>495</v>
      </c>
      <c r="B496" t="str">
        <f>H496&amp;R496&amp;I496</f>
        <v>2020Walker/Cory8</v>
      </c>
      <c r="C496" t="str">
        <f>H496&amp;S496&amp;I496</f>
        <v>2020Trent/Colin8</v>
      </c>
      <c r="D496">
        <f t="shared" si="70"/>
        <v>614</v>
      </c>
      <c r="E496">
        <f t="shared" si="71"/>
        <v>364</v>
      </c>
      <c r="F496">
        <f t="shared" si="72"/>
        <v>475</v>
      </c>
      <c r="G496">
        <f t="shared" si="73"/>
        <v>240</v>
      </c>
      <c r="H496">
        <v>2020</v>
      </c>
      <c r="I496">
        <v>8</v>
      </c>
      <c r="J496">
        <v>39</v>
      </c>
      <c r="K496" t="s">
        <v>33</v>
      </c>
      <c r="L496">
        <v>105.16</v>
      </c>
      <c r="M496" t="s">
        <v>36</v>
      </c>
      <c r="N496">
        <v>117.04</v>
      </c>
      <c r="O496" t="s">
        <v>20</v>
      </c>
      <c r="P496">
        <f t="shared" si="74"/>
        <v>222.2</v>
      </c>
      <c r="Q496">
        <f t="shared" si="75"/>
        <v>11.88000000000001</v>
      </c>
      <c r="R496" t="str">
        <f t="shared" si="76"/>
        <v>Walker/Cory</v>
      </c>
      <c r="S496" t="str">
        <f t="shared" si="77"/>
        <v>Trent/Colin</v>
      </c>
      <c r="T496">
        <f t="shared" si="78"/>
        <v>117.04</v>
      </c>
      <c r="U496">
        <f t="shared" si="79"/>
        <v>105.16</v>
      </c>
    </row>
    <row r="497" spans="1:21" x14ac:dyDescent="0.3">
      <c r="A497">
        <v>496</v>
      </c>
      <c r="B497" t="str">
        <f>H497&amp;R497&amp;I497</f>
        <v>2020Pat/Tucker9</v>
      </c>
      <c r="C497" t="str">
        <f>H497&amp;S497&amp;I497</f>
        <v>2020David/Marshall9</v>
      </c>
      <c r="D497">
        <f t="shared" si="70"/>
        <v>252</v>
      </c>
      <c r="E497">
        <f t="shared" si="71"/>
        <v>720</v>
      </c>
      <c r="F497">
        <f t="shared" si="72"/>
        <v>607</v>
      </c>
      <c r="G497">
        <f t="shared" si="73"/>
        <v>742</v>
      </c>
      <c r="H497">
        <v>2020</v>
      </c>
      <c r="I497">
        <v>9</v>
      </c>
      <c r="J497">
        <v>40</v>
      </c>
      <c r="K497" t="s">
        <v>38</v>
      </c>
      <c r="L497">
        <v>74.16</v>
      </c>
      <c r="M497" t="s">
        <v>31</v>
      </c>
      <c r="N497">
        <v>108.22</v>
      </c>
      <c r="O497" t="s">
        <v>20</v>
      </c>
      <c r="P497">
        <f t="shared" si="74"/>
        <v>182.38</v>
      </c>
      <c r="Q497">
        <f t="shared" si="75"/>
        <v>34.06</v>
      </c>
      <c r="R497" t="str">
        <f t="shared" si="76"/>
        <v>Pat/Tucker</v>
      </c>
      <c r="S497" t="str">
        <f t="shared" si="77"/>
        <v>David/Marshall</v>
      </c>
      <c r="T497">
        <f t="shared" si="78"/>
        <v>108.22</v>
      </c>
      <c r="U497">
        <f t="shared" si="79"/>
        <v>74.16</v>
      </c>
    </row>
    <row r="498" spans="1:21" x14ac:dyDescent="0.3">
      <c r="A498">
        <v>497</v>
      </c>
      <c r="B498" t="str">
        <f>H498&amp;R498&amp;I498</f>
        <v>2020Dave/Nolan9</v>
      </c>
      <c r="C498" t="str">
        <f>H498&amp;S498&amp;I498</f>
        <v>2020Clay/Ryan9</v>
      </c>
      <c r="D498">
        <f t="shared" si="70"/>
        <v>312</v>
      </c>
      <c r="E498">
        <f t="shared" si="71"/>
        <v>361</v>
      </c>
      <c r="F498">
        <f t="shared" si="72"/>
        <v>325</v>
      </c>
      <c r="G498">
        <f t="shared" si="73"/>
        <v>386</v>
      </c>
      <c r="H498">
        <v>2020</v>
      </c>
      <c r="I498">
        <v>9</v>
      </c>
      <c r="J498">
        <v>41</v>
      </c>
      <c r="K498" t="s">
        <v>35</v>
      </c>
      <c r="L498">
        <v>96.72</v>
      </c>
      <c r="M498" t="s">
        <v>30</v>
      </c>
      <c r="N498">
        <v>125.84</v>
      </c>
      <c r="O498" t="s">
        <v>20</v>
      </c>
      <c r="P498">
        <f t="shared" si="74"/>
        <v>222.56</v>
      </c>
      <c r="Q498">
        <f t="shared" si="75"/>
        <v>29.120000000000005</v>
      </c>
      <c r="R498" t="str">
        <f t="shared" si="76"/>
        <v>Dave/Nolan</v>
      </c>
      <c r="S498" t="str">
        <f t="shared" si="77"/>
        <v>Clay/Ryan</v>
      </c>
      <c r="T498">
        <f t="shared" si="78"/>
        <v>125.84</v>
      </c>
      <c r="U498">
        <f t="shared" si="79"/>
        <v>96.72</v>
      </c>
    </row>
    <row r="499" spans="1:21" x14ac:dyDescent="0.3">
      <c r="A499">
        <v>498</v>
      </c>
      <c r="B499" t="str">
        <f>H499&amp;R499&amp;I499</f>
        <v>2020Trent/Colin9</v>
      </c>
      <c r="C499" t="str">
        <f>H499&amp;S499&amp;I499</f>
        <v>2020Drew/Cam9</v>
      </c>
      <c r="D499">
        <f t="shared" si="70"/>
        <v>554</v>
      </c>
      <c r="E499">
        <f t="shared" si="71"/>
        <v>698</v>
      </c>
      <c r="F499">
        <f t="shared" si="72"/>
        <v>710</v>
      </c>
      <c r="G499">
        <f t="shared" si="73"/>
        <v>610</v>
      </c>
      <c r="H499">
        <v>2020</v>
      </c>
      <c r="I499">
        <v>9</v>
      </c>
      <c r="J499">
        <v>42</v>
      </c>
      <c r="K499" t="s">
        <v>37</v>
      </c>
      <c r="L499">
        <v>85.2</v>
      </c>
      <c r="M499" t="s">
        <v>33</v>
      </c>
      <c r="N499">
        <v>99.64</v>
      </c>
      <c r="O499" t="s">
        <v>20</v>
      </c>
      <c r="P499">
        <f t="shared" si="74"/>
        <v>184.84</v>
      </c>
      <c r="Q499">
        <f t="shared" si="75"/>
        <v>14.439999999999998</v>
      </c>
      <c r="R499" t="str">
        <f t="shared" si="76"/>
        <v>Trent/Colin</v>
      </c>
      <c r="S499" t="str">
        <f t="shared" si="77"/>
        <v>Drew/Cam</v>
      </c>
      <c r="T499">
        <f t="shared" si="78"/>
        <v>99.64</v>
      </c>
      <c r="U499">
        <f t="shared" si="79"/>
        <v>85.2</v>
      </c>
    </row>
    <row r="500" spans="1:21" x14ac:dyDescent="0.3">
      <c r="A500">
        <v>499</v>
      </c>
      <c r="B500" t="str">
        <f>H500&amp;R500&amp;I500</f>
        <v>2020Walker/Cory9</v>
      </c>
      <c r="C500" t="str">
        <f>H500&amp;S500&amp;I500</f>
        <v>2020Eric/Blake9</v>
      </c>
      <c r="D500">
        <f t="shared" si="70"/>
        <v>417</v>
      </c>
      <c r="E500">
        <f t="shared" si="71"/>
        <v>627</v>
      </c>
      <c r="F500">
        <f t="shared" si="72"/>
        <v>609</v>
      </c>
      <c r="G500">
        <f t="shared" si="73"/>
        <v>607</v>
      </c>
      <c r="H500">
        <v>2020</v>
      </c>
      <c r="I500">
        <v>9</v>
      </c>
      <c r="J500">
        <v>43</v>
      </c>
      <c r="K500" t="s">
        <v>34</v>
      </c>
      <c r="L500">
        <v>85.44</v>
      </c>
      <c r="M500" t="s">
        <v>36</v>
      </c>
      <c r="N500">
        <v>107.9</v>
      </c>
      <c r="O500" t="s">
        <v>20</v>
      </c>
      <c r="P500">
        <f t="shared" si="74"/>
        <v>193.34</v>
      </c>
      <c r="Q500">
        <f t="shared" si="75"/>
        <v>22.460000000000008</v>
      </c>
      <c r="R500" t="str">
        <f t="shared" si="76"/>
        <v>Walker/Cory</v>
      </c>
      <c r="S500" t="str">
        <f t="shared" si="77"/>
        <v>Eric/Blake</v>
      </c>
      <c r="T500">
        <f t="shared" si="78"/>
        <v>107.9</v>
      </c>
      <c r="U500">
        <f t="shared" si="79"/>
        <v>85.44</v>
      </c>
    </row>
    <row r="501" spans="1:21" x14ac:dyDescent="0.3">
      <c r="A501">
        <v>500</v>
      </c>
      <c r="B501" t="str">
        <f>H501&amp;R501&amp;I501</f>
        <v>2020Graham/Michael9</v>
      </c>
      <c r="C501" t="str">
        <f>H501&amp;S501&amp;I501</f>
        <v>2020Brian/Travis9</v>
      </c>
      <c r="D501">
        <f t="shared" si="70"/>
        <v>746</v>
      </c>
      <c r="E501">
        <f t="shared" si="71"/>
        <v>409</v>
      </c>
      <c r="F501">
        <f t="shared" si="72"/>
        <v>572</v>
      </c>
      <c r="G501">
        <f t="shared" si="73"/>
        <v>239</v>
      </c>
      <c r="H501">
        <v>2020</v>
      </c>
      <c r="I501">
        <v>9</v>
      </c>
      <c r="J501">
        <v>44</v>
      </c>
      <c r="K501" t="s">
        <v>29</v>
      </c>
      <c r="L501">
        <v>111.2</v>
      </c>
      <c r="M501" t="s">
        <v>32</v>
      </c>
      <c r="N501">
        <v>105.18</v>
      </c>
      <c r="O501" t="s">
        <v>20</v>
      </c>
      <c r="P501">
        <f t="shared" si="74"/>
        <v>216.38</v>
      </c>
      <c r="Q501">
        <f t="shared" si="75"/>
        <v>6.019999999999996</v>
      </c>
      <c r="R501" t="str">
        <f t="shared" si="76"/>
        <v>Graham/Michael</v>
      </c>
      <c r="S501" t="str">
        <f t="shared" si="77"/>
        <v>Brian/Travis</v>
      </c>
      <c r="T501">
        <f t="shared" si="78"/>
        <v>111.2</v>
      </c>
      <c r="U501">
        <f t="shared" si="79"/>
        <v>105.18</v>
      </c>
    </row>
    <row r="502" spans="1:21" x14ac:dyDescent="0.3">
      <c r="A502">
        <v>501</v>
      </c>
      <c r="B502" t="str">
        <f>H502&amp;R502&amp;I502</f>
        <v>2020Clay/Ryan10</v>
      </c>
      <c r="C502" t="str">
        <f>H502&amp;S502&amp;I502</f>
        <v>2020Drew/Cam10</v>
      </c>
      <c r="D502">
        <f t="shared" si="70"/>
        <v>372</v>
      </c>
      <c r="E502">
        <f t="shared" si="71"/>
        <v>731</v>
      </c>
      <c r="F502">
        <f t="shared" si="72"/>
        <v>683</v>
      </c>
      <c r="G502">
        <f t="shared" si="73"/>
        <v>700</v>
      </c>
      <c r="H502">
        <v>2020</v>
      </c>
      <c r="I502">
        <v>10</v>
      </c>
      <c r="J502">
        <v>45</v>
      </c>
      <c r="K502" t="s">
        <v>35</v>
      </c>
      <c r="L502">
        <v>102.6</v>
      </c>
      <c r="M502" t="s">
        <v>37</v>
      </c>
      <c r="N502">
        <v>77.66</v>
      </c>
      <c r="O502" t="s">
        <v>20</v>
      </c>
      <c r="P502">
        <f t="shared" si="74"/>
        <v>180.26</v>
      </c>
      <c r="Q502">
        <f t="shared" si="75"/>
        <v>24.939999999999998</v>
      </c>
      <c r="R502" t="str">
        <f t="shared" si="76"/>
        <v>Clay/Ryan</v>
      </c>
      <c r="S502" t="str">
        <f t="shared" si="77"/>
        <v>Drew/Cam</v>
      </c>
      <c r="T502">
        <f t="shared" si="78"/>
        <v>102.6</v>
      </c>
      <c r="U502">
        <f t="shared" si="79"/>
        <v>77.66</v>
      </c>
    </row>
    <row r="503" spans="1:21" x14ac:dyDescent="0.3">
      <c r="A503">
        <v>502</v>
      </c>
      <c r="B503" t="str">
        <f>H503&amp;R503&amp;I503</f>
        <v>2020David/Marshall10</v>
      </c>
      <c r="C503" t="str">
        <f>H503&amp;S503&amp;I503</f>
        <v>2020Eric/Blake10</v>
      </c>
      <c r="D503">
        <f t="shared" si="70"/>
        <v>260</v>
      </c>
      <c r="E503">
        <f t="shared" si="71"/>
        <v>561</v>
      </c>
      <c r="F503">
        <f t="shared" si="72"/>
        <v>479</v>
      </c>
      <c r="G503">
        <f t="shared" si="73"/>
        <v>641</v>
      </c>
      <c r="H503">
        <v>2020</v>
      </c>
      <c r="I503">
        <v>10</v>
      </c>
      <c r="J503">
        <v>46</v>
      </c>
      <c r="K503" t="s">
        <v>34</v>
      </c>
      <c r="L503">
        <v>83.38</v>
      </c>
      <c r="M503" t="s">
        <v>38</v>
      </c>
      <c r="N503">
        <v>116.74</v>
      </c>
      <c r="O503" t="s">
        <v>20</v>
      </c>
      <c r="P503">
        <f t="shared" si="74"/>
        <v>200.12</v>
      </c>
      <c r="Q503">
        <f t="shared" si="75"/>
        <v>33.36</v>
      </c>
      <c r="R503" t="str">
        <f t="shared" si="76"/>
        <v>David/Marshall</v>
      </c>
      <c r="S503" t="str">
        <f t="shared" si="77"/>
        <v>Eric/Blake</v>
      </c>
      <c r="T503">
        <f t="shared" si="78"/>
        <v>116.74</v>
      </c>
      <c r="U503">
        <f t="shared" si="79"/>
        <v>83.38</v>
      </c>
    </row>
    <row r="504" spans="1:21" x14ac:dyDescent="0.3">
      <c r="A504">
        <v>503</v>
      </c>
      <c r="B504" t="str">
        <f>H504&amp;R504&amp;I504</f>
        <v>2020Pat/Tucker10</v>
      </c>
      <c r="C504" t="str">
        <f>H504&amp;S504&amp;I504</f>
        <v>2020Graham/Michael10</v>
      </c>
      <c r="D504">
        <f t="shared" si="70"/>
        <v>407</v>
      </c>
      <c r="E504">
        <f t="shared" si="71"/>
        <v>549</v>
      </c>
      <c r="F504">
        <f t="shared" si="72"/>
        <v>545</v>
      </c>
      <c r="G504">
        <f t="shared" si="73"/>
        <v>519</v>
      </c>
      <c r="H504">
        <v>2020</v>
      </c>
      <c r="I504">
        <v>10</v>
      </c>
      <c r="J504">
        <v>47</v>
      </c>
      <c r="K504" t="s">
        <v>31</v>
      </c>
      <c r="L504">
        <v>112.48</v>
      </c>
      <c r="M504" t="s">
        <v>29</v>
      </c>
      <c r="N504">
        <v>89.56</v>
      </c>
      <c r="O504" t="s">
        <v>20</v>
      </c>
      <c r="P504">
        <f t="shared" si="74"/>
        <v>202.04000000000002</v>
      </c>
      <c r="Q504">
        <f t="shared" si="75"/>
        <v>22.92</v>
      </c>
      <c r="R504" t="str">
        <f t="shared" si="76"/>
        <v>Pat/Tucker</v>
      </c>
      <c r="S504" t="str">
        <f t="shared" si="77"/>
        <v>Graham/Michael</v>
      </c>
      <c r="T504">
        <f t="shared" si="78"/>
        <v>112.48</v>
      </c>
      <c r="U504">
        <f t="shared" si="79"/>
        <v>89.56</v>
      </c>
    </row>
    <row r="505" spans="1:21" x14ac:dyDescent="0.3">
      <c r="A505">
        <v>504</v>
      </c>
      <c r="B505" t="str">
        <f>H505&amp;R505&amp;I505</f>
        <v>2020Walker/Cory10</v>
      </c>
      <c r="C505" t="str">
        <f>H505&amp;S505&amp;I505</f>
        <v>2020Dave/Nolan10</v>
      </c>
      <c r="D505">
        <f t="shared" si="70"/>
        <v>801</v>
      </c>
      <c r="E505">
        <f t="shared" si="71"/>
        <v>472</v>
      </c>
      <c r="F505">
        <f t="shared" si="72"/>
        <v>635</v>
      </c>
      <c r="G505">
        <f t="shared" si="73"/>
        <v>275</v>
      </c>
      <c r="H505">
        <v>2020</v>
      </c>
      <c r="I505">
        <v>10</v>
      </c>
      <c r="J505">
        <v>48</v>
      </c>
      <c r="K505" t="s">
        <v>36</v>
      </c>
      <c r="L505">
        <v>106.42</v>
      </c>
      <c r="M505" t="s">
        <v>30</v>
      </c>
      <c r="N505">
        <v>102.82</v>
      </c>
      <c r="O505" t="s">
        <v>20</v>
      </c>
      <c r="P505">
        <f t="shared" si="74"/>
        <v>209.24</v>
      </c>
      <c r="Q505">
        <f t="shared" si="75"/>
        <v>3.6000000000000085</v>
      </c>
      <c r="R505" t="str">
        <f t="shared" si="76"/>
        <v>Walker/Cory</v>
      </c>
      <c r="S505" t="str">
        <f t="shared" si="77"/>
        <v>Dave/Nolan</v>
      </c>
      <c r="T505">
        <f t="shared" si="78"/>
        <v>106.42</v>
      </c>
      <c r="U505">
        <f t="shared" si="79"/>
        <v>102.82</v>
      </c>
    </row>
    <row r="506" spans="1:21" x14ac:dyDescent="0.3">
      <c r="A506">
        <v>505</v>
      </c>
      <c r="B506" t="str">
        <f>H506&amp;R506&amp;I506</f>
        <v>2020Trent/Colin10</v>
      </c>
      <c r="C506" t="str">
        <f>H506&amp;S506&amp;I506</f>
        <v>2020Brian/Travis10</v>
      </c>
      <c r="D506">
        <f t="shared" si="70"/>
        <v>434</v>
      </c>
      <c r="E506">
        <f t="shared" si="71"/>
        <v>539</v>
      </c>
      <c r="F506">
        <f t="shared" si="72"/>
        <v>542</v>
      </c>
      <c r="G506">
        <f t="shared" si="73"/>
        <v>495</v>
      </c>
      <c r="H506">
        <v>2020</v>
      </c>
      <c r="I506">
        <v>10</v>
      </c>
      <c r="J506">
        <v>49</v>
      </c>
      <c r="K506" t="s">
        <v>33</v>
      </c>
      <c r="L506">
        <v>112.52</v>
      </c>
      <c r="M506" t="s">
        <v>32</v>
      </c>
      <c r="N506">
        <v>90.74</v>
      </c>
      <c r="O506" t="s">
        <v>20</v>
      </c>
      <c r="P506">
        <f t="shared" si="74"/>
        <v>203.26</v>
      </c>
      <c r="Q506">
        <f t="shared" si="75"/>
        <v>21.78</v>
      </c>
      <c r="R506" t="str">
        <f t="shared" si="76"/>
        <v>Trent/Colin</v>
      </c>
      <c r="S506" t="str">
        <f t="shared" si="77"/>
        <v>Brian/Travis</v>
      </c>
      <c r="T506">
        <f t="shared" si="78"/>
        <v>112.52</v>
      </c>
      <c r="U506">
        <f t="shared" si="79"/>
        <v>90.74</v>
      </c>
    </row>
    <row r="507" spans="1:21" x14ac:dyDescent="0.3">
      <c r="A507">
        <v>506</v>
      </c>
      <c r="B507" t="str">
        <f>H507&amp;R507&amp;I507</f>
        <v>2020Eric/Blake11</v>
      </c>
      <c r="C507" t="str">
        <f>H507&amp;S507&amp;I507</f>
        <v>2020Graham/Michael11</v>
      </c>
      <c r="D507">
        <f t="shared" si="70"/>
        <v>841</v>
      </c>
      <c r="E507">
        <f t="shared" si="71"/>
        <v>46</v>
      </c>
      <c r="F507">
        <f t="shared" si="72"/>
        <v>170</v>
      </c>
      <c r="G507">
        <f t="shared" si="73"/>
        <v>13</v>
      </c>
      <c r="H507">
        <v>2020</v>
      </c>
      <c r="I507">
        <v>11</v>
      </c>
      <c r="J507">
        <v>50</v>
      </c>
      <c r="K507" t="s">
        <v>34</v>
      </c>
      <c r="L507">
        <v>137.13999999999999</v>
      </c>
      <c r="M507" t="s">
        <v>29</v>
      </c>
      <c r="N507">
        <v>135.66</v>
      </c>
      <c r="O507" t="s">
        <v>20</v>
      </c>
      <c r="P507">
        <f t="shared" si="74"/>
        <v>272.79999999999995</v>
      </c>
      <c r="Q507">
        <f t="shared" si="75"/>
        <v>1.4799999999999898</v>
      </c>
      <c r="R507" t="str">
        <f t="shared" si="76"/>
        <v>Eric/Blake</v>
      </c>
      <c r="S507" t="str">
        <f t="shared" si="77"/>
        <v>Graham/Michael</v>
      </c>
      <c r="T507">
        <f t="shared" si="78"/>
        <v>137.13999999999999</v>
      </c>
      <c r="U507">
        <f t="shared" si="79"/>
        <v>135.66</v>
      </c>
    </row>
    <row r="508" spans="1:21" x14ac:dyDescent="0.3">
      <c r="A508">
        <v>507</v>
      </c>
      <c r="B508" t="str">
        <f>H508&amp;R508&amp;I508</f>
        <v>2020Walker/Cory11</v>
      </c>
      <c r="C508" t="str">
        <f>H508&amp;S508&amp;I508</f>
        <v>2020Clay/Ryan11</v>
      </c>
      <c r="D508">
        <f t="shared" si="70"/>
        <v>29</v>
      </c>
      <c r="E508">
        <f t="shared" si="71"/>
        <v>343</v>
      </c>
      <c r="F508">
        <f t="shared" si="72"/>
        <v>101</v>
      </c>
      <c r="G508">
        <f t="shared" si="73"/>
        <v>698</v>
      </c>
      <c r="H508">
        <v>2020</v>
      </c>
      <c r="I508">
        <v>11</v>
      </c>
      <c r="J508">
        <v>51</v>
      </c>
      <c r="K508" t="s">
        <v>35</v>
      </c>
      <c r="L508">
        <v>77.959999999999994</v>
      </c>
      <c r="M508" t="s">
        <v>36</v>
      </c>
      <c r="N508">
        <v>145.97999999999999</v>
      </c>
      <c r="O508" t="s">
        <v>20</v>
      </c>
      <c r="P508">
        <f t="shared" si="74"/>
        <v>223.94</v>
      </c>
      <c r="Q508">
        <f t="shared" si="75"/>
        <v>68.02</v>
      </c>
      <c r="R508" t="str">
        <f t="shared" si="76"/>
        <v>Walker/Cory</v>
      </c>
      <c r="S508" t="str">
        <f t="shared" si="77"/>
        <v>Clay/Ryan</v>
      </c>
      <c r="T508">
        <f t="shared" si="78"/>
        <v>145.97999999999999</v>
      </c>
      <c r="U508">
        <f t="shared" si="79"/>
        <v>77.959999999999994</v>
      </c>
    </row>
    <row r="509" spans="1:21" x14ac:dyDescent="0.3">
      <c r="A509">
        <v>508</v>
      </c>
      <c r="B509" t="str">
        <f>H509&amp;R509&amp;I509</f>
        <v>2020Drew/Cam11</v>
      </c>
      <c r="C509" t="str">
        <f>H509&amp;S509&amp;I509</f>
        <v>2020Brian/Travis11</v>
      </c>
      <c r="D509">
        <f t="shared" si="70"/>
        <v>635</v>
      </c>
      <c r="E509">
        <f t="shared" si="71"/>
        <v>242</v>
      </c>
      <c r="F509">
        <f t="shared" si="72"/>
        <v>378</v>
      </c>
      <c r="G509">
        <f t="shared" si="73"/>
        <v>154</v>
      </c>
      <c r="H509">
        <v>2020</v>
      </c>
      <c r="I509">
        <v>11</v>
      </c>
      <c r="J509">
        <v>52</v>
      </c>
      <c r="K509" t="s">
        <v>32</v>
      </c>
      <c r="L509">
        <v>112.32</v>
      </c>
      <c r="M509" t="s">
        <v>37</v>
      </c>
      <c r="N509">
        <v>123.02</v>
      </c>
      <c r="O509" t="s">
        <v>20</v>
      </c>
      <c r="P509">
        <f t="shared" si="74"/>
        <v>235.33999999999997</v>
      </c>
      <c r="Q509">
        <f t="shared" si="75"/>
        <v>10.700000000000003</v>
      </c>
      <c r="R509" t="str">
        <f t="shared" si="76"/>
        <v>Drew/Cam</v>
      </c>
      <c r="S509" t="str">
        <f t="shared" si="77"/>
        <v>Brian/Travis</v>
      </c>
      <c r="T509">
        <f t="shared" si="78"/>
        <v>123.02</v>
      </c>
      <c r="U509">
        <f t="shared" si="79"/>
        <v>112.32</v>
      </c>
    </row>
    <row r="510" spans="1:21" x14ac:dyDescent="0.3">
      <c r="A510">
        <v>509</v>
      </c>
      <c r="B510" t="str">
        <f>H510&amp;R510&amp;I510</f>
        <v>2020David/Marshall11</v>
      </c>
      <c r="C510" t="str">
        <f>H510&amp;S510&amp;I510</f>
        <v>2020Dave/Nolan11</v>
      </c>
      <c r="D510">
        <f t="shared" si="70"/>
        <v>707</v>
      </c>
      <c r="E510">
        <f t="shared" si="71"/>
        <v>714</v>
      </c>
      <c r="F510">
        <f t="shared" si="72"/>
        <v>767</v>
      </c>
      <c r="G510">
        <f t="shared" si="73"/>
        <v>553</v>
      </c>
      <c r="H510">
        <v>2020</v>
      </c>
      <c r="I510">
        <v>11</v>
      </c>
      <c r="J510">
        <v>53</v>
      </c>
      <c r="K510" t="s">
        <v>38</v>
      </c>
      <c r="L510">
        <v>95.34</v>
      </c>
      <c r="M510" t="s">
        <v>30</v>
      </c>
      <c r="N510">
        <v>87.74</v>
      </c>
      <c r="O510" t="s">
        <v>20</v>
      </c>
      <c r="P510">
        <f t="shared" si="74"/>
        <v>183.07999999999998</v>
      </c>
      <c r="Q510">
        <f t="shared" si="75"/>
        <v>7.6000000000000085</v>
      </c>
      <c r="R510" t="str">
        <f t="shared" si="76"/>
        <v>David/Marshall</v>
      </c>
      <c r="S510" t="str">
        <f t="shared" si="77"/>
        <v>Dave/Nolan</v>
      </c>
      <c r="T510">
        <f t="shared" si="78"/>
        <v>95.34</v>
      </c>
      <c r="U510">
        <f t="shared" si="79"/>
        <v>87.74</v>
      </c>
    </row>
    <row r="511" spans="1:21" x14ac:dyDescent="0.3">
      <c r="A511">
        <v>510</v>
      </c>
      <c r="B511" t="str">
        <f>H511&amp;R511&amp;I511</f>
        <v>2020Pat/Tucker11</v>
      </c>
      <c r="C511" t="str">
        <f>H511&amp;S511&amp;I511</f>
        <v>2020Trent/Colin11</v>
      </c>
      <c r="D511">
        <f t="shared" si="70"/>
        <v>861</v>
      </c>
      <c r="E511">
        <f t="shared" si="71"/>
        <v>196</v>
      </c>
      <c r="F511">
        <f t="shared" si="72"/>
        <v>419</v>
      </c>
      <c r="G511">
        <f t="shared" si="73"/>
        <v>69</v>
      </c>
      <c r="H511">
        <v>2020</v>
      </c>
      <c r="I511">
        <v>11</v>
      </c>
      <c r="J511">
        <v>54</v>
      </c>
      <c r="K511" t="s">
        <v>33</v>
      </c>
      <c r="L511">
        <v>120.56</v>
      </c>
      <c r="M511" t="s">
        <v>31</v>
      </c>
      <c r="N511">
        <v>120.8</v>
      </c>
      <c r="O511" t="s">
        <v>20</v>
      </c>
      <c r="P511">
        <f t="shared" si="74"/>
        <v>241.36</v>
      </c>
      <c r="Q511">
        <f t="shared" si="75"/>
        <v>0.23999999999999488</v>
      </c>
      <c r="R511" t="str">
        <f t="shared" si="76"/>
        <v>Pat/Tucker</v>
      </c>
      <c r="S511" t="str">
        <f t="shared" si="77"/>
        <v>Trent/Colin</v>
      </c>
      <c r="T511">
        <f t="shared" si="78"/>
        <v>120.8</v>
      </c>
      <c r="U511">
        <f t="shared" si="79"/>
        <v>120.56</v>
      </c>
    </row>
    <row r="512" spans="1:21" x14ac:dyDescent="0.3">
      <c r="A512">
        <v>511</v>
      </c>
      <c r="B512" t="str">
        <f>H512&amp;R512&amp;I512</f>
        <v>2020Brian/Travis12</v>
      </c>
      <c r="C512" t="str">
        <f>H512&amp;S512&amp;I512</f>
        <v>2020Walker/Cory12</v>
      </c>
      <c r="D512">
        <f t="shared" si="70"/>
        <v>5</v>
      </c>
      <c r="E512">
        <f t="shared" si="71"/>
        <v>94</v>
      </c>
      <c r="F512">
        <f t="shared" si="72"/>
        <v>7</v>
      </c>
      <c r="G512">
        <f t="shared" si="73"/>
        <v>646</v>
      </c>
      <c r="H512">
        <v>2020</v>
      </c>
      <c r="I512">
        <v>12</v>
      </c>
      <c r="J512">
        <v>55</v>
      </c>
      <c r="K512" t="s">
        <v>36</v>
      </c>
      <c r="L512">
        <v>83.1</v>
      </c>
      <c r="M512" t="s">
        <v>32</v>
      </c>
      <c r="N512">
        <v>174.08</v>
      </c>
      <c r="O512" t="s">
        <v>20</v>
      </c>
      <c r="P512">
        <f t="shared" si="74"/>
        <v>257.18</v>
      </c>
      <c r="Q512">
        <f t="shared" si="75"/>
        <v>90.980000000000018</v>
      </c>
      <c r="R512" t="str">
        <f t="shared" si="76"/>
        <v>Brian/Travis</v>
      </c>
      <c r="S512" t="str">
        <f t="shared" si="77"/>
        <v>Walker/Cory</v>
      </c>
      <c r="T512">
        <f t="shared" si="78"/>
        <v>174.08</v>
      </c>
      <c r="U512">
        <f t="shared" si="79"/>
        <v>83.1</v>
      </c>
    </row>
    <row r="513" spans="1:21" x14ac:dyDescent="0.3">
      <c r="A513">
        <v>512</v>
      </c>
      <c r="B513" t="str">
        <f>H513&amp;R513&amp;I513</f>
        <v>2020Eric/Blake12</v>
      </c>
      <c r="C513" t="str">
        <f>H513&amp;S513&amp;I513</f>
        <v>2020Dave/Nolan12</v>
      </c>
      <c r="D513">
        <f t="shared" si="70"/>
        <v>512</v>
      </c>
      <c r="E513">
        <f t="shared" si="71"/>
        <v>97</v>
      </c>
      <c r="F513">
        <f t="shared" si="72"/>
        <v>175</v>
      </c>
      <c r="G513">
        <f t="shared" si="73"/>
        <v>78</v>
      </c>
      <c r="H513">
        <v>2020</v>
      </c>
      <c r="I513">
        <v>12</v>
      </c>
      <c r="J513">
        <v>56</v>
      </c>
      <c r="K513" t="s">
        <v>30</v>
      </c>
      <c r="L513">
        <v>119.74</v>
      </c>
      <c r="M513" t="s">
        <v>34</v>
      </c>
      <c r="N513">
        <v>136.74</v>
      </c>
      <c r="O513" t="s">
        <v>20</v>
      </c>
      <c r="P513">
        <f t="shared" si="74"/>
        <v>256.48</v>
      </c>
      <c r="Q513">
        <f t="shared" si="75"/>
        <v>17.000000000000014</v>
      </c>
      <c r="R513" t="str">
        <f t="shared" si="76"/>
        <v>Eric/Blake</v>
      </c>
      <c r="S513" t="str">
        <f t="shared" si="77"/>
        <v>Dave/Nolan</v>
      </c>
      <c r="T513">
        <f t="shared" si="78"/>
        <v>136.74</v>
      </c>
      <c r="U513">
        <f t="shared" si="79"/>
        <v>119.74</v>
      </c>
    </row>
    <row r="514" spans="1:21" x14ac:dyDescent="0.3">
      <c r="A514">
        <v>513</v>
      </c>
      <c r="B514" t="str">
        <f>H514&amp;R514&amp;I514</f>
        <v>2020Trent/Colin12</v>
      </c>
      <c r="C514" t="str">
        <f>H514&amp;S514&amp;I514</f>
        <v>2020Graham/Michael12</v>
      </c>
      <c r="D514">
        <f t="shared" ref="D514:D577" si="80">RANK(Q514,Q:Q)</f>
        <v>425</v>
      </c>
      <c r="E514">
        <f t="shared" ref="E514:E577" si="81">RANK(P514,P:P)</f>
        <v>162</v>
      </c>
      <c r="F514">
        <f t="shared" ref="F514:F577" si="82">RANK(T514,T:T)</f>
        <v>207</v>
      </c>
      <c r="G514">
        <f t="shared" ref="G514:G577" si="83">RANK(U514,U:U)</f>
        <v>161</v>
      </c>
      <c r="H514">
        <v>2020</v>
      </c>
      <c r="I514">
        <v>12</v>
      </c>
      <c r="J514">
        <v>57</v>
      </c>
      <c r="K514" t="s">
        <v>29</v>
      </c>
      <c r="L514">
        <v>111.82</v>
      </c>
      <c r="M514" t="s">
        <v>33</v>
      </c>
      <c r="N514">
        <v>133.91999999999999</v>
      </c>
      <c r="O514" t="s">
        <v>20</v>
      </c>
      <c r="P514">
        <f t="shared" ref="P514:P577" si="84">SUM(L514,N514)</f>
        <v>245.73999999999998</v>
      </c>
      <c r="Q514">
        <f t="shared" ref="Q514:Q577" si="85">ABS(L514-N514)</f>
        <v>22.099999999999994</v>
      </c>
      <c r="R514" t="str">
        <f t="shared" ref="R514:R577" si="86">IF(L514&gt;N514,K514,M514)</f>
        <v>Trent/Colin</v>
      </c>
      <c r="S514" t="str">
        <f t="shared" ref="S514:S577" si="87">IF(L514&gt;N514,M514,K514)</f>
        <v>Graham/Michael</v>
      </c>
      <c r="T514">
        <f t="shared" ref="T514:T577" si="88">IF(L514&gt;N514,L514,N514)</f>
        <v>133.91999999999999</v>
      </c>
      <c r="U514">
        <f t="shared" ref="U514:U577" si="89">IF(L514&gt;N514,N514,L514)</f>
        <v>111.82</v>
      </c>
    </row>
    <row r="515" spans="1:21" x14ac:dyDescent="0.3">
      <c r="A515">
        <v>514</v>
      </c>
      <c r="B515" t="str">
        <f>H515&amp;R515&amp;I515</f>
        <v>2020Clay/Ryan12</v>
      </c>
      <c r="C515" t="str">
        <f>H515&amp;S515&amp;I515</f>
        <v>2020David/Marshall12</v>
      </c>
      <c r="D515">
        <f t="shared" si="80"/>
        <v>634</v>
      </c>
      <c r="E515">
        <f t="shared" si="81"/>
        <v>498</v>
      </c>
      <c r="F515">
        <f t="shared" si="82"/>
        <v>594</v>
      </c>
      <c r="G515">
        <f t="shared" si="83"/>
        <v>360</v>
      </c>
      <c r="H515">
        <v>2020</v>
      </c>
      <c r="I515">
        <v>12</v>
      </c>
      <c r="J515">
        <v>58</v>
      </c>
      <c r="K515" t="s">
        <v>38</v>
      </c>
      <c r="L515">
        <v>98.3</v>
      </c>
      <c r="M515" t="s">
        <v>35</v>
      </c>
      <c r="N515">
        <v>109.1</v>
      </c>
      <c r="O515" t="s">
        <v>20</v>
      </c>
      <c r="P515">
        <f t="shared" si="84"/>
        <v>207.39999999999998</v>
      </c>
      <c r="Q515">
        <f t="shared" si="85"/>
        <v>10.799999999999997</v>
      </c>
      <c r="R515" t="str">
        <f t="shared" si="86"/>
        <v>Clay/Ryan</v>
      </c>
      <c r="S515" t="str">
        <f t="shared" si="87"/>
        <v>David/Marshall</v>
      </c>
      <c r="T515">
        <f t="shared" si="88"/>
        <v>109.1</v>
      </c>
      <c r="U515">
        <f t="shared" si="89"/>
        <v>98.3</v>
      </c>
    </row>
    <row r="516" spans="1:21" x14ac:dyDescent="0.3">
      <c r="A516">
        <v>515</v>
      </c>
      <c r="B516" t="str">
        <f>H516&amp;R516&amp;I516</f>
        <v>2020Pat/Tucker12</v>
      </c>
      <c r="C516" t="str">
        <f>H516&amp;S516&amp;I516</f>
        <v>2020Drew/Cam12</v>
      </c>
      <c r="D516">
        <f t="shared" si="80"/>
        <v>69</v>
      </c>
      <c r="E516">
        <f t="shared" si="81"/>
        <v>552</v>
      </c>
      <c r="F516">
        <f t="shared" si="82"/>
        <v>279</v>
      </c>
      <c r="G516">
        <f t="shared" si="83"/>
        <v>764</v>
      </c>
      <c r="H516">
        <v>2020</v>
      </c>
      <c r="I516">
        <v>12</v>
      </c>
      <c r="J516">
        <v>59</v>
      </c>
      <c r="K516" t="s">
        <v>37</v>
      </c>
      <c r="L516">
        <v>73.28</v>
      </c>
      <c r="M516" t="s">
        <v>31</v>
      </c>
      <c r="N516">
        <v>128.44</v>
      </c>
      <c r="O516" t="s">
        <v>20</v>
      </c>
      <c r="P516">
        <f t="shared" si="84"/>
        <v>201.72</v>
      </c>
      <c r="Q516">
        <f t="shared" si="85"/>
        <v>55.16</v>
      </c>
      <c r="R516" t="str">
        <f t="shared" si="86"/>
        <v>Pat/Tucker</v>
      </c>
      <c r="S516" t="str">
        <f t="shared" si="87"/>
        <v>Drew/Cam</v>
      </c>
      <c r="T516">
        <f t="shared" si="88"/>
        <v>128.44</v>
      </c>
      <c r="U516">
        <f t="shared" si="89"/>
        <v>73.28</v>
      </c>
    </row>
    <row r="517" spans="1:21" x14ac:dyDescent="0.3">
      <c r="A517">
        <v>516</v>
      </c>
      <c r="B517" t="str">
        <f>H517&amp;R517&amp;I517</f>
        <v>2020Dave/Nolan13</v>
      </c>
      <c r="C517" t="str">
        <f>H517&amp;S517&amp;I517</f>
        <v>2020Trent/Colin13</v>
      </c>
      <c r="D517">
        <f t="shared" si="80"/>
        <v>141</v>
      </c>
      <c r="E517">
        <f t="shared" si="81"/>
        <v>806</v>
      </c>
      <c r="F517">
        <f t="shared" si="82"/>
        <v>662</v>
      </c>
      <c r="G517">
        <f t="shared" si="83"/>
        <v>848</v>
      </c>
      <c r="H517">
        <v>2020</v>
      </c>
      <c r="I517">
        <v>13</v>
      </c>
      <c r="J517">
        <v>60</v>
      </c>
      <c r="K517" t="s">
        <v>30</v>
      </c>
      <c r="L517">
        <v>104.14</v>
      </c>
      <c r="M517" t="s">
        <v>33</v>
      </c>
      <c r="N517">
        <v>59.54</v>
      </c>
      <c r="O517" t="s">
        <v>20</v>
      </c>
      <c r="P517">
        <f t="shared" si="84"/>
        <v>163.68</v>
      </c>
      <c r="Q517">
        <f t="shared" si="85"/>
        <v>44.6</v>
      </c>
      <c r="R517" t="str">
        <f t="shared" si="86"/>
        <v>Dave/Nolan</v>
      </c>
      <c r="S517" t="str">
        <f t="shared" si="87"/>
        <v>Trent/Colin</v>
      </c>
      <c r="T517">
        <f t="shared" si="88"/>
        <v>104.14</v>
      </c>
      <c r="U517">
        <f t="shared" si="89"/>
        <v>59.54</v>
      </c>
    </row>
    <row r="518" spans="1:21" x14ac:dyDescent="0.3">
      <c r="A518">
        <v>517</v>
      </c>
      <c r="B518" t="str">
        <f>H518&amp;R518&amp;I518</f>
        <v>2020Walker/Cory13</v>
      </c>
      <c r="C518" t="str">
        <f>H518&amp;S518&amp;I518</f>
        <v>2020David/Marshall13</v>
      </c>
      <c r="D518">
        <f t="shared" si="80"/>
        <v>742</v>
      </c>
      <c r="E518">
        <f t="shared" si="81"/>
        <v>338</v>
      </c>
      <c r="F518">
        <f t="shared" si="82"/>
        <v>503</v>
      </c>
      <c r="G518">
        <f t="shared" si="83"/>
        <v>193</v>
      </c>
      <c r="H518">
        <v>2020</v>
      </c>
      <c r="I518">
        <v>13</v>
      </c>
      <c r="J518">
        <v>61</v>
      </c>
      <c r="K518" t="s">
        <v>36</v>
      </c>
      <c r="L518">
        <v>115.42</v>
      </c>
      <c r="M518" t="s">
        <v>38</v>
      </c>
      <c r="N518">
        <v>109</v>
      </c>
      <c r="O518" t="s">
        <v>20</v>
      </c>
      <c r="P518">
        <f t="shared" si="84"/>
        <v>224.42000000000002</v>
      </c>
      <c r="Q518">
        <f t="shared" si="85"/>
        <v>6.4200000000000017</v>
      </c>
      <c r="R518" t="str">
        <f t="shared" si="86"/>
        <v>Walker/Cory</v>
      </c>
      <c r="S518" t="str">
        <f t="shared" si="87"/>
        <v>David/Marshall</v>
      </c>
      <c r="T518">
        <f t="shared" si="88"/>
        <v>115.42</v>
      </c>
      <c r="U518">
        <f t="shared" si="89"/>
        <v>109</v>
      </c>
    </row>
    <row r="519" spans="1:21" x14ac:dyDescent="0.3">
      <c r="A519">
        <v>518</v>
      </c>
      <c r="B519" t="str">
        <f>H519&amp;R519&amp;I519</f>
        <v>2020Brian/Travis13</v>
      </c>
      <c r="C519" t="str">
        <f>H519&amp;S519&amp;I519</f>
        <v>2020Pat/Tucker13</v>
      </c>
      <c r="D519">
        <f t="shared" si="80"/>
        <v>41</v>
      </c>
      <c r="E519">
        <f t="shared" si="81"/>
        <v>165</v>
      </c>
      <c r="F519">
        <f t="shared" si="82"/>
        <v>51</v>
      </c>
      <c r="G519">
        <f t="shared" si="83"/>
        <v>471</v>
      </c>
      <c r="H519">
        <v>2020</v>
      </c>
      <c r="I519">
        <v>13</v>
      </c>
      <c r="J519">
        <v>62</v>
      </c>
      <c r="K519" t="s">
        <v>31</v>
      </c>
      <c r="L519">
        <v>91.76</v>
      </c>
      <c r="M519" t="s">
        <v>32</v>
      </c>
      <c r="N519">
        <v>153.32</v>
      </c>
      <c r="O519" t="s">
        <v>20</v>
      </c>
      <c r="P519">
        <f t="shared" si="84"/>
        <v>245.07999999999998</v>
      </c>
      <c r="Q519">
        <f t="shared" si="85"/>
        <v>61.559999999999988</v>
      </c>
      <c r="R519" t="str">
        <f t="shared" si="86"/>
        <v>Brian/Travis</v>
      </c>
      <c r="S519" t="str">
        <f t="shared" si="87"/>
        <v>Pat/Tucker</v>
      </c>
      <c r="T519">
        <f t="shared" si="88"/>
        <v>153.32</v>
      </c>
      <c r="U519">
        <f t="shared" si="89"/>
        <v>91.76</v>
      </c>
    </row>
    <row r="520" spans="1:21" x14ac:dyDescent="0.3">
      <c r="A520">
        <v>519</v>
      </c>
      <c r="B520" t="str">
        <f>H520&amp;R520&amp;I520</f>
        <v>2020Eric/Blake13</v>
      </c>
      <c r="C520" t="str">
        <f>H520&amp;S520&amp;I520</f>
        <v>2020Clay/Ryan13</v>
      </c>
      <c r="D520">
        <f t="shared" si="80"/>
        <v>231</v>
      </c>
      <c r="E520">
        <f t="shared" si="81"/>
        <v>713</v>
      </c>
      <c r="F520">
        <f t="shared" si="82"/>
        <v>590</v>
      </c>
      <c r="G520">
        <f t="shared" si="83"/>
        <v>762</v>
      </c>
      <c r="H520">
        <v>2020</v>
      </c>
      <c r="I520">
        <v>13</v>
      </c>
      <c r="J520">
        <v>63</v>
      </c>
      <c r="K520" t="s">
        <v>34</v>
      </c>
      <c r="L520">
        <v>109.96</v>
      </c>
      <c r="M520" t="s">
        <v>35</v>
      </c>
      <c r="N520">
        <v>73.42</v>
      </c>
      <c r="O520" t="s">
        <v>20</v>
      </c>
      <c r="P520">
        <f t="shared" si="84"/>
        <v>183.38</v>
      </c>
      <c r="Q520">
        <f t="shared" si="85"/>
        <v>36.539999999999992</v>
      </c>
      <c r="R520" t="str">
        <f t="shared" si="86"/>
        <v>Eric/Blake</v>
      </c>
      <c r="S520" t="str">
        <f t="shared" si="87"/>
        <v>Clay/Ryan</v>
      </c>
      <c r="T520">
        <f t="shared" si="88"/>
        <v>109.96</v>
      </c>
      <c r="U520">
        <f t="shared" si="89"/>
        <v>73.42</v>
      </c>
    </row>
    <row r="521" spans="1:21" x14ac:dyDescent="0.3">
      <c r="A521">
        <v>520</v>
      </c>
      <c r="B521" t="str">
        <f>H521&amp;R521&amp;I521</f>
        <v>2020Graham/Michael13</v>
      </c>
      <c r="C521" t="str">
        <f>H521&amp;S521&amp;I521</f>
        <v>2020Drew/Cam13</v>
      </c>
      <c r="D521">
        <f t="shared" si="80"/>
        <v>16</v>
      </c>
      <c r="E521">
        <f t="shared" si="81"/>
        <v>111</v>
      </c>
      <c r="F521">
        <f t="shared" si="82"/>
        <v>25</v>
      </c>
      <c r="G521">
        <f t="shared" si="83"/>
        <v>513</v>
      </c>
      <c r="H521">
        <v>2020</v>
      </c>
      <c r="I521">
        <v>13</v>
      </c>
      <c r="J521">
        <v>64</v>
      </c>
      <c r="K521" t="s">
        <v>37</v>
      </c>
      <c r="L521">
        <v>89.8</v>
      </c>
      <c r="M521" t="s">
        <v>29</v>
      </c>
      <c r="N521">
        <v>164.38</v>
      </c>
      <c r="O521" t="s">
        <v>20</v>
      </c>
      <c r="P521">
        <f t="shared" si="84"/>
        <v>254.18</v>
      </c>
      <c r="Q521">
        <f t="shared" si="85"/>
        <v>74.58</v>
      </c>
      <c r="R521" t="str">
        <f t="shared" si="86"/>
        <v>Graham/Michael</v>
      </c>
      <c r="S521" t="str">
        <f t="shared" si="87"/>
        <v>Drew/Cam</v>
      </c>
      <c r="T521">
        <f t="shared" si="88"/>
        <v>164.38</v>
      </c>
      <c r="U521">
        <f t="shared" si="89"/>
        <v>89.8</v>
      </c>
    </row>
    <row r="522" spans="1:21" x14ac:dyDescent="0.3">
      <c r="A522">
        <v>521</v>
      </c>
      <c r="B522" t="str">
        <f>H522&amp;R522&amp;I522</f>
        <v>2021Brian/Travis1</v>
      </c>
      <c r="C522" t="str">
        <f>H522&amp;S522&amp;I522</f>
        <v>2021Pat/Tucker1</v>
      </c>
      <c r="D522">
        <f t="shared" si="80"/>
        <v>218</v>
      </c>
      <c r="E522">
        <f t="shared" si="81"/>
        <v>91</v>
      </c>
      <c r="F522">
        <f t="shared" si="82"/>
        <v>92</v>
      </c>
      <c r="G522">
        <f t="shared" si="83"/>
        <v>181</v>
      </c>
      <c r="H522">
        <v>2021</v>
      </c>
      <c r="I522">
        <v>1</v>
      </c>
      <c r="J522">
        <v>1</v>
      </c>
      <c r="K522" t="s">
        <v>31</v>
      </c>
      <c r="L522">
        <v>110.1</v>
      </c>
      <c r="M522" t="s">
        <v>32</v>
      </c>
      <c r="N522">
        <v>147.18</v>
      </c>
      <c r="O522" t="s">
        <v>20</v>
      </c>
      <c r="P522">
        <f t="shared" si="84"/>
        <v>257.27999999999997</v>
      </c>
      <c r="Q522">
        <f t="shared" si="85"/>
        <v>37.080000000000013</v>
      </c>
      <c r="R522" t="str">
        <f t="shared" si="86"/>
        <v>Brian/Travis</v>
      </c>
      <c r="S522" t="str">
        <f t="shared" si="87"/>
        <v>Pat/Tucker</v>
      </c>
      <c r="T522">
        <f t="shared" si="88"/>
        <v>147.18</v>
      </c>
      <c r="U522">
        <f t="shared" si="89"/>
        <v>110.1</v>
      </c>
    </row>
    <row r="523" spans="1:21" x14ac:dyDescent="0.3">
      <c r="A523">
        <v>522</v>
      </c>
      <c r="B523" t="str">
        <f>H523&amp;R523&amp;I523</f>
        <v>2021Walker/Cory1</v>
      </c>
      <c r="C523" t="str">
        <f>H523&amp;S523&amp;I523</f>
        <v>2021Eric/Blake1</v>
      </c>
      <c r="D523">
        <f t="shared" si="80"/>
        <v>834</v>
      </c>
      <c r="E523">
        <f t="shared" si="81"/>
        <v>669</v>
      </c>
      <c r="F523">
        <f t="shared" si="82"/>
        <v>771</v>
      </c>
      <c r="G523">
        <f t="shared" si="83"/>
        <v>452</v>
      </c>
      <c r="H523">
        <v>2021</v>
      </c>
      <c r="I523">
        <v>1</v>
      </c>
      <c r="J523">
        <v>2</v>
      </c>
      <c r="K523" t="s">
        <v>36</v>
      </c>
      <c r="L523">
        <v>94.76</v>
      </c>
      <c r="M523" t="s">
        <v>34</v>
      </c>
      <c r="N523">
        <v>92.98</v>
      </c>
      <c r="O523" t="s">
        <v>20</v>
      </c>
      <c r="P523">
        <f t="shared" si="84"/>
        <v>187.74</v>
      </c>
      <c r="Q523">
        <f t="shared" si="85"/>
        <v>1.7800000000000011</v>
      </c>
      <c r="R523" t="str">
        <f t="shared" si="86"/>
        <v>Walker/Cory</v>
      </c>
      <c r="S523" t="str">
        <f t="shared" si="87"/>
        <v>Eric/Blake</v>
      </c>
      <c r="T523">
        <f t="shared" si="88"/>
        <v>94.76</v>
      </c>
      <c r="U523">
        <f t="shared" si="89"/>
        <v>92.98</v>
      </c>
    </row>
    <row r="524" spans="1:21" x14ac:dyDescent="0.3">
      <c r="A524">
        <v>523</v>
      </c>
      <c r="B524" t="str">
        <f>H524&amp;R524&amp;I524</f>
        <v>2021Clay/Ryan1</v>
      </c>
      <c r="C524" t="str">
        <f>H524&amp;S524&amp;I524</f>
        <v>2021Trent/Colin1</v>
      </c>
      <c r="D524">
        <f t="shared" si="80"/>
        <v>820</v>
      </c>
      <c r="E524">
        <f t="shared" si="81"/>
        <v>547</v>
      </c>
      <c r="F524">
        <f t="shared" si="82"/>
        <v>683</v>
      </c>
      <c r="G524">
        <f t="shared" si="83"/>
        <v>330</v>
      </c>
      <c r="H524">
        <v>2021</v>
      </c>
      <c r="I524">
        <v>1</v>
      </c>
      <c r="J524">
        <v>3</v>
      </c>
      <c r="K524" t="s">
        <v>35</v>
      </c>
      <c r="L524">
        <v>102.6</v>
      </c>
      <c r="M524" t="s">
        <v>33</v>
      </c>
      <c r="N524">
        <v>99.82</v>
      </c>
      <c r="O524" t="s">
        <v>20</v>
      </c>
      <c r="P524">
        <f t="shared" si="84"/>
        <v>202.42</v>
      </c>
      <c r="Q524">
        <f t="shared" si="85"/>
        <v>2.7800000000000011</v>
      </c>
      <c r="R524" t="str">
        <f t="shared" si="86"/>
        <v>Clay/Ryan</v>
      </c>
      <c r="S524" t="str">
        <f t="shared" si="87"/>
        <v>Trent/Colin</v>
      </c>
      <c r="T524">
        <f t="shared" si="88"/>
        <v>102.6</v>
      </c>
      <c r="U524">
        <f t="shared" si="89"/>
        <v>99.82</v>
      </c>
    </row>
    <row r="525" spans="1:21" x14ac:dyDescent="0.3">
      <c r="A525">
        <v>524</v>
      </c>
      <c r="B525" t="str">
        <f>H525&amp;R525&amp;I525</f>
        <v>2021Dave/Nolan1</v>
      </c>
      <c r="C525" t="str">
        <f>H525&amp;S525&amp;I525</f>
        <v>2021Graham/Michael1</v>
      </c>
      <c r="D525">
        <f t="shared" si="80"/>
        <v>281</v>
      </c>
      <c r="E525">
        <f t="shared" si="81"/>
        <v>88</v>
      </c>
      <c r="F525">
        <f t="shared" si="82"/>
        <v>105</v>
      </c>
      <c r="G525">
        <f t="shared" si="83"/>
        <v>147</v>
      </c>
      <c r="H525">
        <v>2021</v>
      </c>
      <c r="I525">
        <v>1</v>
      </c>
      <c r="J525">
        <v>4</v>
      </c>
      <c r="K525" t="s">
        <v>29</v>
      </c>
      <c r="L525">
        <v>113.12</v>
      </c>
      <c r="M525" t="s">
        <v>30</v>
      </c>
      <c r="N525">
        <v>145.06</v>
      </c>
      <c r="O525" t="s">
        <v>20</v>
      </c>
      <c r="P525">
        <f t="shared" si="84"/>
        <v>258.18</v>
      </c>
      <c r="Q525">
        <f t="shared" si="85"/>
        <v>31.939999999999998</v>
      </c>
      <c r="R525" t="str">
        <f t="shared" si="86"/>
        <v>Dave/Nolan</v>
      </c>
      <c r="S525" t="str">
        <f t="shared" si="87"/>
        <v>Graham/Michael</v>
      </c>
      <c r="T525">
        <f t="shared" si="88"/>
        <v>145.06</v>
      </c>
      <c r="U525">
        <f t="shared" si="89"/>
        <v>113.12</v>
      </c>
    </row>
    <row r="526" spans="1:21" x14ac:dyDescent="0.3">
      <c r="A526">
        <v>525</v>
      </c>
      <c r="B526" t="str">
        <f>H526&amp;R526&amp;I526</f>
        <v>2021David/Marshall1</v>
      </c>
      <c r="C526" t="str">
        <f>H526&amp;S526&amp;I526</f>
        <v>2021Drew/Cam1</v>
      </c>
      <c r="D526">
        <f t="shared" si="80"/>
        <v>704</v>
      </c>
      <c r="E526">
        <f t="shared" si="81"/>
        <v>131</v>
      </c>
      <c r="F526">
        <f t="shared" si="82"/>
        <v>269</v>
      </c>
      <c r="G526">
        <f t="shared" si="83"/>
        <v>66</v>
      </c>
      <c r="H526">
        <v>2021</v>
      </c>
      <c r="I526">
        <v>1</v>
      </c>
      <c r="J526">
        <v>5</v>
      </c>
      <c r="K526" t="s">
        <v>37</v>
      </c>
      <c r="L526">
        <v>121.38</v>
      </c>
      <c r="M526" t="s">
        <v>38</v>
      </c>
      <c r="N526">
        <v>129.19999999999999</v>
      </c>
      <c r="O526" t="s">
        <v>20</v>
      </c>
      <c r="P526">
        <f t="shared" si="84"/>
        <v>250.57999999999998</v>
      </c>
      <c r="Q526">
        <f t="shared" si="85"/>
        <v>7.8199999999999932</v>
      </c>
      <c r="R526" t="str">
        <f t="shared" si="86"/>
        <v>David/Marshall</v>
      </c>
      <c r="S526" t="str">
        <f t="shared" si="87"/>
        <v>Drew/Cam</v>
      </c>
      <c r="T526">
        <f t="shared" si="88"/>
        <v>129.19999999999999</v>
      </c>
      <c r="U526">
        <f t="shared" si="89"/>
        <v>121.38</v>
      </c>
    </row>
    <row r="527" spans="1:21" x14ac:dyDescent="0.3">
      <c r="A527">
        <v>526</v>
      </c>
      <c r="B527" t="str">
        <f>H527&amp;R527&amp;I527</f>
        <v>2021Trent/Colin2</v>
      </c>
      <c r="C527" t="str">
        <f>H527&amp;S527&amp;I527</f>
        <v>2021Eric/Blake2</v>
      </c>
      <c r="D527">
        <f t="shared" si="80"/>
        <v>282</v>
      </c>
      <c r="E527">
        <f t="shared" si="81"/>
        <v>283</v>
      </c>
      <c r="F527">
        <f t="shared" si="82"/>
        <v>239</v>
      </c>
      <c r="G527">
        <f t="shared" si="83"/>
        <v>347</v>
      </c>
      <c r="H527">
        <v>2021</v>
      </c>
      <c r="I527">
        <v>2</v>
      </c>
      <c r="J527">
        <v>6</v>
      </c>
      <c r="K527" t="s">
        <v>34</v>
      </c>
      <c r="L527">
        <v>99.02</v>
      </c>
      <c r="M527" t="s">
        <v>33</v>
      </c>
      <c r="N527">
        <v>130.9</v>
      </c>
      <c r="O527" t="s">
        <v>20</v>
      </c>
      <c r="P527">
        <f t="shared" si="84"/>
        <v>229.92000000000002</v>
      </c>
      <c r="Q527">
        <f t="shared" si="85"/>
        <v>31.88000000000001</v>
      </c>
      <c r="R527" t="str">
        <f t="shared" si="86"/>
        <v>Trent/Colin</v>
      </c>
      <c r="S527" t="str">
        <f t="shared" si="87"/>
        <v>Eric/Blake</v>
      </c>
      <c r="T527">
        <f t="shared" si="88"/>
        <v>130.9</v>
      </c>
      <c r="U527">
        <f t="shared" si="89"/>
        <v>99.02</v>
      </c>
    </row>
    <row r="528" spans="1:21" x14ac:dyDescent="0.3">
      <c r="A528">
        <v>527</v>
      </c>
      <c r="B528" t="str">
        <f>H528&amp;R528&amp;I528</f>
        <v>2021Pat/Tucker2</v>
      </c>
      <c r="C528" t="str">
        <f>H528&amp;S528&amp;I528</f>
        <v>2021Dave/Nolan2</v>
      </c>
      <c r="D528">
        <f t="shared" si="80"/>
        <v>454</v>
      </c>
      <c r="E528">
        <f t="shared" si="81"/>
        <v>316</v>
      </c>
      <c r="F528">
        <f t="shared" si="82"/>
        <v>373</v>
      </c>
      <c r="G528">
        <f t="shared" si="83"/>
        <v>274</v>
      </c>
      <c r="H528">
        <v>2021</v>
      </c>
      <c r="I528">
        <v>2</v>
      </c>
      <c r="J528">
        <v>7</v>
      </c>
      <c r="K528" t="s">
        <v>30</v>
      </c>
      <c r="L528">
        <v>102.84</v>
      </c>
      <c r="M528" t="s">
        <v>31</v>
      </c>
      <c r="N528">
        <v>123.36</v>
      </c>
      <c r="O528" t="s">
        <v>20</v>
      </c>
      <c r="P528">
        <f t="shared" si="84"/>
        <v>226.2</v>
      </c>
      <c r="Q528">
        <f t="shared" si="85"/>
        <v>20.519999999999996</v>
      </c>
      <c r="R528" t="str">
        <f t="shared" si="86"/>
        <v>Pat/Tucker</v>
      </c>
      <c r="S528" t="str">
        <f t="shared" si="87"/>
        <v>Dave/Nolan</v>
      </c>
      <c r="T528">
        <f t="shared" si="88"/>
        <v>123.36</v>
      </c>
      <c r="U528">
        <f t="shared" si="89"/>
        <v>102.84</v>
      </c>
    </row>
    <row r="529" spans="1:21" x14ac:dyDescent="0.3">
      <c r="A529">
        <v>528</v>
      </c>
      <c r="B529" t="str">
        <f>H529&amp;R529&amp;I529</f>
        <v>2021David/Marshall2</v>
      </c>
      <c r="C529" t="str">
        <f>H529&amp;S529&amp;I529</f>
        <v>2021Brian/Travis2</v>
      </c>
      <c r="D529">
        <f t="shared" si="80"/>
        <v>766</v>
      </c>
      <c r="E529">
        <f t="shared" si="81"/>
        <v>194</v>
      </c>
      <c r="F529">
        <f t="shared" si="82"/>
        <v>371</v>
      </c>
      <c r="G529">
        <f t="shared" si="83"/>
        <v>92</v>
      </c>
      <c r="H529">
        <v>2021</v>
      </c>
      <c r="I529">
        <v>2</v>
      </c>
      <c r="J529">
        <v>8</v>
      </c>
      <c r="K529" t="s">
        <v>38</v>
      </c>
      <c r="L529">
        <v>123.4</v>
      </c>
      <c r="M529" t="s">
        <v>32</v>
      </c>
      <c r="N529">
        <v>118.02</v>
      </c>
      <c r="O529" t="s">
        <v>20</v>
      </c>
      <c r="P529">
        <f t="shared" si="84"/>
        <v>241.42000000000002</v>
      </c>
      <c r="Q529">
        <f t="shared" si="85"/>
        <v>5.3800000000000097</v>
      </c>
      <c r="R529" t="str">
        <f t="shared" si="86"/>
        <v>David/Marshall</v>
      </c>
      <c r="S529" t="str">
        <f t="shared" si="87"/>
        <v>Brian/Travis</v>
      </c>
      <c r="T529">
        <f t="shared" si="88"/>
        <v>123.4</v>
      </c>
      <c r="U529">
        <f t="shared" si="89"/>
        <v>118.02</v>
      </c>
    </row>
    <row r="530" spans="1:21" x14ac:dyDescent="0.3">
      <c r="A530">
        <v>529</v>
      </c>
      <c r="B530" t="str">
        <f>H530&amp;R530&amp;I530</f>
        <v>2021Walker/Cory2</v>
      </c>
      <c r="C530" t="str">
        <f>H530&amp;S530&amp;I530</f>
        <v>2021Graham/Michael2</v>
      </c>
      <c r="D530">
        <f t="shared" si="80"/>
        <v>534</v>
      </c>
      <c r="E530">
        <f t="shared" si="81"/>
        <v>404</v>
      </c>
      <c r="F530">
        <f t="shared" si="82"/>
        <v>489</v>
      </c>
      <c r="G530">
        <f t="shared" si="83"/>
        <v>319</v>
      </c>
      <c r="H530">
        <v>2021</v>
      </c>
      <c r="I530">
        <v>2</v>
      </c>
      <c r="J530">
        <v>9</v>
      </c>
      <c r="K530" t="s">
        <v>29</v>
      </c>
      <c r="L530">
        <v>100.48</v>
      </c>
      <c r="M530" t="s">
        <v>36</v>
      </c>
      <c r="N530">
        <v>116.12</v>
      </c>
      <c r="O530" t="s">
        <v>20</v>
      </c>
      <c r="P530">
        <f t="shared" si="84"/>
        <v>216.60000000000002</v>
      </c>
      <c r="Q530">
        <f t="shared" si="85"/>
        <v>15.64</v>
      </c>
      <c r="R530" t="str">
        <f t="shared" si="86"/>
        <v>Walker/Cory</v>
      </c>
      <c r="S530" t="str">
        <f t="shared" si="87"/>
        <v>Graham/Michael</v>
      </c>
      <c r="T530">
        <f t="shared" si="88"/>
        <v>116.12</v>
      </c>
      <c r="U530">
        <f t="shared" si="89"/>
        <v>100.48</v>
      </c>
    </row>
    <row r="531" spans="1:21" x14ac:dyDescent="0.3">
      <c r="A531">
        <v>530</v>
      </c>
      <c r="B531" t="str">
        <f>H531&amp;R531&amp;I531</f>
        <v>2021Clay/Ryan2</v>
      </c>
      <c r="C531" t="str">
        <f>H531&amp;S531&amp;I531</f>
        <v>2021Drew/Cam2</v>
      </c>
      <c r="D531">
        <f t="shared" si="80"/>
        <v>541</v>
      </c>
      <c r="E531">
        <f t="shared" si="81"/>
        <v>133</v>
      </c>
      <c r="F531">
        <f t="shared" si="82"/>
        <v>227</v>
      </c>
      <c r="G531">
        <f t="shared" si="83"/>
        <v>102</v>
      </c>
      <c r="H531">
        <v>2021</v>
      </c>
      <c r="I531">
        <v>2</v>
      </c>
      <c r="J531">
        <v>10</v>
      </c>
      <c r="K531" t="s">
        <v>37</v>
      </c>
      <c r="L531">
        <v>117.18</v>
      </c>
      <c r="M531" t="s">
        <v>35</v>
      </c>
      <c r="N531">
        <v>132.56</v>
      </c>
      <c r="O531" t="s">
        <v>20</v>
      </c>
      <c r="P531">
        <f t="shared" si="84"/>
        <v>249.74</v>
      </c>
      <c r="Q531">
        <f t="shared" si="85"/>
        <v>15.379999999999995</v>
      </c>
      <c r="R531" t="str">
        <f t="shared" si="86"/>
        <v>Clay/Ryan</v>
      </c>
      <c r="S531" t="str">
        <f t="shared" si="87"/>
        <v>Drew/Cam</v>
      </c>
      <c r="T531">
        <f t="shared" si="88"/>
        <v>132.56</v>
      </c>
      <c r="U531">
        <f t="shared" si="89"/>
        <v>117.18</v>
      </c>
    </row>
    <row r="532" spans="1:21" x14ac:dyDescent="0.3">
      <c r="A532">
        <v>531</v>
      </c>
      <c r="B532" t="str">
        <f>H532&amp;R532&amp;I532</f>
        <v>2021David/Marshall3</v>
      </c>
      <c r="C532" t="str">
        <f>H532&amp;S532&amp;I532</f>
        <v>2021Dave/Nolan3</v>
      </c>
      <c r="D532">
        <f t="shared" si="80"/>
        <v>569</v>
      </c>
      <c r="E532">
        <f t="shared" si="81"/>
        <v>271</v>
      </c>
      <c r="F532">
        <f t="shared" si="82"/>
        <v>387</v>
      </c>
      <c r="G532">
        <f t="shared" si="83"/>
        <v>197</v>
      </c>
      <c r="H532">
        <v>2021</v>
      </c>
      <c r="I532">
        <v>3</v>
      </c>
      <c r="J532">
        <v>11</v>
      </c>
      <c r="K532" t="s">
        <v>30</v>
      </c>
      <c r="L532">
        <v>108.78</v>
      </c>
      <c r="M532" t="s">
        <v>38</v>
      </c>
      <c r="N532">
        <v>122.54</v>
      </c>
      <c r="O532" t="s">
        <v>20</v>
      </c>
      <c r="P532">
        <f t="shared" si="84"/>
        <v>231.32</v>
      </c>
      <c r="Q532">
        <f t="shared" si="85"/>
        <v>13.760000000000005</v>
      </c>
      <c r="R532" t="str">
        <f t="shared" si="86"/>
        <v>David/Marshall</v>
      </c>
      <c r="S532" t="str">
        <f t="shared" si="87"/>
        <v>Dave/Nolan</v>
      </c>
      <c r="T532">
        <f t="shared" si="88"/>
        <v>122.54</v>
      </c>
      <c r="U532">
        <f t="shared" si="89"/>
        <v>108.78</v>
      </c>
    </row>
    <row r="533" spans="1:21" x14ac:dyDescent="0.3">
      <c r="A533">
        <v>532</v>
      </c>
      <c r="B533" t="str">
        <f>H533&amp;R533&amp;I533</f>
        <v>2021Graham/Michael3</v>
      </c>
      <c r="C533" t="str">
        <f>H533&amp;S533&amp;I533</f>
        <v>2021Eric/Blake3</v>
      </c>
      <c r="D533">
        <f t="shared" si="80"/>
        <v>756</v>
      </c>
      <c r="E533">
        <f t="shared" si="81"/>
        <v>112</v>
      </c>
      <c r="F533">
        <f t="shared" si="82"/>
        <v>254</v>
      </c>
      <c r="G533">
        <f t="shared" si="83"/>
        <v>50</v>
      </c>
      <c r="H533">
        <v>2021</v>
      </c>
      <c r="I533">
        <v>3</v>
      </c>
      <c r="J533">
        <v>12</v>
      </c>
      <c r="K533" t="s">
        <v>34</v>
      </c>
      <c r="L533">
        <v>124.04</v>
      </c>
      <c r="M533" t="s">
        <v>29</v>
      </c>
      <c r="N533">
        <v>130.02000000000001</v>
      </c>
      <c r="O533" t="s">
        <v>20</v>
      </c>
      <c r="P533">
        <f t="shared" si="84"/>
        <v>254.06</v>
      </c>
      <c r="Q533">
        <f t="shared" si="85"/>
        <v>5.980000000000004</v>
      </c>
      <c r="R533" t="str">
        <f t="shared" si="86"/>
        <v>Graham/Michael</v>
      </c>
      <c r="S533" t="str">
        <f t="shared" si="87"/>
        <v>Eric/Blake</v>
      </c>
      <c r="T533">
        <f t="shared" si="88"/>
        <v>130.02000000000001</v>
      </c>
      <c r="U533">
        <f t="shared" si="89"/>
        <v>124.04</v>
      </c>
    </row>
    <row r="534" spans="1:21" x14ac:dyDescent="0.3">
      <c r="A534">
        <v>533</v>
      </c>
      <c r="B534" t="str">
        <f>H534&amp;R534&amp;I534</f>
        <v>2021Trent/Colin3</v>
      </c>
      <c r="C534" t="str">
        <f>H534&amp;S534&amp;I534</f>
        <v>2021Drew/Cam3</v>
      </c>
      <c r="D534">
        <f t="shared" si="80"/>
        <v>856</v>
      </c>
      <c r="E534">
        <f t="shared" si="81"/>
        <v>724</v>
      </c>
      <c r="F534">
        <f t="shared" si="82"/>
        <v>811</v>
      </c>
      <c r="G534">
        <f t="shared" si="83"/>
        <v>499</v>
      </c>
      <c r="H534">
        <v>2021</v>
      </c>
      <c r="I534">
        <v>3</v>
      </c>
      <c r="J534">
        <v>13</v>
      </c>
      <c r="K534" t="s">
        <v>33</v>
      </c>
      <c r="L534">
        <v>90.84</v>
      </c>
      <c r="M534" t="s">
        <v>37</v>
      </c>
      <c r="N534">
        <v>90.28</v>
      </c>
      <c r="O534" t="s">
        <v>20</v>
      </c>
      <c r="P534">
        <f t="shared" si="84"/>
        <v>181.12</v>
      </c>
      <c r="Q534">
        <f t="shared" si="85"/>
        <v>0.56000000000000227</v>
      </c>
      <c r="R534" t="str">
        <f t="shared" si="86"/>
        <v>Trent/Colin</v>
      </c>
      <c r="S534" t="str">
        <f t="shared" si="87"/>
        <v>Drew/Cam</v>
      </c>
      <c r="T534">
        <f t="shared" si="88"/>
        <v>90.84</v>
      </c>
      <c r="U534">
        <f t="shared" si="89"/>
        <v>90.28</v>
      </c>
    </row>
    <row r="535" spans="1:21" x14ac:dyDescent="0.3">
      <c r="A535">
        <v>534</v>
      </c>
      <c r="B535" t="str">
        <f>H535&amp;R535&amp;I535</f>
        <v>2021Pat/Tucker3</v>
      </c>
      <c r="C535" t="str">
        <f>H535&amp;S535&amp;I535</f>
        <v>2021Walker/Cory3</v>
      </c>
      <c r="D535">
        <f t="shared" si="80"/>
        <v>600</v>
      </c>
      <c r="E535">
        <f t="shared" si="81"/>
        <v>795</v>
      </c>
      <c r="F535">
        <f t="shared" si="82"/>
        <v>824</v>
      </c>
      <c r="G535">
        <f t="shared" si="83"/>
        <v>699</v>
      </c>
      <c r="H535">
        <v>2021</v>
      </c>
      <c r="I535">
        <v>3</v>
      </c>
      <c r="J535">
        <v>14</v>
      </c>
      <c r="K535" t="s">
        <v>31</v>
      </c>
      <c r="L535">
        <v>89.88</v>
      </c>
      <c r="M535" t="s">
        <v>36</v>
      </c>
      <c r="N535">
        <v>77.819999999999993</v>
      </c>
      <c r="O535" t="s">
        <v>20</v>
      </c>
      <c r="P535">
        <f t="shared" si="84"/>
        <v>167.7</v>
      </c>
      <c r="Q535">
        <f t="shared" si="85"/>
        <v>12.060000000000002</v>
      </c>
      <c r="R535" t="str">
        <f t="shared" si="86"/>
        <v>Pat/Tucker</v>
      </c>
      <c r="S535" t="str">
        <f t="shared" si="87"/>
        <v>Walker/Cory</v>
      </c>
      <c r="T535">
        <f t="shared" si="88"/>
        <v>89.88</v>
      </c>
      <c r="U535">
        <f t="shared" si="89"/>
        <v>77.819999999999993</v>
      </c>
    </row>
    <row r="536" spans="1:21" x14ac:dyDescent="0.3">
      <c r="A536">
        <v>535</v>
      </c>
      <c r="B536" t="str">
        <f>H536&amp;R536&amp;I536</f>
        <v>2021Clay/Ryan3</v>
      </c>
      <c r="C536" t="str">
        <f>H536&amp;S536&amp;I536</f>
        <v>2021Brian/Travis3</v>
      </c>
      <c r="D536">
        <f t="shared" si="80"/>
        <v>622</v>
      </c>
      <c r="E536">
        <f t="shared" si="81"/>
        <v>185</v>
      </c>
      <c r="F536">
        <f t="shared" si="82"/>
        <v>307</v>
      </c>
      <c r="G536">
        <f t="shared" si="83"/>
        <v>119</v>
      </c>
      <c r="H536">
        <v>2021</v>
      </c>
      <c r="I536">
        <v>3</v>
      </c>
      <c r="J536">
        <v>15</v>
      </c>
      <c r="K536" t="s">
        <v>32</v>
      </c>
      <c r="L536">
        <v>115.7</v>
      </c>
      <c r="M536" t="s">
        <v>35</v>
      </c>
      <c r="N536">
        <v>126.92</v>
      </c>
      <c r="O536" t="s">
        <v>20</v>
      </c>
      <c r="P536">
        <f t="shared" si="84"/>
        <v>242.62</v>
      </c>
      <c r="Q536">
        <f t="shared" si="85"/>
        <v>11.219999999999999</v>
      </c>
      <c r="R536" t="str">
        <f t="shared" si="86"/>
        <v>Clay/Ryan</v>
      </c>
      <c r="S536" t="str">
        <f t="shared" si="87"/>
        <v>Brian/Travis</v>
      </c>
      <c r="T536">
        <f t="shared" si="88"/>
        <v>126.92</v>
      </c>
      <c r="U536">
        <f t="shared" si="89"/>
        <v>115.7</v>
      </c>
    </row>
    <row r="537" spans="1:21" x14ac:dyDescent="0.3">
      <c r="A537">
        <v>536</v>
      </c>
      <c r="B537" t="str">
        <f>H537&amp;R537&amp;I537</f>
        <v>2021Drew/Cam4</v>
      </c>
      <c r="C537" t="str">
        <f>H537&amp;S537&amp;I537</f>
        <v>2021Graham/Michael4</v>
      </c>
      <c r="D537">
        <f t="shared" si="80"/>
        <v>610</v>
      </c>
      <c r="E537">
        <f t="shared" si="81"/>
        <v>55</v>
      </c>
      <c r="F537">
        <f t="shared" si="82"/>
        <v>125</v>
      </c>
      <c r="G537">
        <f t="shared" si="83"/>
        <v>28</v>
      </c>
      <c r="H537">
        <v>2021</v>
      </c>
      <c r="I537">
        <v>4</v>
      </c>
      <c r="J537">
        <v>16</v>
      </c>
      <c r="K537" t="s">
        <v>29</v>
      </c>
      <c r="L537">
        <v>129.41999999999999</v>
      </c>
      <c r="M537" t="s">
        <v>37</v>
      </c>
      <c r="N537">
        <v>141.4</v>
      </c>
      <c r="O537" t="s">
        <v>20</v>
      </c>
      <c r="P537">
        <f t="shared" si="84"/>
        <v>270.82</v>
      </c>
      <c r="Q537">
        <f t="shared" si="85"/>
        <v>11.980000000000018</v>
      </c>
      <c r="R537" t="str">
        <f t="shared" si="86"/>
        <v>Drew/Cam</v>
      </c>
      <c r="S537" t="str">
        <f t="shared" si="87"/>
        <v>Graham/Michael</v>
      </c>
      <c r="T537">
        <f t="shared" si="88"/>
        <v>141.4</v>
      </c>
      <c r="U537">
        <f t="shared" si="89"/>
        <v>129.41999999999999</v>
      </c>
    </row>
    <row r="538" spans="1:21" x14ac:dyDescent="0.3">
      <c r="A538">
        <v>537</v>
      </c>
      <c r="B538" t="str">
        <f>H538&amp;R538&amp;I538</f>
        <v>2021Walker/Cory4</v>
      </c>
      <c r="C538" t="str">
        <f>H538&amp;S538&amp;I538</f>
        <v>2021Dave/Nolan4</v>
      </c>
      <c r="D538">
        <f t="shared" si="80"/>
        <v>508</v>
      </c>
      <c r="E538">
        <f t="shared" si="81"/>
        <v>543</v>
      </c>
      <c r="F538">
        <f t="shared" si="82"/>
        <v>587</v>
      </c>
      <c r="G538">
        <f t="shared" si="83"/>
        <v>453</v>
      </c>
      <c r="H538">
        <v>2021</v>
      </c>
      <c r="I538">
        <v>4</v>
      </c>
      <c r="J538">
        <v>17</v>
      </c>
      <c r="K538" t="s">
        <v>36</v>
      </c>
      <c r="L538">
        <v>110.06</v>
      </c>
      <c r="M538" t="s">
        <v>30</v>
      </c>
      <c r="N538">
        <v>92.76</v>
      </c>
      <c r="O538" t="s">
        <v>20</v>
      </c>
      <c r="P538">
        <f t="shared" si="84"/>
        <v>202.82</v>
      </c>
      <c r="Q538">
        <f t="shared" si="85"/>
        <v>17.299999999999997</v>
      </c>
      <c r="R538" t="str">
        <f t="shared" si="86"/>
        <v>Walker/Cory</v>
      </c>
      <c r="S538" t="str">
        <f t="shared" si="87"/>
        <v>Dave/Nolan</v>
      </c>
      <c r="T538">
        <f t="shared" si="88"/>
        <v>110.06</v>
      </c>
      <c r="U538">
        <f t="shared" si="89"/>
        <v>92.76</v>
      </c>
    </row>
    <row r="539" spans="1:21" x14ac:dyDescent="0.3">
      <c r="A539">
        <v>538</v>
      </c>
      <c r="B539" t="str">
        <f>H539&amp;R539&amp;I539</f>
        <v>2021David/Marshall4</v>
      </c>
      <c r="C539" t="str">
        <f>H539&amp;S539&amp;I539</f>
        <v>2021Clay/Ryan4</v>
      </c>
      <c r="D539">
        <f t="shared" si="80"/>
        <v>133</v>
      </c>
      <c r="E539">
        <f t="shared" si="81"/>
        <v>738</v>
      </c>
      <c r="F539">
        <f t="shared" si="82"/>
        <v>541</v>
      </c>
      <c r="G539">
        <f t="shared" si="83"/>
        <v>813</v>
      </c>
      <c r="H539">
        <v>2021</v>
      </c>
      <c r="I539">
        <v>4</v>
      </c>
      <c r="J539">
        <v>18</v>
      </c>
      <c r="K539" t="s">
        <v>35</v>
      </c>
      <c r="L539">
        <v>66.92</v>
      </c>
      <c r="M539" t="s">
        <v>38</v>
      </c>
      <c r="N539">
        <v>112.72</v>
      </c>
      <c r="O539" t="s">
        <v>20</v>
      </c>
      <c r="P539">
        <f t="shared" si="84"/>
        <v>179.64</v>
      </c>
      <c r="Q539">
        <f t="shared" si="85"/>
        <v>45.8</v>
      </c>
      <c r="R539" t="str">
        <f t="shared" si="86"/>
        <v>David/Marshall</v>
      </c>
      <c r="S539" t="str">
        <f t="shared" si="87"/>
        <v>Clay/Ryan</v>
      </c>
      <c r="T539">
        <f t="shared" si="88"/>
        <v>112.72</v>
      </c>
      <c r="U539">
        <f t="shared" si="89"/>
        <v>66.92</v>
      </c>
    </row>
    <row r="540" spans="1:21" x14ac:dyDescent="0.3">
      <c r="A540">
        <v>539</v>
      </c>
      <c r="B540" t="str">
        <f>H540&amp;R540&amp;I540</f>
        <v>2021Eric/Blake4</v>
      </c>
      <c r="C540" t="str">
        <f>H540&amp;S540&amp;I540</f>
        <v>2021Pat/Tucker4</v>
      </c>
      <c r="D540">
        <f t="shared" si="80"/>
        <v>373</v>
      </c>
      <c r="E540">
        <f t="shared" si="81"/>
        <v>4</v>
      </c>
      <c r="F540">
        <f t="shared" si="82"/>
        <v>24</v>
      </c>
      <c r="G540">
        <f t="shared" si="83"/>
        <v>10</v>
      </c>
      <c r="H540">
        <v>2021</v>
      </c>
      <c r="I540">
        <v>4</v>
      </c>
      <c r="J540">
        <v>19</v>
      </c>
      <c r="K540" t="s">
        <v>31</v>
      </c>
      <c r="L540">
        <v>139.63999999999999</v>
      </c>
      <c r="M540" t="s">
        <v>34</v>
      </c>
      <c r="N540">
        <v>164.48</v>
      </c>
      <c r="O540" t="s">
        <v>20</v>
      </c>
      <c r="P540">
        <f t="shared" si="84"/>
        <v>304.12</v>
      </c>
      <c r="Q540">
        <f t="shared" si="85"/>
        <v>24.840000000000003</v>
      </c>
      <c r="R540" t="str">
        <f t="shared" si="86"/>
        <v>Eric/Blake</v>
      </c>
      <c r="S540" t="str">
        <f t="shared" si="87"/>
        <v>Pat/Tucker</v>
      </c>
      <c r="T540">
        <f t="shared" si="88"/>
        <v>164.48</v>
      </c>
      <c r="U540">
        <f t="shared" si="89"/>
        <v>139.63999999999999</v>
      </c>
    </row>
    <row r="541" spans="1:21" x14ac:dyDescent="0.3">
      <c r="A541">
        <v>540</v>
      </c>
      <c r="B541" t="str">
        <f>H541&amp;R541&amp;I541</f>
        <v>2021Trent/Colin4</v>
      </c>
      <c r="C541" t="str">
        <f>H541&amp;S541&amp;I541</f>
        <v>2021Brian/Travis4</v>
      </c>
      <c r="D541">
        <f t="shared" si="80"/>
        <v>684</v>
      </c>
      <c r="E541">
        <f t="shared" si="81"/>
        <v>761</v>
      </c>
      <c r="F541">
        <f t="shared" si="82"/>
        <v>804</v>
      </c>
      <c r="G541">
        <f t="shared" si="83"/>
        <v>642</v>
      </c>
      <c r="H541">
        <v>2021</v>
      </c>
      <c r="I541">
        <v>4</v>
      </c>
      <c r="J541">
        <v>20</v>
      </c>
      <c r="K541" t="s">
        <v>32</v>
      </c>
      <c r="L541">
        <v>83.32</v>
      </c>
      <c r="M541" t="s">
        <v>33</v>
      </c>
      <c r="N541">
        <v>91.98</v>
      </c>
      <c r="O541" t="s">
        <v>20</v>
      </c>
      <c r="P541">
        <f t="shared" si="84"/>
        <v>175.3</v>
      </c>
      <c r="Q541">
        <f t="shared" si="85"/>
        <v>8.6600000000000108</v>
      </c>
      <c r="R541" t="str">
        <f t="shared" si="86"/>
        <v>Trent/Colin</v>
      </c>
      <c r="S541" t="str">
        <f t="shared" si="87"/>
        <v>Brian/Travis</v>
      </c>
      <c r="T541">
        <f t="shared" si="88"/>
        <v>91.98</v>
      </c>
      <c r="U541">
        <f t="shared" si="89"/>
        <v>83.32</v>
      </c>
    </row>
    <row r="542" spans="1:21" x14ac:dyDescent="0.3">
      <c r="A542">
        <v>541</v>
      </c>
      <c r="B542" t="str">
        <f>H542&amp;R542&amp;I542</f>
        <v>2021Clay/Ryan5</v>
      </c>
      <c r="C542" t="str">
        <f>H542&amp;S542&amp;I542</f>
        <v>2021Walker/Cory5</v>
      </c>
      <c r="D542">
        <f t="shared" si="80"/>
        <v>113</v>
      </c>
      <c r="E542">
        <f t="shared" si="81"/>
        <v>315</v>
      </c>
      <c r="F542">
        <f t="shared" si="82"/>
        <v>167</v>
      </c>
      <c r="G542">
        <f t="shared" si="83"/>
        <v>530</v>
      </c>
      <c r="H542">
        <v>2021</v>
      </c>
      <c r="I542">
        <v>5</v>
      </c>
      <c r="J542">
        <v>21</v>
      </c>
      <c r="K542" t="s">
        <v>36</v>
      </c>
      <c r="L542">
        <v>88.98</v>
      </c>
      <c r="M542" t="s">
        <v>35</v>
      </c>
      <c r="N542">
        <v>137.30000000000001</v>
      </c>
      <c r="O542" t="s">
        <v>20</v>
      </c>
      <c r="P542">
        <f t="shared" si="84"/>
        <v>226.28000000000003</v>
      </c>
      <c r="Q542">
        <f t="shared" si="85"/>
        <v>48.320000000000007</v>
      </c>
      <c r="R542" t="str">
        <f t="shared" si="86"/>
        <v>Clay/Ryan</v>
      </c>
      <c r="S542" t="str">
        <f t="shared" si="87"/>
        <v>Walker/Cory</v>
      </c>
      <c r="T542">
        <f t="shared" si="88"/>
        <v>137.30000000000001</v>
      </c>
      <c r="U542">
        <f t="shared" si="89"/>
        <v>88.98</v>
      </c>
    </row>
    <row r="543" spans="1:21" x14ac:dyDescent="0.3">
      <c r="A543">
        <v>542</v>
      </c>
      <c r="B543" t="str">
        <f>H543&amp;R543&amp;I543</f>
        <v>2021Graham/Michael5</v>
      </c>
      <c r="C543" t="str">
        <f>H543&amp;S543&amp;I543</f>
        <v>2021Pat/Tucker5</v>
      </c>
      <c r="D543">
        <f t="shared" si="80"/>
        <v>640</v>
      </c>
      <c r="E543">
        <f t="shared" si="81"/>
        <v>47</v>
      </c>
      <c r="F543">
        <f t="shared" si="82"/>
        <v>127</v>
      </c>
      <c r="G543">
        <f t="shared" si="83"/>
        <v>23</v>
      </c>
      <c r="H543">
        <v>2021</v>
      </c>
      <c r="I543">
        <v>5</v>
      </c>
      <c r="J543">
        <v>22</v>
      </c>
      <c r="K543" t="s">
        <v>29</v>
      </c>
      <c r="L543">
        <v>141.28</v>
      </c>
      <c r="M543" t="s">
        <v>31</v>
      </c>
      <c r="N543">
        <v>130.78</v>
      </c>
      <c r="O543" t="s">
        <v>20</v>
      </c>
      <c r="P543">
        <f t="shared" si="84"/>
        <v>272.06</v>
      </c>
      <c r="Q543">
        <f t="shared" si="85"/>
        <v>10.5</v>
      </c>
      <c r="R543" t="str">
        <f t="shared" si="86"/>
        <v>Graham/Michael</v>
      </c>
      <c r="S543" t="str">
        <f t="shared" si="87"/>
        <v>Pat/Tucker</v>
      </c>
      <c r="T543">
        <f t="shared" si="88"/>
        <v>141.28</v>
      </c>
      <c r="U543">
        <f t="shared" si="89"/>
        <v>130.78</v>
      </c>
    </row>
    <row r="544" spans="1:21" x14ac:dyDescent="0.3">
      <c r="A544">
        <v>543</v>
      </c>
      <c r="B544" t="str">
        <f>H544&amp;R544&amp;I544</f>
        <v>2021Drew/Cam5</v>
      </c>
      <c r="C544" t="str">
        <f>H544&amp;S544&amp;I544</f>
        <v>2021Brian/Travis5</v>
      </c>
      <c r="D544">
        <f t="shared" si="80"/>
        <v>214</v>
      </c>
      <c r="E544">
        <f t="shared" si="81"/>
        <v>59</v>
      </c>
      <c r="F544">
        <f t="shared" si="82"/>
        <v>56</v>
      </c>
      <c r="G544">
        <f t="shared" si="83"/>
        <v>124</v>
      </c>
      <c r="H544">
        <v>2021</v>
      </c>
      <c r="I544">
        <v>5</v>
      </c>
      <c r="J544">
        <v>23</v>
      </c>
      <c r="K544" t="s">
        <v>37</v>
      </c>
      <c r="L544">
        <v>152.80000000000001</v>
      </c>
      <c r="M544" t="s">
        <v>32</v>
      </c>
      <c r="N544">
        <v>115.18</v>
      </c>
      <c r="O544" t="s">
        <v>20</v>
      </c>
      <c r="P544">
        <f t="shared" si="84"/>
        <v>267.98</v>
      </c>
      <c r="Q544">
        <f t="shared" si="85"/>
        <v>37.620000000000005</v>
      </c>
      <c r="R544" t="str">
        <f t="shared" si="86"/>
        <v>Drew/Cam</v>
      </c>
      <c r="S544" t="str">
        <f t="shared" si="87"/>
        <v>Brian/Travis</v>
      </c>
      <c r="T544">
        <f t="shared" si="88"/>
        <v>152.80000000000001</v>
      </c>
      <c r="U544">
        <f t="shared" si="89"/>
        <v>115.18</v>
      </c>
    </row>
    <row r="545" spans="1:21" x14ac:dyDescent="0.3">
      <c r="A545">
        <v>544</v>
      </c>
      <c r="B545" t="str">
        <f>H545&amp;R545&amp;I545</f>
        <v>2021Eric/Blake5</v>
      </c>
      <c r="C545" t="str">
        <f>H545&amp;S545&amp;I545</f>
        <v>2021Dave/Nolan5</v>
      </c>
      <c r="D545">
        <f t="shared" si="80"/>
        <v>816</v>
      </c>
      <c r="E545">
        <f t="shared" si="81"/>
        <v>3</v>
      </c>
      <c r="F545">
        <f t="shared" si="82"/>
        <v>36</v>
      </c>
      <c r="G545">
        <f t="shared" si="83"/>
        <v>1</v>
      </c>
      <c r="H545">
        <v>2021</v>
      </c>
      <c r="I545">
        <v>5</v>
      </c>
      <c r="J545">
        <v>24</v>
      </c>
      <c r="K545" t="s">
        <v>30</v>
      </c>
      <c r="L545">
        <v>156.24</v>
      </c>
      <c r="M545" t="s">
        <v>34</v>
      </c>
      <c r="N545">
        <v>159.22</v>
      </c>
      <c r="O545" t="s">
        <v>20</v>
      </c>
      <c r="P545">
        <f t="shared" si="84"/>
        <v>315.46000000000004</v>
      </c>
      <c r="Q545">
        <f t="shared" si="85"/>
        <v>2.9799999999999898</v>
      </c>
      <c r="R545" t="str">
        <f t="shared" si="86"/>
        <v>Eric/Blake</v>
      </c>
      <c r="S545" t="str">
        <f t="shared" si="87"/>
        <v>Dave/Nolan</v>
      </c>
      <c r="T545">
        <f t="shared" si="88"/>
        <v>159.22</v>
      </c>
      <c r="U545">
        <f t="shared" si="89"/>
        <v>156.24</v>
      </c>
    </row>
    <row r="546" spans="1:21" x14ac:dyDescent="0.3">
      <c r="A546">
        <v>545</v>
      </c>
      <c r="B546" t="str">
        <f>H546&amp;R546&amp;I546</f>
        <v>2021Trent/Colin5</v>
      </c>
      <c r="C546" t="str">
        <f>H546&amp;S546&amp;I546</f>
        <v>2021David/Marshall5</v>
      </c>
      <c r="D546">
        <f t="shared" si="80"/>
        <v>745</v>
      </c>
      <c r="E546">
        <f t="shared" si="81"/>
        <v>105</v>
      </c>
      <c r="F546">
        <f t="shared" si="82"/>
        <v>241</v>
      </c>
      <c r="G546">
        <f t="shared" si="83"/>
        <v>46</v>
      </c>
      <c r="H546">
        <v>2021</v>
      </c>
      <c r="I546">
        <v>5</v>
      </c>
      <c r="J546">
        <v>25</v>
      </c>
      <c r="K546" t="s">
        <v>38</v>
      </c>
      <c r="L546">
        <v>124.56</v>
      </c>
      <c r="M546" t="s">
        <v>33</v>
      </c>
      <c r="N546">
        <v>130.62</v>
      </c>
      <c r="O546" t="s">
        <v>20</v>
      </c>
      <c r="P546">
        <f t="shared" si="84"/>
        <v>255.18</v>
      </c>
      <c r="Q546">
        <f t="shared" si="85"/>
        <v>6.0600000000000023</v>
      </c>
      <c r="R546" t="str">
        <f t="shared" si="86"/>
        <v>Trent/Colin</v>
      </c>
      <c r="S546" t="str">
        <f t="shared" si="87"/>
        <v>David/Marshall</v>
      </c>
      <c r="T546">
        <f t="shared" si="88"/>
        <v>130.62</v>
      </c>
      <c r="U546">
        <f t="shared" si="89"/>
        <v>124.56</v>
      </c>
    </row>
    <row r="547" spans="1:21" x14ac:dyDescent="0.3">
      <c r="A547">
        <v>546</v>
      </c>
      <c r="B547" t="str">
        <f>H547&amp;R547&amp;I547</f>
        <v>2021Brian/Travis6</v>
      </c>
      <c r="C547" t="str">
        <f>H547&amp;S547&amp;I547</f>
        <v>2021Eric/Blake6</v>
      </c>
      <c r="D547">
        <f t="shared" si="80"/>
        <v>736</v>
      </c>
      <c r="E547">
        <f t="shared" si="81"/>
        <v>660</v>
      </c>
      <c r="F547">
        <f t="shared" si="82"/>
        <v>738</v>
      </c>
      <c r="G547">
        <f t="shared" si="83"/>
        <v>486</v>
      </c>
      <c r="H547">
        <v>2021</v>
      </c>
      <c r="I547">
        <v>6</v>
      </c>
      <c r="J547">
        <v>26</v>
      </c>
      <c r="K547" t="s">
        <v>32</v>
      </c>
      <c r="L547">
        <v>97.78</v>
      </c>
      <c r="M547" t="s">
        <v>34</v>
      </c>
      <c r="N547">
        <v>91.2</v>
      </c>
      <c r="O547" t="s">
        <v>20</v>
      </c>
      <c r="P547">
        <f t="shared" si="84"/>
        <v>188.98000000000002</v>
      </c>
      <c r="Q547">
        <f t="shared" si="85"/>
        <v>6.5799999999999983</v>
      </c>
      <c r="R547" t="str">
        <f t="shared" si="86"/>
        <v>Brian/Travis</v>
      </c>
      <c r="S547" t="str">
        <f t="shared" si="87"/>
        <v>Eric/Blake</v>
      </c>
      <c r="T547">
        <f t="shared" si="88"/>
        <v>97.78</v>
      </c>
      <c r="U547">
        <f t="shared" si="89"/>
        <v>91.2</v>
      </c>
    </row>
    <row r="548" spans="1:21" x14ac:dyDescent="0.3">
      <c r="A548">
        <v>547</v>
      </c>
      <c r="B548" t="str">
        <f>H548&amp;R548&amp;I548</f>
        <v>2021Trent/Colin6</v>
      </c>
      <c r="C548" t="str">
        <f>H548&amp;S548&amp;I548</f>
        <v>2021Dave/Nolan6</v>
      </c>
      <c r="D548">
        <f t="shared" si="80"/>
        <v>819</v>
      </c>
      <c r="E548">
        <f t="shared" si="81"/>
        <v>94</v>
      </c>
      <c r="F548">
        <f t="shared" si="82"/>
        <v>256</v>
      </c>
      <c r="G548">
        <f t="shared" si="83"/>
        <v>34</v>
      </c>
      <c r="H548">
        <v>2021</v>
      </c>
      <c r="I548">
        <v>6</v>
      </c>
      <c r="J548">
        <v>27</v>
      </c>
      <c r="K548" t="s">
        <v>33</v>
      </c>
      <c r="L548">
        <v>130</v>
      </c>
      <c r="M548" t="s">
        <v>30</v>
      </c>
      <c r="N548">
        <v>127.18</v>
      </c>
      <c r="O548" t="s">
        <v>20</v>
      </c>
      <c r="P548">
        <f t="shared" si="84"/>
        <v>257.18</v>
      </c>
      <c r="Q548">
        <f t="shared" si="85"/>
        <v>2.8199999999999932</v>
      </c>
      <c r="R548" t="str">
        <f t="shared" si="86"/>
        <v>Trent/Colin</v>
      </c>
      <c r="S548" t="str">
        <f t="shared" si="87"/>
        <v>Dave/Nolan</v>
      </c>
      <c r="T548">
        <f t="shared" si="88"/>
        <v>130</v>
      </c>
      <c r="U548">
        <f t="shared" si="89"/>
        <v>127.18</v>
      </c>
    </row>
    <row r="549" spans="1:21" x14ac:dyDescent="0.3">
      <c r="A549">
        <v>548</v>
      </c>
      <c r="B549" t="str">
        <f>H549&amp;R549&amp;I549</f>
        <v>2021Graham/Michael6</v>
      </c>
      <c r="C549" t="str">
        <f>H549&amp;S549&amp;I549</f>
        <v>2021David/Marshall6</v>
      </c>
      <c r="D549">
        <f t="shared" si="80"/>
        <v>773</v>
      </c>
      <c r="E549">
        <f t="shared" si="81"/>
        <v>11</v>
      </c>
      <c r="F549">
        <f t="shared" si="82"/>
        <v>79</v>
      </c>
      <c r="G549">
        <f t="shared" si="83"/>
        <v>4</v>
      </c>
      <c r="H549">
        <v>2021</v>
      </c>
      <c r="I549">
        <v>6</v>
      </c>
      <c r="J549">
        <v>28</v>
      </c>
      <c r="K549" t="s">
        <v>38</v>
      </c>
      <c r="L549">
        <v>143.66</v>
      </c>
      <c r="M549" t="s">
        <v>29</v>
      </c>
      <c r="N549">
        <v>148.6</v>
      </c>
      <c r="O549" t="s">
        <v>20</v>
      </c>
      <c r="P549">
        <f t="shared" si="84"/>
        <v>292.26</v>
      </c>
      <c r="Q549">
        <f t="shared" si="85"/>
        <v>4.9399999999999977</v>
      </c>
      <c r="R549" t="str">
        <f t="shared" si="86"/>
        <v>Graham/Michael</v>
      </c>
      <c r="S549" t="str">
        <f t="shared" si="87"/>
        <v>David/Marshall</v>
      </c>
      <c r="T549">
        <f t="shared" si="88"/>
        <v>148.6</v>
      </c>
      <c r="U549">
        <f t="shared" si="89"/>
        <v>143.66</v>
      </c>
    </row>
    <row r="550" spans="1:21" x14ac:dyDescent="0.3">
      <c r="A550">
        <v>549</v>
      </c>
      <c r="B550" t="str">
        <f>H550&amp;R550&amp;I550</f>
        <v>2021Drew/Cam6</v>
      </c>
      <c r="C550" t="str">
        <f>H550&amp;S550&amp;I550</f>
        <v>2021Walker/Cory6</v>
      </c>
      <c r="D550">
        <f t="shared" si="80"/>
        <v>334</v>
      </c>
      <c r="E550">
        <f t="shared" si="81"/>
        <v>576</v>
      </c>
      <c r="F550">
        <f t="shared" si="82"/>
        <v>529</v>
      </c>
      <c r="G550">
        <f t="shared" si="83"/>
        <v>602</v>
      </c>
      <c r="H550">
        <v>2021</v>
      </c>
      <c r="I550">
        <v>6</v>
      </c>
      <c r="J550">
        <v>29</v>
      </c>
      <c r="K550" t="s">
        <v>37</v>
      </c>
      <c r="L550">
        <v>113.34</v>
      </c>
      <c r="M550" t="s">
        <v>36</v>
      </c>
      <c r="N550">
        <v>85.58</v>
      </c>
      <c r="O550" t="s">
        <v>20</v>
      </c>
      <c r="P550">
        <f t="shared" si="84"/>
        <v>198.92000000000002</v>
      </c>
      <c r="Q550">
        <f t="shared" si="85"/>
        <v>27.760000000000005</v>
      </c>
      <c r="R550" t="str">
        <f t="shared" si="86"/>
        <v>Drew/Cam</v>
      </c>
      <c r="S550" t="str">
        <f t="shared" si="87"/>
        <v>Walker/Cory</v>
      </c>
      <c r="T550">
        <f t="shared" si="88"/>
        <v>113.34</v>
      </c>
      <c r="U550">
        <f t="shared" si="89"/>
        <v>85.58</v>
      </c>
    </row>
    <row r="551" spans="1:21" x14ac:dyDescent="0.3">
      <c r="A551">
        <v>550</v>
      </c>
      <c r="B551" t="str">
        <f>H551&amp;R551&amp;I551</f>
        <v>2021Clay/Ryan6</v>
      </c>
      <c r="C551" t="str">
        <f>H551&amp;S551&amp;I551</f>
        <v>2021Pat/Tucker6</v>
      </c>
      <c r="D551">
        <f t="shared" si="80"/>
        <v>70</v>
      </c>
      <c r="E551">
        <f t="shared" si="81"/>
        <v>461</v>
      </c>
      <c r="F551">
        <f t="shared" si="82"/>
        <v>224</v>
      </c>
      <c r="G551">
        <f t="shared" si="83"/>
        <v>701</v>
      </c>
      <c r="H551">
        <v>2021</v>
      </c>
      <c r="I551">
        <v>6</v>
      </c>
      <c r="J551">
        <v>30</v>
      </c>
      <c r="K551" t="s">
        <v>35</v>
      </c>
      <c r="L551">
        <v>132.72</v>
      </c>
      <c r="M551" t="s">
        <v>31</v>
      </c>
      <c r="N551">
        <v>77.58</v>
      </c>
      <c r="O551" t="s">
        <v>20</v>
      </c>
      <c r="P551">
        <f t="shared" si="84"/>
        <v>210.3</v>
      </c>
      <c r="Q551">
        <f t="shared" si="85"/>
        <v>55.14</v>
      </c>
      <c r="R551" t="str">
        <f t="shared" si="86"/>
        <v>Clay/Ryan</v>
      </c>
      <c r="S551" t="str">
        <f t="shared" si="87"/>
        <v>Pat/Tucker</v>
      </c>
      <c r="T551">
        <f t="shared" si="88"/>
        <v>132.72</v>
      </c>
      <c r="U551">
        <f t="shared" si="89"/>
        <v>77.58</v>
      </c>
    </row>
    <row r="552" spans="1:21" x14ac:dyDescent="0.3">
      <c r="A552">
        <v>551</v>
      </c>
      <c r="B552" t="str">
        <f>H552&amp;R552&amp;I552</f>
        <v>2021Dave/Nolan7</v>
      </c>
      <c r="C552" t="str">
        <f>H552&amp;S552&amp;I552</f>
        <v>2021Brian/Travis7</v>
      </c>
      <c r="D552">
        <f t="shared" si="80"/>
        <v>494</v>
      </c>
      <c r="E552">
        <f t="shared" si="81"/>
        <v>852</v>
      </c>
      <c r="F552">
        <f t="shared" si="82"/>
        <v>843</v>
      </c>
      <c r="G552">
        <f t="shared" si="83"/>
        <v>821</v>
      </c>
      <c r="H552">
        <v>2021</v>
      </c>
      <c r="I552">
        <v>7</v>
      </c>
      <c r="J552">
        <v>31</v>
      </c>
      <c r="K552" t="s">
        <v>30</v>
      </c>
      <c r="L552">
        <v>83.54</v>
      </c>
      <c r="M552" t="s">
        <v>32</v>
      </c>
      <c r="N552">
        <v>65.540000000000006</v>
      </c>
      <c r="O552" t="s">
        <v>20</v>
      </c>
      <c r="P552">
        <f t="shared" si="84"/>
        <v>149.08000000000001</v>
      </c>
      <c r="Q552">
        <f t="shared" si="85"/>
        <v>18</v>
      </c>
      <c r="R552" t="str">
        <f t="shared" si="86"/>
        <v>Dave/Nolan</v>
      </c>
      <c r="S552" t="str">
        <f t="shared" si="87"/>
        <v>Brian/Travis</v>
      </c>
      <c r="T552">
        <f t="shared" si="88"/>
        <v>83.54</v>
      </c>
      <c r="U552">
        <f t="shared" si="89"/>
        <v>65.540000000000006</v>
      </c>
    </row>
    <row r="553" spans="1:21" x14ac:dyDescent="0.3">
      <c r="A553">
        <v>552</v>
      </c>
      <c r="B553" t="str">
        <f>H553&amp;R553&amp;I553</f>
        <v>2021Graham/Michael7</v>
      </c>
      <c r="C553" t="str">
        <f>H553&amp;S553&amp;I553</f>
        <v>2021Trent/Colin7</v>
      </c>
      <c r="D553">
        <f t="shared" si="80"/>
        <v>853</v>
      </c>
      <c r="E553">
        <f t="shared" si="81"/>
        <v>68</v>
      </c>
      <c r="F553">
        <f t="shared" si="82"/>
        <v>217</v>
      </c>
      <c r="G553">
        <f t="shared" si="83"/>
        <v>18</v>
      </c>
      <c r="H553">
        <v>2021</v>
      </c>
      <c r="I553">
        <v>7</v>
      </c>
      <c r="J553">
        <v>32</v>
      </c>
      <c r="K553" t="s">
        <v>29</v>
      </c>
      <c r="L553">
        <v>133.13999999999999</v>
      </c>
      <c r="M553" t="s">
        <v>33</v>
      </c>
      <c r="N553">
        <v>132.24</v>
      </c>
      <c r="O553" t="s">
        <v>20</v>
      </c>
      <c r="P553">
        <f t="shared" si="84"/>
        <v>265.38</v>
      </c>
      <c r="Q553">
        <f t="shared" si="85"/>
        <v>0.89999999999997726</v>
      </c>
      <c r="R553" t="str">
        <f t="shared" si="86"/>
        <v>Graham/Michael</v>
      </c>
      <c r="S553" t="str">
        <f t="shared" si="87"/>
        <v>Trent/Colin</v>
      </c>
      <c r="T553">
        <f t="shared" si="88"/>
        <v>133.13999999999999</v>
      </c>
      <c r="U553">
        <f t="shared" si="89"/>
        <v>132.24</v>
      </c>
    </row>
    <row r="554" spans="1:21" x14ac:dyDescent="0.3">
      <c r="A554">
        <v>553</v>
      </c>
      <c r="B554" t="str">
        <f>H554&amp;R554&amp;I554</f>
        <v>2021David/Marshall7</v>
      </c>
      <c r="C554" t="str">
        <f>H554&amp;S554&amp;I554</f>
        <v>2021Walker/Cory7</v>
      </c>
      <c r="D554">
        <f t="shared" si="80"/>
        <v>658</v>
      </c>
      <c r="E554">
        <f t="shared" si="81"/>
        <v>310</v>
      </c>
      <c r="F554">
        <f t="shared" si="82"/>
        <v>448</v>
      </c>
      <c r="G554">
        <f t="shared" si="83"/>
        <v>198</v>
      </c>
      <c r="H554">
        <v>2021</v>
      </c>
      <c r="I554">
        <v>7</v>
      </c>
      <c r="J554">
        <v>33</v>
      </c>
      <c r="K554" t="s">
        <v>36</v>
      </c>
      <c r="L554">
        <v>108.62</v>
      </c>
      <c r="M554" t="s">
        <v>38</v>
      </c>
      <c r="N554">
        <v>118.54</v>
      </c>
      <c r="O554" t="s">
        <v>20</v>
      </c>
      <c r="P554">
        <f t="shared" si="84"/>
        <v>227.16000000000003</v>
      </c>
      <c r="Q554">
        <f t="shared" si="85"/>
        <v>9.9200000000000017</v>
      </c>
      <c r="R554" t="str">
        <f t="shared" si="86"/>
        <v>David/Marshall</v>
      </c>
      <c r="S554" t="str">
        <f t="shared" si="87"/>
        <v>Walker/Cory</v>
      </c>
      <c r="T554">
        <f t="shared" si="88"/>
        <v>118.54</v>
      </c>
      <c r="U554">
        <f t="shared" si="89"/>
        <v>108.62</v>
      </c>
    </row>
    <row r="555" spans="1:21" x14ac:dyDescent="0.3">
      <c r="A555">
        <v>554</v>
      </c>
      <c r="B555" t="str">
        <f>H555&amp;R555&amp;I555</f>
        <v>2021Drew/Cam7</v>
      </c>
      <c r="C555" t="str">
        <f>H555&amp;S555&amp;I555</f>
        <v>2021Pat/Tucker7</v>
      </c>
      <c r="D555">
        <f t="shared" si="80"/>
        <v>732</v>
      </c>
      <c r="E555">
        <f t="shared" si="81"/>
        <v>232</v>
      </c>
      <c r="F555">
        <f t="shared" si="82"/>
        <v>404</v>
      </c>
      <c r="G555">
        <f t="shared" si="83"/>
        <v>129</v>
      </c>
      <c r="H555">
        <v>2021</v>
      </c>
      <c r="I555">
        <v>7</v>
      </c>
      <c r="J555">
        <v>34</v>
      </c>
      <c r="K555" t="s">
        <v>31</v>
      </c>
      <c r="L555">
        <v>114.98</v>
      </c>
      <c r="M555" t="s">
        <v>37</v>
      </c>
      <c r="N555">
        <v>121.66</v>
      </c>
      <c r="O555" t="s">
        <v>20</v>
      </c>
      <c r="P555">
        <f t="shared" si="84"/>
        <v>236.64</v>
      </c>
      <c r="Q555">
        <f t="shared" si="85"/>
        <v>6.6799999999999926</v>
      </c>
      <c r="R555" t="str">
        <f t="shared" si="86"/>
        <v>Drew/Cam</v>
      </c>
      <c r="S555" t="str">
        <f t="shared" si="87"/>
        <v>Pat/Tucker</v>
      </c>
      <c r="T555">
        <f t="shared" si="88"/>
        <v>121.66</v>
      </c>
      <c r="U555">
        <f t="shared" si="89"/>
        <v>114.98</v>
      </c>
    </row>
    <row r="556" spans="1:21" x14ac:dyDescent="0.3">
      <c r="A556">
        <v>555</v>
      </c>
      <c r="B556" t="str">
        <f>H556&amp;R556&amp;I556</f>
        <v>2021Clay/Ryan7</v>
      </c>
      <c r="C556" t="str">
        <f>H556&amp;S556&amp;I556</f>
        <v>2021Eric/Blake7</v>
      </c>
      <c r="D556">
        <f t="shared" si="80"/>
        <v>701</v>
      </c>
      <c r="E556">
        <f t="shared" si="81"/>
        <v>565</v>
      </c>
      <c r="F556">
        <f t="shared" si="82"/>
        <v>666</v>
      </c>
      <c r="G556">
        <f t="shared" si="83"/>
        <v>407</v>
      </c>
      <c r="H556">
        <v>2021</v>
      </c>
      <c r="I556">
        <v>7</v>
      </c>
      <c r="J556">
        <v>35</v>
      </c>
      <c r="K556" t="s">
        <v>34</v>
      </c>
      <c r="L556">
        <v>95.92</v>
      </c>
      <c r="M556" t="s">
        <v>35</v>
      </c>
      <c r="N556">
        <v>103.84</v>
      </c>
      <c r="O556" t="s">
        <v>20</v>
      </c>
      <c r="P556">
        <f t="shared" si="84"/>
        <v>199.76</v>
      </c>
      <c r="Q556">
        <f t="shared" si="85"/>
        <v>7.9200000000000017</v>
      </c>
      <c r="R556" t="str">
        <f t="shared" si="86"/>
        <v>Clay/Ryan</v>
      </c>
      <c r="S556" t="str">
        <f t="shared" si="87"/>
        <v>Eric/Blake</v>
      </c>
      <c r="T556">
        <f t="shared" si="88"/>
        <v>103.84</v>
      </c>
      <c r="U556">
        <f t="shared" si="89"/>
        <v>95.92</v>
      </c>
    </row>
    <row r="557" spans="1:21" x14ac:dyDescent="0.3">
      <c r="A557">
        <v>556</v>
      </c>
      <c r="B557" t="str">
        <f>H557&amp;R557&amp;I557</f>
        <v>2021Brian/Travis8</v>
      </c>
      <c r="C557" t="str">
        <f>H557&amp;S557&amp;I557</f>
        <v>2021Graham/Michael8</v>
      </c>
      <c r="D557">
        <f t="shared" si="80"/>
        <v>767</v>
      </c>
      <c r="E557">
        <f t="shared" si="81"/>
        <v>816</v>
      </c>
      <c r="F557">
        <f t="shared" si="82"/>
        <v>844</v>
      </c>
      <c r="G557">
        <f t="shared" si="83"/>
        <v>696</v>
      </c>
      <c r="H557">
        <v>2021</v>
      </c>
      <c r="I557">
        <v>8</v>
      </c>
      <c r="J557">
        <v>36</v>
      </c>
      <c r="K557" t="s">
        <v>32</v>
      </c>
      <c r="L557">
        <v>83.5</v>
      </c>
      <c r="M557" t="s">
        <v>29</v>
      </c>
      <c r="N557">
        <v>78.16</v>
      </c>
      <c r="O557" t="s">
        <v>20</v>
      </c>
      <c r="P557">
        <f t="shared" si="84"/>
        <v>161.66</v>
      </c>
      <c r="Q557">
        <f t="shared" si="85"/>
        <v>5.3400000000000034</v>
      </c>
      <c r="R557" t="str">
        <f t="shared" si="86"/>
        <v>Brian/Travis</v>
      </c>
      <c r="S557" t="str">
        <f t="shared" si="87"/>
        <v>Graham/Michael</v>
      </c>
      <c r="T557">
        <f t="shared" si="88"/>
        <v>83.5</v>
      </c>
      <c r="U557">
        <f t="shared" si="89"/>
        <v>78.16</v>
      </c>
    </row>
    <row r="558" spans="1:21" x14ac:dyDescent="0.3">
      <c r="A558">
        <v>557</v>
      </c>
      <c r="B558" t="str">
        <f>H558&amp;R558&amp;I558</f>
        <v>2021Trent/Colin8</v>
      </c>
      <c r="C558" t="str">
        <f>H558&amp;S558&amp;I558</f>
        <v>2021Walker/Cory8</v>
      </c>
      <c r="D558">
        <f t="shared" si="80"/>
        <v>44</v>
      </c>
      <c r="E558">
        <f t="shared" si="81"/>
        <v>803</v>
      </c>
      <c r="F558">
        <f t="shared" si="82"/>
        <v>532</v>
      </c>
      <c r="G558">
        <f t="shared" si="83"/>
        <v>860</v>
      </c>
      <c r="H558">
        <v>2021</v>
      </c>
      <c r="I558">
        <v>8</v>
      </c>
      <c r="J558">
        <v>37</v>
      </c>
      <c r="K558" t="s">
        <v>33</v>
      </c>
      <c r="L558">
        <v>113.02</v>
      </c>
      <c r="M558" t="s">
        <v>36</v>
      </c>
      <c r="N558">
        <v>52.16</v>
      </c>
      <c r="O558" t="s">
        <v>20</v>
      </c>
      <c r="P558">
        <f t="shared" si="84"/>
        <v>165.18</v>
      </c>
      <c r="Q558">
        <f t="shared" si="85"/>
        <v>60.86</v>
      </c>
      <c r="R558" t="str">
        <f t="shared" si="86"/>
        <v>Trent/Colin</v>
      </c>
      <c r="S558" t="str">
        <f t="shared" si="87"/>
        <v>Walker/Cory</v>
      </c>
      <c r="T558">
        <f t="shared" si="88"/>
        <v>113.02</v>
      </c>
      <c r="U558">
        <f t="shared" si="89"/>
        <v>52.16</v>
      </c>
    </row>
    <row r="559" spans="1:21" x14ac:dyDescent="0.3">
      <c r="A559">
        <v>558</v>
      </c>
      <c r="B559" t="str">
        <f>H559&amp;R559&amp;I559</f>
        <v>2021Pat/Tucker8</v>
      </c>
      <c r="C559" t="str">
        <f>H559&amp;S559&amp;I559</f>
        <v>2021David/Marshall8</v>
      </c>
      <c r="D559">
        <f t="shared" si="80"/>
        <v>469</v>
      </c>
      <c r="E559">
        <f t="shared" si="81"/>
        <v>110</v>
      </c>
      <c r="F559">
        <f t="shared" si="82"/>
        <v>171</v>
      </c>
      <c r="G559">
        <f t="shared" si="83"/>
        <v>100</v>
      </c>
      <c r="H559">
        <v>2021</v>
      </c>
      <c r="I559">
        <v>8</v>
      </c>
      <c r="J559">
        <v>38</v>
      </c>
      <c r="K559" t="s">
        <v>38</v>
      </c>
      <c r="L559">
        <v>117.26</v>
      </c>
      <c r="M559" t="s">
        <v>31</v>
      </c>
      <c r="N559">
        <v>137.02000000000001</v>
      </c>
      <c r="O559" t="s">
        <v>20</v>
      </c>
      <c r="P559">
        <f t="shared" si="84"/>
        <v>254.28000000000003</v>
      </c>
      <c r="Q559">
        <f t="shared" si="85"/>
        <v>19.760000000000005</v>
      </c>
      <c r="R559" t="str">
        <f t="shared" si="86"/>
        <v>Pat/Tucker</v>
      </c>
      <c r="S559" t="str">
        <f t="shared" si="87"/>
        <v>David/Marshall</v>
      </c>
      <c r="T559">
        <f t="shared" si="88"/>
        <v>137.02000000000001</v>
      </c>
      <c r="U559">
        <f t="shared" si="89"/>
        <v>117.26</v>
      </c>
    </row>
    <row r="560" spans="1:21" x14ac:dyDescent="0.3">
      <c r="A560">
        <v>559</v>
      </c>
      <c r="B560" t="str">
        <f>H560&amp;R560&amp;I560</f>
        <v>2021Drew/Cam8</v>
      </c>
      <c r="C560" t="str">
        <f>H560&amp;S560&amp;I560</f>
        <v>2021Eric/Blake8</v>
      </c>
      <c r="D560">
        <f t="shared" si="80"/>
        <v>799</v>
      </c>
      <c r="E560">
        <f t="shared" si="81"/>
        <v>213</v>
      </c>
      <c r="F560">
        <f t="shared" si="82"/>
        <v>408</v>
      </c>
      <c r="G560">
        <f t="shared" si="83"/>
        <v>94</v>
      </c>
      <c r="H560">
        <v>2021</v>
      </c>
      <c r="I560">
        <v>8</v>
      </c>
      <c r="J560">
        <v>39</v>
      </c>
      <c r="K560" t="s">
        <v>37</v>
      </c>
      <c r="L560">
        <v>121.2</v>
      </c>
      <c r="M560" t="s">
        <v>34</v>
      </c>
      <c r="N560">
        <v>117.52</v>
      </c>
      <c r="O560" t="s">
        <v>20</v>
      </c>
      <c r="P560">
        <f t="shared" si="84"/>
        <v>238.72</v>
      </c>
      <c r="Q560">
        <f t="shared" si="85"/>
        <v>3.6800000000000068</v>
      </c>
      <c r="R560" t="str">
        <f t="shared" si="86"/>
        <v>Drew/Cam</v>
      </c>
      <c r="S560" t="str">
        <f t="shared" si="87"/>
        <v>Eric/Blake</v>
      </c>
      <c r="T560">
        <f t="shared" si="88"/>
        <v>121.2</v>
      </c>
      <c r="U560">
        <f t="shared" si="89"/>
        <v>117.52</v>
      </c>
    </row>
    <row r="561" spans="1:21" x14ac:dyDescent="0.3">
      <c r="A561">
        <v>560</v>
      </c>
      <c r="B561" t="str">
        <f>H561&amp;R561&amp;I561</f>
        <v>2021Clay/Ryan8</v>
      </c>
      <c r="C561" t="str">
        <f>H561&amp;S561&amp;I561</f>
        <v>2021Dave/Nolan8</v>
      </c>
      <c r="D561">
        <f t="shared" si="80"/>
        <v>247</v>
      </c>
      <c r="E561">
        <f t="shared" si="81"/>
        <v>386</v>
      </c>
      <c r="F561">
        <f t="shared" si="82"/>
        <v>306</v>
      </c>
      <c r="G561">
        <f t="shared" si="83"/>
        <v>463</v>
      </c>
      <c r="H561">
        <v>2021</v>
      </c>
      <c r="I561">
        <v>8</v>
      </c>
      <c r="J561">
        <v>40</v>
      </c>
      <c r="K561" t="s">
        <v>35</v>
      </c>
      <c r="L561">
        <v>126.96</v>
      </c>
      <c r="M561" t="s">
        <v>30</v>
      </c>
      <c r="N561">
        <v>92.3</v>
      </c>
      <c r="O561" t="s">
        <v>20</v>
      </c>
      <c r="P561">
        <f t="shared" si="84"/>
        <v>219.26</v>
      </c>
      <c r="Q561">
        <f t="shared" si="85"/>
        <v>34.659999999999997</v>
      </c>
      <c r="R561" t="str">
        <f t="shared" si="86"/>
        <v>Clay/Ryan</v>
      </c>
      <c r="S561" t="str">
        <f t="shared" si="87"/>
        <v>Dave/Nolan</v>
      </c>
      <c r="T561">
        <f t="shared" si="88"/>
        <v>126.96</v>
      </c>
      <c r="U561">
        <f t="shared" si="89"/>
        <v>92.3</v>
      </c>
    </row>
    <row r="562" spans="1:21" x14ac:dyDescent="0.3">
      <c r="A562">
        <v>561</v>
      </c>
      <c r="B562" t="str">
        <f>H562&amp;R562&amp;I562</f>
        <v>2021Walker/Cory9</v>
      </c>
      <c r="C562" t="str">
        <f>H562&amp;S562&amp;I562</f>
        <v>2021Brian/Travis9</v>
      </c>
      <c r="D562">
        <f t="shared" si="80"/>
        <v>58</v>
      </c>
      <c r="E562">
        <f t="shared" si="81"/>
        <v>853</v>
      </c>
      <c r="F562">
        <f t="shared" si="82"/>
        <v>688</v>
      </c>
      <c r="G562">
        <f t="shared" si="83"/>
        <v>868</v>
      </c>
      <c r="H562">
        <v>2021</v>
      </c>
      <c r="I562">
        <v>9</v>
      </c>
      <c r="J562">
        <v>41</v>
      </c>
      <c r="K562" t="s">
        <v>36</v>
      </c>
      <c r="L562">
        <v>102.38</v>
      </c>
      <c r="M562" t="s">
        <v>32</v>
      </c>
      <c r="N562">
        <v>45.14</v>
      </c>
      <c r="O562" t="s">
        <v>20</v>
      </c>
      <c r="P562">
        <f t="shared" si="84"/>
        <v>147.51999999999998</v>
      </c>
      <c r="Q562">
        <f t="shared" si="85"/>
        <v>57.239999999999995</v>
      </c>
      <c r="R562" t="str">
        <f t="shared" si="86"/>
        <v>Walker/Cory</v>
      </c>
      <c r="S562" t="str">
        <f t="shared" si="87"/>
        <v>Brian/Travis</v>
      </c>
      <c r="T562">
        <f t="shared" si="88"/>
        <v>102.38</v>
      </c>
      <c r="U562">
        <f t="shared" si="89"/>
        <v>45.14</v>
      </c>
    </row>
    <row r="563" spans="1:21" x14ac:dyDescent="0.3">
      <c r="A563">
        <v>562</v>
      </c>
      <c r="B563" t="str">
        <f>H563&amp;R563&amp;I563</f>
        <v>2021Pat/Tucker9</v>
      </c>
      <c r="C563" t="str">
        <f>H563&amp;S563&amp;I563</f>
        <v>2021Graham/Michael9</v>
      </c>
      <c r="D563">
        <f t="shared" si="80"/>
        <v>809</v>
      </c>
      <c r="E563">
        <f t="shared" si="81"/>
        <v>777</v>
      </c>
      <c r="F563">
        <f t="shared" si="82"/>
        <v>835</v>
      </c>
      <c r="G563">
        <f t="shared" si="83"/>
        <v>627</v>
      </c>
      <c r="H563">
        <v>2021</v>
      </c>
      <c r="I563">
        <v>9</v>
      </c>
      <c r="J563">
        <v>42</v>
      </c>
      <c r="K563" t="s">
        <v>31</v>
      </c>
      <c r="L563">
        <v>87.44</v>
      </c>
      <c r="M563" t="s">
        <v>29</v>
      </c>
      <c r="N563">
        <v>84.18</v>
      </c>
      <c r="O563" t="s">
        <v>20</v>
      </c>
      <c r="P563">
        <f t="shared" si="84"/>
        <v>171.62</v>
      </c>
      <c r="Q563">
        <f t="shared" si="85"/>
        <v>3.2599999999999909</v>
      </c>
      <c r="R563" t="str">
        <f t="shared" si="86"/>
        <v>Pat/Tucker</v>
      </c>
      <c r="S563" t="str">
        <f t="shared" si="87"/>
        <v>Graham/Michael</v>
      </c>
      <c r="T563">
        <f t="shared" si="88"/>
        <v>87.44</v>
      </c>
      <c r="U563">
        <f t="shared" si="89"/>
        <v>84.18</v>
      </c>
    </row>
    <row r="564" spans="1:21" x14ac:dyDescent="0.3">
      <c r="A564">
        <v>563</v>
      </c>
      <c r="B564" t="str">
        <f>H564&amp;R564&amp;I564</f>
        <v>2021Clay/Ryan9</v>
      </c>
      <c r="C564" t="str">
        <f>H564&amp;S564&amp;I564</f>
        <v>2021Trent/Colin9</v>
      </c>
      <c r="D564">
        <f t="shared" si="80"/>
        <v>553</v>
      </c>
      <c r="E564">
        <f t="shared" si="81"/>
        <v>472</v>
      </c>
      <c r="F564">
        <f t="shared" si="82"/>
        <v>556</v>
      </c>
      <c r="G564">
        <f t="shared" si="83"/>
        <v>378</v>
      </c>
      <c r="H564">
        <v>2021</v>
      </c>
      <c r="I564">
        <v>9</v>
      </c>
      <c r="J564">
        <v>43</v>
      </c>
      <c r="K564" t="s">
        <v>33</v>
      </c>
      <c r="L564">
        <v>97.38</v>
      </c>
      <c r="M564" t="s">
        <v>35</v>
      </c>
      <c r="N564">
        <v>111.86</v>
      </c>
      <c r="O564" t="s">
        <v>20</v>
      </c>
      <c r="P564">
        <f t="shared" si="84"/>
        <v>209.24</v>
      </c>
      <c r="Q564">
        <f t="shared" si="85"/>
        <v>14.480000000000004</v>
      </c>
      <c r="R564" t="str">
        <f t="shared" si="86"/>
        <v>Clay/Ryan</v>
      </c>
      <c r="S564" t="str">
        <f t="shared" si="87"/>
        <v>Trent/Colin</v>
      </c>
      <c r="T564">
        <f t="shared" si="88"/>
        <v>111.86</v>
      </c>
      <c r="U564">
        <f t="shared" si="89"/>
        <v>97.38</v>
      </c>
    </row>
    <row r="565" spans="1:21" x14ac:dyDescent="0.3">
      <c r="A565">
        <v>564</v>
      </c>
      <c r="B565" t="str">
        <f>H565&amp;R565&amp;I565</f>
        <v>2021Eric/Blake9</v>
      </c>
      <c r="C565" t="str">
        <f>H565&amp;S565&amp;I565</f>
        <v>2021Dave/Nolan9</v>
      </c>
      <c r="D565">
        <f t="shared" si="80"/>
        <v>244</v>
      </c>
      <c r="E565">
        <f t="shared" si="81"/>
        <v>385</v>
      </c>
      <c r="F565">
        <f t="shared" si="82"/>
        <v>304</v>
      </c>
      <c r="G565">
        <f t="shared" si="83"/>
        <v>465</v>
      </c>
      <c r="H565">
        <v>2021</v>
      </c>
      <c r="I565">
        <v>9</v>
      </c>
      <c r="J565">
        <v>44</v>
      </c>
      <c r="K565" t="s">
        <v>34</v>
      </c>
      <c r="L565">
        <v>127.14</v>
      </c>
      <c r="M565" t="s">
        <v>30</v>
      </c>
      <c r="N565">
        <v>92.18</v>
      </c>
      <c r="O565" t="s">
        <v>20</v>
      </c>
      <c r="P565">
        <f t="shared" si="84"/>
        <v>219.32</v>
      </c>
      <c r="Q565">
        <f t="shared" si="85"/>
        <v>34.959999999999994</v>
      </c>
      <c r="R565" t="str">
        <f t="shared" si="86"/>
        <v>Eric/Blake</v>
      </c>
      <c r="S565" t="str">
        <f t="shared" si="87"/>
        <v>Dave/Nolan</v>
      </c>
      <c r="T565">
        <f t="shared" si="88"/>
        <v>127.14</v>
      </c>
      <c r="U565">
        <f t="shared" si="89"/>
        <v>92.18</v>
      </c>
    </row>
    <row r="566" spans="1:21" x14ac:dyDescent="0.3">
      <c r="A566">
        <v>565</v>
      </c>
      <c r="B566" t="str">
        <f>H566&amp;R566&amp;I566</f>
        <v>2021David/Marshall9</v>
      </c>
      <c r="C566" t="str">
        <f>H566&amp;S566&amp;I566</f>
        <v>2021Drew/Cam9</v>
      </c>
      <c r="D566">
        <f t="shared" si="80"/>
        <v>299</v>
      </c>
      <c r="E566">
        <f t="shared" si="81"/>
        <v>286</v>
      </c>
      <c r="F566">
        <f t="shared" si="82"/>
        <v>258</v>
      </c>
      <c r="G566">
        <f t="shared" si="83"/>
        <v>335</v>
      </c>
      <c r="H566">
        <v>2021</v>
      </c>
      <c r="I566">
        <v>9</v>
      </c>
      <c r="J566">
        <v>45</v>
      </c>
      <c r="K566" t="s">
        <v>38</v>
      </c>
      <c r="L566">
        <v>129.91999999999999</v>
      </c>
      <c r="M566" t="s">
        <v>37</v>
      </c>
      <c r="N566">
        <v>99.66</v>
      </c>
      <c r="O566" t="s">
        <v>20</v>
      </c>
      <c r="P566">
        <f t="shared" si="84"/>
        <v>229.57999999999998</v>
      </c>
      <c r="Q566">
        <f t="shared" si="85"/>
        <v>30.259999999999991</v>
      </c>
      <c r="R566" t="str">
        <f t="shared" si="86"/>
        <v>David/Marshall</v>
      </c>
      <c r="S566" t="str">
        <f t="shared" si="87"/>
        <v>Drew/Cam</v>
      </c>
      <c r="T566">
        <f t="shared" si="88"/>
        <v>129.91999999999999</v>
      </c>
      <c r="U566">
        <f t="shared" si="89"/>
        <v>99.66</v>
      </c>
    </row>
    <row r="567" spans="1:21" x14ac:dyDescent="0.3">
      <c r="A567">
        <v>566</v>
      </c>
      <c r="B567" t="str">
        <f>H567&amp;R567&amp;I567</f>
        <v>2021Trent/Colin10</v>
      </c>
      <c r="C567" t="str">
        <f>H567&amp;S567&amp;I567</f>
        <v>2021Pat/Tucker10</v>
      </c>
      <c r="D567">
        <f t="shared" si="80"/>
        <v>389</v>
      </c>
      <c r="E567">
        <f t="shared" si="81"/>
        <v>578</v>
      </c>
      <c r="F567">
        <f t="shared" si="82"/>
        <v>574</v>
      </c>
      <c r="G567">
        <f t="shared" si="83"/>
        <v>569</v>
      </c>
      <c r="H567">
        <v>2021</v>
      </c>
      <c r="I567">
        <v>10</v>
      </c>
      <c r="J567">
        <v>46</v>
      </c>
      <c r="K567" t="s">
        <v>31</v>
      </c>
      <c r="L567">
        <v>87.38</v>
      </c>
      <c r="M567" t="s">
        <v>33</v>
      </c>
      <c r="N567">
        <v>111.12</v>
      </c>
      <c r="O567" t="s">
        <v>20</v>
      </c>
      <c r="P567">
        <f t="shared" si="84"/>
        <v>198.5</v>
      </c>
      <c r="Q567">
        <f t="shared" si="85"/>
        <v>23.740000000000009</v>
      </c>
      <c r="R567" t="str">
        <f t="shared" si="86"/>
        <v>Trent/Colin</v>
      </c>
      <c r="S567" t="str">
        <f t="shared" si="87"/>
        <v>Pat/Tucker</v>
      </c>
      <c r="T567">
        <f t="shared" si="88"/>
        <v>111.12</v>
      </c>
      <c r="U567">
        <f t="shared" si="89"/>
        <v>87.38</v>
      </c>
    </row>
    <row r="568" spans="1:21" x14ac:dyDescent="0.3">
      <c r="A568">
        <v>567</v>
      </c>
      <c r="B568" t="str">
        <f>H568&amp;R568&amp;I568</f>
        <v>2021Eric/Blake10</v>
      </c>
      <c r="C568" t="str">
        <f>H568&amp;S568&amp;I568</f>
        <v>2021Walker/Cory10</v>
      </c>
      <c r="D568">
        <f t="shared" si="80"/>
        <v>636</v>
      </c>
      <c r="E568">
        <f t="shared" si="81"/>
        <v>863</v>
      </c>
      <c r="F568">
        <f t="shared" si="82"/>
        <v>864</v>
      </c>
      <c r="G568">
        <f t="shared" si="83"/>
        <v>826</v>
      </c>
      <c r="H568">
        <v>2021</v>
      </c>
      <c r="I568">
        <v>10</v>
      </c>
      <c r="J568">
        <v>47</v>
      </c>
      <c r="K568" t="s">
        <v>34</v>
      </c>
      <c r="L568">
        <v>75.5</v>
      </c>
      <c r="M568" t="s">
        <v>36</v>
      </c>
      <c r="N568">
        <v>64.86</v>
      </c>
      <c r="O568" t="s">
        <v>20</v>
      </c>
      <c r="P568">
        <f t="shared" si="84"/>
        <v>140.36000000000001</v>
      </c>
      <c r="Q568">
        <f t="shared" si="85"/>
        <v>10.64</v>
      </c>
      <c r="R568" t="str">
        <f t="shared" si="86"/>
        <v>Eric/Blake</v>
      </c>
      <c r="S568" t="str">
        <f t="shared" si="87"/>
        <v>Walker/Cory</v>
      </c>
      <c r="T568">
        <f t="shared" si="88"/>
        <v>75.5</v>
      </c>
      <c r="U568">
        <f t="shared" si="89"/>
        <v>64.86</v>
      </c>
    </row>
    <row r="569" spans="1:21" x14ac:dyDescent="0.3">
      <c r="A569">
        <v>568</v>
      </c>
      <c r="B569" t="str">
        <f>H569&amp;R569&amp;I569</f>
        <v>2021Brian/Travis10</v>
      </c>
      <c r="C569" t="str">
        <f>H569&amp;S569&amp;I569</f>
        <v>2021David/Marshall10</v>
      </c>
      <c r="D569">
        <f t="shared" si="80"/>
        <v>730</v>
      </c>
      <c r="E569">
        <f t="shared" si="81"/>
        <v>168</v>
      </c>
      <c r="F569">
        <f t="shared" si="82"/>
        <v>327</v>
      </c>
      <c r="G569">
        <f t="shared" si="83"/>
        <v>83</v>
      </c>
      <c r="H569">
        <v>2021</v>
      </c>
      <c r="I569">
        <v>10</v>
      </c>
      <c r="J569">
        <v>48</v>
      </c>
      <c r="K569" t="s">
        <v>32</v>
      </c>
      <c r="L569">
        <v>125.74</v>
      </c>
      <c r="M569" t="s">
        <v>38</v>
      </c>
      <c r="N569">
        <v>118.92</v>
      </c>
      <c r="O569" t="s">
        <v>20</v>
      </c>
      <c r="P569">
        <f t="shared" si="84"/>
        <v>244.66</v>
      </c>
      <c r="Q569">
        <f t="shared" si="85"/>
        <v>6.8199999999999932</v>
      </c>
      <c r="R569" t="str">
        <f t="shared" si="86"/>
        <v>Brian/Travis</v>
      </c>
      <c r="S569" t="str">
        <f t="shared" si="87"/>
        <v>David/Marshall</v>
      </c>
      <c r="T569">
        <f t="shared" si="88"/>
        <v>125.74</v>
      </c>
      <c r="U569">
        <f t="shared" si="89"/>
        <v>118.92</v>
      </c>
    </row>
    <row r="570" spans="1:21" x14ac:dyDescent="0.3">
      <c r="A570">
        <v>569</v>
      </c>
      <c r="B570" t="str">
        <f>H570&amp;R570&amp;I570</f>
        <v>2021Dave/Nolan10</v>
      </c>
      <c r="C570" t="str">
        <f>H570&amp;S570&amp;I570</f>
        <v>2021Graham/Michael10</v>
      </c>
      <c r="D570">
        <f t="shared" si="80"/>
        <v>80</v>
      </c>
      <c r="E570">
        <f t="shared" si="81"/>
        <v>204</v>
      </c>
      <c r="F570">
        <f t="shared" si="82"/>
        <v>95</v>
      </c>
      <c r="G570">
        <f t="shared" si="83"/>
        <v>448</v>
      </c>
      <c r="H570">
        <v>2021</v>
      </c>
      <c r="I570">
        <v>10</v>
      </c>
      <c r="J570">
        <v>49</v>
      </c>
      <c r="K570" t="s">
        <v>30</v>
      </c>
      <c r="L570">
        <v>146.9</v>
      </c>
      <c r="M570" t="s">
        <v>29</v>
      </c>
      <c r="N570">
        <v>93.24</v>
      </c>
      <c r="O570" t="s">
        <v>20</v>
      </c>
      <c r="P570">
        <f t="shared" si="84"/>
        <v>240.14</v>
      </c>
      <c r="Q570">
        <f t="shared" si="85"/>
        <v>53.660000000000011</v>
      </c>
      <c r="R570" t="str">
        <f t="shared" si="86"/>
        <v>Dave/Nolan</v>
      </c>
      <c r="S570" t="str">
        <f t="shared" si="87"/>
        <v>Graham/Michael</v>
      </c>
      <c r="T570">
        <f t="shared" si="88"/>
        <v>146.9</v>
      </c>
      <c r="U570">
        <f t="shared" si="89"/>
        <v>93.24</v>
      </c>
    </row>
    <row r="571" spans="1:21" x14ac:dyDescent="0.3">
      <c r="A571">
        <v>570</v>
      </c>
      <c r="B571" t="str">
        <f>H571&amp;R571&amp;I571</f>
        <v>2021Drew/Cam10</v>
      </c>
      <c r="C571" t="str">
        <f>H571&amp;S571&amp;I571</f>
        <v>2021Clay/Ryan10</v>
      </c>
      <c r="D571">
        <f t="shared" si="80"/>
        <v>97</v>
      </c>
      <c r="E571">
        <f t="shared" si="81"/>
        <v>375</v>
      </c>
      <c r="F571">
        <f t="shared" si="82"/>
        <v>185</v>
      </c>
      <c r="G571">
        <f t="shared" si="83"/>
        <v>613</v>
      </c>
      <c r="H571">
        <v>2021</v>
      </c>
      <c r="I571">
        <v>10</v>
      </c>
      <c r="J571">
        <v>50</v>
      </c>
      <c r="K571" t="s">
        <v>35</v>
      </c>
      <c r="L571">
        <v>85.14</v>
      </c>
      <c r="M571" t="s">
        <v>37</v>
      </c>
      <c r="N571">
        <v>135.72</v>
      </c>
      <c r="O571" t="s">
        <v>20</v>
      </c>
      <c r="P571">
        <f t="shared" si="84"/>
        <v>220.86</v>
      </c>
      <c r="Q571">
        <f t="shared" si="85"/>
        <v>50.58</v>
      </c>
      <c r="R571" t="str">
        <f t="shared" si="86"/>
        <v>Drew/Cam</v>
      </c>
      <c r="S571" t="str">
        <f t="shared" si="87"/>
        <v>Clay/Ryan</v>
      </c>
      <c r="T571">
        <f t="shared" si="88"/>
        <v>135.72</v>
      </c>
      <c r="U571">
        <f t="shared" si="89"/>
        <v>85.14</v>
      </c>
    </row>
    <row r="572" spans="1:21" x14ac:dyDescent="0.3">
      <c r="A572">
        <v>571</v>
      </c>
      <c r="B572" t="str">
        <f>H572&amp;R572&amp;I572</f>
        <v>2021David/Marshall11</v>
      </c>
      <c r="C572" t="str">
        <f>H572&amp;S572&amp;I572</f>
        <v>2021Eric/Blake11</v>
      </c>
      <c r="D572">
        <f t="shared" si="80"/>
        <v>318</v>
      </c>
      <c r="E572">
        <f t="shared" si="81"/>
        <v>44</v>
      </c>
      <c r="F572">
        <f t="shared" si="82"/>
        <v>65</v>
      </c>
      <c r="G572">
        <f t="shared" si="83"/>
        <v>59</v>
      </c>
      <c r="H572">
        <v>2021</v>
      </c>
      <c r="I572">
        <v>11</v>
      </c>
      <c r="J572">
        <v>51</v>
      </c>
      <c r="K572" t="s">
        <v>34</v>
      </c>
      <c r="L572">
        <v>122.28</v>
      </c>
      <c r="M572" t="s">
        <v>38</v>
      </c>
      <c r="N572">
        <v>151.02000000000001</v>
      </c>
      <c r="O572" t="s">
        <v>20</v>
      </c>
      <c r="P572">
        <f t="shared" si="84"/>
        <v>273.3</v>
      </c>
      <c r="Q572">
        <f t="shared" si="85"/>
        <v>28.740000000000009</v>
      </c>
      <c r="R572" t="str">
        <f t="shared" si="86"/>
        <v>David/Marshall</v>
      </c>
      <c r="S572" t="str">
        <f t="shared" si="87"/>
        <v>Eric/Blake</v>
      </c>
      <c r="T572">
        <f t="shared" si="88"/>
        <v>151.02000000000001</v>
      </c>
      <c r="U572">
        <f t="shared" si="89"/>
        <v>122.28</v>
      </c>
    </row>
    <row r="573" spans="1:21" x14ac:dyDescent="0.3">
      <c r="A573">
        <v>572</v>
      </c>
      <c r="B573" t="str">
        <f>H573&amp;R573&amp;I573</f>
        <v>2021Dave/Nolan11</v>
      </c>
      <c r="C573" t="str">
        <f>H573&amp;S573&amp;I573</f>
        <v>2021Pat/Tucker11</v>
      </c>
      <c r="D573">
        <f t="shared" si="80"/>
        <v>797</v>
      </c>
      <c r="E573">
        <f t="shared" si="81"/>
        <v>454</v>
      </c>
      <c r="F573">
        <f t="shared" si="82"/>
        <v>619</v>
      </c>
      <c r="G573">
        <f t="shared" si="83"/>
        <v>258</v>
      </c>
      <c r="H573">
        <v>2021</v>
      </c>
      <c r="I573">
        <v>11</v>
      </c>
      <c r="J573">
        <v>52</v>
      </c>
      <c r="K573" t="s">
        <v>31</v>
      </c>
      <c r="L573">
        <v>103.72</v>
      </c>
      <c r="M573" t="s">
        <v>30</v>
      </c>
      <c r="N573">
        <v>107.48</v>
      </c>
      <c r="O573" t="s">
        <v>20</v>
      </c>
      <c r="P573">
        <f t="shared" si="84"/>
        <v>211.2</v>
      </c>
      <c r="Q573">
        <f t="shared" si="85"/>
        <v>3.7600000000000051</v>
      </c>
      <c r="R573" t="str">
        <f t="shared" si="86"/>
        <v>Dave/Nolan</v>
      </c>
      <c r="S573" t="str">
        <f t="shared" si="87"/>
        <v>Pat/Tucker</v>
      </c>
      <c r="T573">
        <f t="shared" si="88"/>
        <v>107.48</v>
      </c>
      <c r="U573">
        <f t="shared" si="89"/>
        <v>103.72</v>
      </c>
    </row>
    <row r="574" spans="1:21" x14ac:dyDescent="0.3">
      <c r="A574">
        <v>573</v>
      </c>
      <c r="B574" t="str">
        <f>H574&amp;R574&amp;I574</f>
        <v>2021Trent/Colin11</v>
      </c>
      <c r="C574" t="str">
        <f>H574&amp;S574&amp;I574</f>
        <v>2021Drew/Cam11</v>
      </c>
      <c r="D574">
        <f t="shared" si="80"/>
        <v>35</v>
      </c>
      <c r="E574">
        <f t="shared" si="81"/>
        <v>408</v>
      </c>
      <c r="F574">
        <f t="shared" si="82"/>
        <v>133</v>
      </c>
      <c r="G574">
        <f t="shared" si="83"/>
        <v>716</v>
      </c>
      <c r="H574">
        <v>2021</v>
      </c>
      <c r="I574">
        <v>11</v>
      </c>
      <c r="J574">
        <v>53</v>
      </c>
      <c r="K574" t="s">
        <v>37</v>
      </c>
      <c r="L574">
        <v>76.3</v>
      </c>
      <c r="M574" t="s">
        <v>33</v>
      </c>
      <c r="N574">
        <v>140.18</v>
      </c>
      <c r="O574" t="s">
        <v>20</v>
      </c>
      <c r="P574">
        <f t="shared" si="84"/>
        <v>216.48000000000002</v>
      </c>
      <c r="Q574">
        <f t="shared" si="85"/>
        <v>63.88000000000001</v>
      </c>
      <c r="R574" t="str">
        <f t="shared" si="86"/>
        <v>Trent/Colin</v>
      </c>
      <c r="S574" t="str">
        <f t="shared" si="87"/>
        <v>Drew/Cam</v>
      </c>
      <c r="T574">
        <f t="shared" si="88"/>
        <v>140.18</v>
      </c>
      <c r="U574">
        <f t="shared" si="89"/>
        <v>76.3</v>
      </c>
    </row>
    <row r="575" spans="1:21" x14ac:dyDescent="0.3">
      <c r="A575">
        <v>574</v>
      </c>
      <c r="B575" t="str">
        <f>H575&amp;R575&amp;I575</f>
        <v>2021Walker/Cory11</v>
      </c>
      <c r="C575" t="str">
        <f>H575&amp;S575&amp;I575</f>
        <v>2021Graham/Michael11</v>
      </c>
      <c r="D575">
        <f t="shared" si="80"/>
        <v>102</v>
      </c>
      <c r="E575">
        <f t="shared" si="81"/>
        <v>557</v>
      </c>
      <c r="F575">
        <f t="shared" si="82"/>
        <v>334</v>
      </c>
      <c r="G575">
        <f t="shared" si="83"/>
        <v>723</v>
      </c>
      <c r="H575">
        <v>2021</v>
      </c>
      <c r="I575">
        <v>11</v>
      </c>
      <c r="J575">
        <v>54</v>
      </c>
      <c r="K575" t="s">
        <v>36</v>
      </c>
      <c r="L575">
        <v>125.14</v>
      </c>
      <c r="M575" t="s">
        <v>29</v>
      </c>
      <c r="N575">
        <v>75.540000000000006</v>
      </c>
      <c r="O575" t="s">
        <v>20</v>
      </c>
      <c r="P575">
        <f t="shared" si="84"/>
        <v>200.68</v>
      </c>
      <c r="Q575">
        <f t="shared" si="85"/>
        <v>49.599999999999994</v>
      </c>
      <c r="R575" t="str">
        <f t="shared" si="86"/>
        <v>Walker/Cory</v>
      </c>
      <c r="S575" t="str">
        <f t="shared" si="87"/>
        <v>Graham/Michael</v>
      </c>
      <c r="T575">
        <f t="shared" si="88"/>
        <v>125.14</v>
      </c>
      <c r="U575">
        <f t="shared" si="89"/>
        <v>75.540000000000006</v>
      </c>
    </row>
    <row r="576" spans="1:21" x14ac:dyDescent="0.3">
      <c r="A576">
        <v>575</v>
      </c>
      <c r="B576" t="str">
        <f>H576&amp;R576&amp;I576</f>
        <v>2021Clay/Ryan11</v>
      </c>
      <c r="C576" t="str">
        <f>H576&amp;S576&amp;I576</f>
        <v>2021Brian/Travis11</v>
      </c>
      <c r="D576">
        <f t="shared" si="80"/>
        <v>275</v>
      </c>
      <c r="E576">
        <f t="shared" si="81"/>
        <v>451</v>
      </c>
      <c r="F576">
        <f t="shared" si="82"/>
        <v>402</v>
      </c>
      <c r="G576">
        <f t="shared" si="83"/>
        <v>517</v>
      </c>
      <c r="H576">
        <v>2021</v>
      </c>
      <c r="I576">
        <v>11</v>
      </c>
      <c r="J576">
        <v>55</v>
      </c>
      <c r="K576" t="s">
        <v>35</v>
      </c>
      <c r="L576">
        <v>121.76</v>
      </c>
      <c r="M576" t="s">
        <v>32</v>
      </c>
      <c r="N576">
        <v>89.6</v>
      </c>
      <c r="O576" t="s">
        <v>20</v>
      </c>
      <c r="P576">
        <f t="shared" si="84"/>
        <v>211.36</v>
      </c>
      <c r="Q576">
        <f t="shared" si="85"/>
        <v>32.160000000000011</v>
      </c>
      <c r="R576" t="str">
        <f t="shared" si="86"/>
        <v>Clay/Ryan</v>
      </c>
      <c r="S576" t="str">
        <f t="shared" si="87"/>
        <v>Brian/Travis</v>
      </c>
      <c r="T576">
        <f t="shared" si="88"/>
        <v>121.76</v>
      </c>
      <c r="U576">
        <f t="shared" si="89"/>
        <v>89.6</v>
      </c>
    </row>
    <row r="577" spans="1:21" x14ac:dyDescent="0.3">
      <c r="A577">
        <v>576</v>
      </c>
      <c r="B577" t="str">
        <f>H577&amp;R577&amp;I577</f>
        <v>2021Drew/Cam12</v>
      </c>
      <c r="C577" t="str">
        <f>H577&amp;S577&amp;I577</f>
        <v>2021Dave/Nolan12</v>
      </c>
      <c r="D577">
        <f t="shared" si="80"/>
        <v>304</v>
      </c>
      <c r="E577">
        <f t="shared" si="81"/>
        <v>425</v>
      </c>
      <c r="F577">
        <f t="shared" si="82"/>
        <v>401</v>
      </c>
      <c r="G577">
        <f t="shared" si="83"/>
        <v>469</v>
      </c>
      <c r="H577">
        <v>2021</v>
      </c>
      <c r="I577">
        <v>12</v>
      </c>
      <c r="J577">
        <v>56</v>
      </c>
      <c r="K577" t="s">
        <v>30</v>
      </c>
      <c r="L577">
        <v>91.94</v>
      </c>
      <c r="M577" t="s">
        <v>37</v>
      </c>
      <c r="N577">
        <v>121.88</v>
      </c>
      <c r="O577" t="s">
        <v>20</v>
      </c>
      <c r="P577">
        <f t="shared" si="84"/>
        <v>213.82</v>
      </c>
      <c r="Q577">
        <f t="shared" si="85"/>
        <v>29.939999999999998</v>
      </c>
      <c r="R577" t="str">
        <f t="shared" si="86"/>
        <v>Drew/Cam</v>
      </c>
      <c r="S577" t="str">
        <f t="shared" si="87"/>
        <v>Dave/Nolan</v>
      </c>
      <c r="T577">
        <f t="shared" si="88"/>
        <v>121.88</v>
      </c>
      <c r="U577">
        <f t="shared" si="89"/>
        <v>91.94</v>
      </c>
    </row>
    <row r="578" spans="1:21" x14ac:dyDescent="0.3">
      <c r="A578">
        <v>577</v>
      </c>
      <c r="B578" t="str">
        <f>H578&amp;R578&amp;I578</f>
        <v>2021Graham/Michael12</v>
      </c>
      <c r="C578" t="str">
        <f>H578&amp;S578&amp;I578</f>
        <v>2021Eric/Blake12</v>
      </c>
      <c r="D578">
        <f t="shared" ref="D578:D641" si="90">RANK(Q578,Q:Q)</f>
        <v>452</v>
      </c>
      <c r="E578">
        <f t="shared" ref="E578:E641" si="91">RANK(P578,P:P)</f>
        <v>214</v>
      </c>
      <c r="F578">
        <f t="shared" ref="F578:F641" si="92">RANK(T578,T:T)</f>
        <v>260</v>
      </c>
      <c r="G578">
        <f t="shared" ref="G578:G641" si="93">RANK(U578,U:U)</f>
        <v>192</v>
      </c>
      <c r="H578">
        <v>2021</v>
      </c>
      <c r="I578">
        <v>12</v>
      </c>
      <c r="J578">
        <v>57</v>
      </c>
      <c r="K578" t="s">
        <v>29</v>
      </c>
      <c r="L578">
        <v>129.6</v>
      </c>
      <c r="M578" t="s">
        <v>34</v>
      </c>
      <c r="N578">
        <v>109.02</v>
      </c>
      <c r="O578" t="s">
        <v>20</v>
      </c>
      <c r="P578">
        <f t="shared" ref="P578:P641" si="94">SUM(L578,N578)</f>
        <v>238.62</v>
      </c>
      <c r="Q578">
        <f t="shared" ref="Q578:Q641" si="95">ABS(L578-N578)</f>
        <v>20.58</v>
      </c>
      <c r="R578" t="str">
        <f t="shared" ref="R578:R641" si="96">IF(L578&gt;N578,K578,M578)</f>
        <v>Graham/Michael</v>
      </c>
      <c r="S578" t="str">
        <f t="shared" ref="S578:S641" si="97">IF(L578&gt;N578,M578,K578)</f>
        <v>Eric/Blake</v>
      </c>
      <c r="T578">
        <f t="shared" ref="T578:T641" si="98">IF(L578&gt;N578,L578,N578)</f>
        <v>129.6</v>
      </c>
      <c r="U578">
        <f t="shared" ref="U578:U641" si="99">IF(L578&gt;N578,N578,L578)</f>
        <v>109.02</v>
      </c>
    </row>
    <row r="579" spans="1:21" x14ac:dyDescent="0.3">
      <c r="A579">
        <v>578</v>
      </c>
      <c r="B579" t="str">
        <f>H579&amp;R579&amp;I579</f>
        <v>2021Clay/Ryan12</v>
      </c>
      <c r="C579" t="str">
        <f>H579&amp;S579&amp;I579</f>
        <v>2021David/Marshall12</v>
      </c>
      <c r="D579">
        <f t="shared" si="90"/>
        <v>273</v>
      </c>
      <c r="E579">
        <f t="shared" si="91"/>
        <v>609</v>
      </c>
      <c r="F579">
        <f t="shared" si="92"/>
        <v>523</v>
      </c>
      <c r="G579">
        <f t="shared" si="93"/>
        <v>667</v>
      </c>
      <c r="H579">
        <v>2021</v>
      </c>
      <c r="I579">
        <v>12</v>
      </c>
      <c r="J579">
        <v>58</v>
      </c>
      <c r="K579" t="s">
        <v>38</v>
      </c>
      <c r="L579">
        <v>81.08</v>
      </c>
      <c r="M579" t="s">
        <v>35</v>
      </c>
      <c r="N579">
        <v>113.5</v>
      </c>
      <c r="O579" t="s">
        <v>20</v>
      </c>
      <c r="P579">
        <f t="shared" si="94"/>
        <v>194.57999999999998</v>
      </c>
      <c r="Q579">
        <f t="shared" si="95"/>
        <v>32.42</v>
      </c>
      <c r="R579" t="str">
        <f t="shared" si="96"/>
        <v>Clay/Ryan</v>
      </c>
      <c r="S579" t="str">
        <f t="shared" si="97"/>
        <v>David/Marshall</v>
      </c>
      <c r="T579">
        <f t="shared" si="98"/>
        <v>113.5</v>
      </c>
      <c r="U579">
        <f t="shared" si="99"/>
        <v>81.08</v>
      </c>
    </row>
    <row r="580" spans="1:21" x14ac:dyDescent="0.3">
      <c r="A580">
        <v>579</v>
      </c>
      <c r="B580" t="str">
        <f>H580&amp;R580&amp;I580</f>
        <v>2021Pat/Tucker12</v>
      </c>
      <c r="C580" t="str">
        <f>H580&amp;S580&amp;I580</f>
        <v>2021Walker/Cory12</v>
      </c>
      <c r="D580">
        <f t="shared" si="90"/>
        <v>519</v>
      </c>
      <c r="E580">
        <f t="shared" si="91"/>
        <v>679</v>
      </c>
      <c r="F580">
        <f t="shared" si="92"/>
        <v>693</v>
      </c>
      <c r="G580">
        <f t="shared" si="93"/>
        <v>614</v>
      </c>
      <c r="H580">
        <v>2021</v>
      </c>
      <c r="I580">
        <v>12</v>
      </c>
      <c r="J580">
        <v>59</v>
      </c>
      <c r="K580" t="s">
        <v>36</v>
      </c>
      <c r="L580">
        <v>85.12</v>
      </c>
      <c r="M580" t="s">
        <v>31</v>
      </c>
      <c r="N580">
        <v>101.8</v>
      </c>
      <c r="O580" t="s">
        <v>20</v>
      </c>
      <c r="P580">
        <f t="shared" si="94"/>
        <v>186.92000000000002</v>
      </c>
      <c r="Q580">
        <f t="shared" si="95"/>
        <v>16.679999999999993</v>
      </c>
      <c r="R580" t="str">
        <f t="shared" si="96"/>
        <v>Pat/Tucker</v>
      </c>
      <c r="S580" t="str">
        <f t="shared" si="97"/>
        <v>Walker/Cory</v>
      </c>
      <c r="T580">
        <f t="shared" si="98"/>
        <v>101.8</v>
      </c>
      <c r="U580">
        <f t="shared" si="99"/>
        <v>85.12</v>
      </c>
    </row>
    <row r="581" spans="1:21" x14ac:dyDescent="0.3">
      <c r="A581">
        <v>580</v>
      </c>
      <c r="B581" t="str">
        <f>H581&amp;R581&amp;I581</f>
        <v>2021Trent/Colin12</v>
      </c>
      <c r="C581" t="str">
        <f>H581&amp;S581&amp;I581</f>
        <v>2021Brian/Travis12</v>
      </c>
      <c r="D581">
        <f t="shared" si="90"/>
        <v>33</v>
      </c>
      <c r="E581">
        <f t="shared" si="91"/>
        <v>681</v>
      </c>
      <c r="F581">
        <f t="shared" si="92"/>
        <v>309</v>
      </c>
      <c r="G581">
        <f t="shared" si="93"/>
        <v>847</v>
      </c>
      <c r="H581">
        <v>2021</v>
      </c>
      <c r="I581">
        <v>12</v>
      </c>
      <c r="J581">
        <v>60</v>
      </c>
      <c r="K581" t="s">
        <v>33</v>
      </c>
      <c r="L581">
        <v>126.76</v>
      </c>
      <c r="M581" t="s">
        <v>32</v>
      </c>
      <c r="N581">
        <v>60.08</v>
      </c>
      <c r="O581" t="s">
        <v>20</v>
      </c>
      <c r="P581">
        <f t="shared" si="94"/>
        <v>186.84</v>
      </c>
      <c r="Q581">
        <f t="shared" si="95"/>
        <v>66.680000000000007</v>
      </c>
      <c r="R581" t="str">
        <f t="shared" si="96"/>
        <v>Trent/Colin</v>
      </c>
      <c r="S581" t="str">
        <f t="shared" si="97"/>
        <v>Brian/Travis</v>
      </c>
      <c r="T581">
        <f t="shared" si="98"/>
        <v>126.76</v>
      </c>
      <c r="U581">
        <f t="shared" si="99"/>
        <v>60.08</v>
      </c>
    </row>
    <row r="582" spans="1:21" x14ac:dyDescent="0.3">
      <c r="A582">
        <v>581</v>
      </c>
      <c r="B582" t="str">
        <f>H582&amp;R582&amp;I582</f>
        <v>2021Graham/Michael13</v>
      </c>
      <c r="C582" t="str">
        <f>H582&amp;S582&amp;I582</f>
        <v>2021Clay/Ryan13</v>
      </c>
      <c r="D582">
        <f t="shared" si="90"/>
        <v>227</v>
      </c>
      <c r="E582">
        <f t="shared" si="91"/>
        <v>73</v>
      </c>
      <c r="F582">
        <f t="shared" si="92"/>
        <v>72</v>
      </c>
      <c r="G582">
        <f t="shared" si="93"/>
        <v>151</v>
      </c>
      <c r="H582">
        <v>2021</v>
      </c>
      <c r="I582">
        <v>13</v>
      </c>
      <c r="J582">
        <v>61</v>
      </c>
      <c r="K582" t="s">
        <v>29</v>
      </c>
      <c r="L582">
        <v>149.62</v>
      </c>
      <c r="M582" t="s">
        <v>35</v>
      </c>
      <c r="N582">
        <v>112.8</v>
      </c>
      <c r="O582" t="s">
        <v>20</v>
      </c>
      <c r="P582">
        <f t="shared" si="94"/>
        <v>262.42</v>
      </c>
      <c r="Q582">
        <f t="shared" si="95"/>
        <v>36.820000000000007</v>
      </c>
      <c r="R582" t="str">
        <f t="shared" si="96"/>
        <v>Graham/Michael</v>
      </c>
      <c r="S582" t="str">
        <f t="shared" si="97"/>
        <v>Clay/Ryan</v>
      </c>
      <c r="T582">
        <f t="shared" si="98"/>
        <v>149.62</v>
      </c>
      <c r="U582">
        <f t="shared" si="99"/>
        <v>112.8</v>
      </c>
    </row>
    <row r="583" spans="1:21" x14ac:dyDescent="0.3">
      <c r="A583">
        <v>582</v>
      </c>
      <c r="B583" t="str">
        <f>H583&amp;R583&amp;I583</f>
        <v>2021Walker/Cory13</v>
      </c>
      <c r="C583" t="str">
        <f>H583&amp;S583&amp;I583</f>
        <v>2021Dave/Nolan13</v>
      </c>
      <c r="D583">
        <f t="shared" si="90"/>
        <v>199</v>
      </c>
      <c r="E583">
        <f t="shared" si="91"/>
        <v>671</v>
      </c>
      <c r="F583">
        <f t="shared" si="92"/>
        <v>530</v>
      </c>
      <c r="G583">
        <f t="shared" si="93"/>
        <v>739</v>
      </c>
      <c r="H583">
        <v>2021</v>
      </c>
      <c r="I583">
        <v>13</v>
      </c>
      <c r="J583">
        <v>62</v>
      </c>
      <c r="K583" t="s">
        <v>30</v>
      </c>
      <c r="L583">
        <v>74.319999999999993</v>
      </c>
      <c r="M583" t="s">
        <v>36</v>
      </c>
      <c r="N583">
        <v>113.3</v>
      </c>
      <c r="O583" t="s">
        <v>20</v>
      </c>
      <c r="P583">
        <f t="shared" si="94"/>
        <v>187.62</v>
      </c>
      <c r="Q583">
        <f t="shared" si="95"/>
        <v>38.980000000000004</v>
      </c>
      <c r="R583" t="str">
        <f t="shared" si="96"/>
        <v>Walker/Cory</v>
      </c>
      <c r="S583" t="str">
        <f t="shared" si="97"/>
        <v>Dave/Nolan</v>
      </c>
      <c r="T583">
        <f t="shared" si="98"/>
        <v>113.3</v>
      </c>
      <c r="U583">
        <f t="shared" si="99"/>
        <v>74.319999999999993</v>
      </c>
    </row>
    <row r="584" spans="1:21" x14ac:dyDescent="0.3">
      <c r="A584">
        <v>583</v>
      </c>
      <c r="B584" t="str">
        <f>H584&amp;R584&amp;I584</f>
        <v>2021Drew/Cam13</v>
      </c>
      <c r="C584" t="str">
        <f>H584&amp;S584&amp;I584</f>
        <v>2021Brian/Travis13</v>
      </c>
      <c r="D584">
        <f t="shared" si="90"/>
        <v>409</v>
      </c>
      <c r="E584">
        <f t="shared" si="91"/>
        <v>427</v>
      </c>
      <c r="F584">
        <f t="shared" si="92"/>
        <v>455</v>
      </c>
      <c r="G584">
        <f t="shared" si="93"/>
        <v>409</v>
      </c>
      <c r="H584">
        <v>2021</v>
      </c>
      <c r="I584">
        <v>13</v>
      </c>
      <c r="J584">
        <v>63</v>
      </c>
      <c r="K584" t="s">
        <v>32</v>
      </c>
      <c r="L584">
        <v>95.56</v>
      </c>
      <c r="M584" t="s">
        <v>37</v>
      </c>
      <c r="N584">
        <v>118.1</v>
      </c>
      <c r="O584" t="s">
        <v>20</v>
      </c>
      <c r="P584">
        <f t="shared" si="94"/>
        <v>213.66</v>
      </c>
      <c r="Q584">
        <f t="shared" si="95"/>
        <v>22.539999999999992</v>
      </c>
      <c r="R584" t="str">
        <f t="shared" si="96"/>
        <v>Drew/Cam</v>
      </c>
      <c r="S584" t="str">
        <f t="shared" si="97"/>
        <v>Brian/Travis</v>
      </c>
      <c r="T584">
        <f t="shared" si="98"/>
        <v>118.1</v>
      </c>
      <c r="U584">
        <f t="shared" si="99"/>
        <v>95.56</v>
      </c>
    </row>
    <row r="585" spans="1:21" x14ac:dyDescent="0.3">
      <c r="A585">
        <v>584</v>
      </c>
      <c r="B585" t="str">
        <f>H585&amp;R585&amp;I585</f>
        <v>2021Eric/Blake13</v>
      </c>
      <c r="C585" t="str">
        <f>H585&amp;S585&amp;I585</f>
        <v>2021Pat/Tucker13</v>
      </c>
      <c r="D585">
        <f t="shared" si="90"/>
        <v>126</v>
      </c>
      <c r="E585">
        <f t="shared" si="91"/>
        <v>478</v>
      </c>
      <c r="F585">
        <f t="shared" si="92"/>
        <v>294</v>
      </c>
      <c r="G585">
        <f t="shared" si="93"/>
        <v>668</v>
      </c>
      <c r="H585">
        <v>2021</v>
      </c>
      <c r="I585">
        <v>13</v>
      </c>
      <c r="J585">
        <v>64</v>
      </c>
      <c r="K585" t="s">
        <v>34</v>
      </c>
      <c r="L585">
        <v>127.68</v>
      </c>
      <c r="M585" t="s">
        <v>31</v>
      </c>
      <c r="N585">
        <v>81.02</v>
      </c>
      <c r="O585" t="s">
        <v>20</v>
      </c>
      <c r="P585">
        <f t="shared" si="94"/>
        <v>208.7</v>
      </c>
      <c r="Q585">
        <f t="shared" si="95"/>
        <v>46.660000000000011</v>
      </c>
      <c r="R585" t="str">
        <f t="shared" si="96"/>
        <v>Eric/Blake</v>
      </c>
      <c r="S585" t="str">
        <f t="shared" si="97"/>
        <v>Pat/Tucker</v>
      </c>
      <c r="T585">
        <f t="shared" si="98"/>
        <v>127.68</v>
      </c>
      <c r="U585">
        <f t="shared" si="99"/>
        <v>81.02</v>
      </c>
    </row>
    <row r="586" spans="1:21" x14ac:dyDescent="0.3">
      <c r="A586">
        <v>585</v>
      </c>
      <c r="B586" t="str">
        <f>H586&amp;R586&amp;I586</f>
        <v>2021David/Marshall13</v>
      </c>
      <c r="C586" t="str">
        <f>H586&amp;S586&amp;I586</f>
        <v>2021Trent/Colin13</v>
      </c>
      <c r="D586">
        <f t="shared" si="90"/>
        <v>168</v>
      </c>
      <c r="E586">
        <f t="shared" si="91"/>
        <v>96</v>
      </c>
      <c r="F586">
        <f t="shared" si="92"/>
        <v>75</v>
      </c>
      <c r="G586">
        <f t="shared" si="93"/>
        <v>219</v>
      </c>
      <c r="H586">
        <v>2021</v>
      </c>
      <c r="I586">
        <v>13</v>
      </c>
      <c r="J586">
        <v>65</v>
      </c>
      <c r="K586" t="s">
        <v>33</v>
      </c>
      <c r="L586">
        <v>107.16</v>
      </c>
      <c r="M586" t="s">
        <v>38</v>
      </c>
      <c r="N586">
        <v>149.41999999999999</v>
      </c>
      <c r="O586" t="s">
        <v>20</v>
      </c>
      <c r="P586">
        <f t="shared" si="94"/>
        <v>256.58</v>
      </c>
      <c r="Q586">
        <f t="shared" si="95"/>
        <v>42.259999999999991</v>
      </c>
      <c r="R586" t="str">
        <f t="shared" si="96"/>
        <v>David/Marshall</v>
      </c>
      <c r="S586" t="str">
        <f t="shared" si="97"/>
        <v>Trent/Colin</v>
      </c>
      <c r="T586">
        <f t="shared" si="98"/>
        <v>149.41999999999999</v>
      </c>
      <c r="U586">
        <f t="shared" si="99"/>
        <v>107.16</v>
      </c>
    </row>
    <row r="587" spans="1:21" x14ac:dyDescent="0.3">
      <c r="A587">
        <v>586</v>
      </c>
      <c r="B587" t="str">
        <f>H587&amp;R587&amp;I587</f>
        <v>2021Brian/Travis14</v>
      </c>
      <c r="C587" t="str">
        <f>H587&amp;S587&amp;I587</f>
        <v>2021Pat/Tucker14</v>
      </c>
      <c r="D587">
        <f t="shared" si="90"/>
        <v>47</v>
      </c>
      <c r="E587">
        <f t="shared" si="91"/>
        <v>787</v>
      </c>
      <c r="F587">
        <f t="shared" si="92"/>
        <v>508</v>
      </c>
      <c r="G587">
        <f t="shared" si="93"/>
        <v>858</v>
      </c>
      <c r="H587">
        <v>2021</v>
      </c>
      <c r="I587">
        <v>14</v>
      </c>
      <c r="J587">
        <v>66</v>
      </c>
      <c r="K587" t="s">
        <v>32</v>
      </c>
      <c r="L587">
        <v>115.12</v>
      </c>
      <c r="M587" t="s">
        <v>31</v>
      </c>
      <c r="N587">
        <v>55.18</v>
      </c>
      <c r="O587" t="s">
        <v>20</v>
      </c>
      <c r="P587">
        <f t="shared" si="94"/>
        <v>170.3</v>
      </c>
      <c r="Q587">
        <f t="shared" si="95"/>
        <v>59.940000000000005</v>
      </c>
      <c r="R587" t="str">
        <f t="shared" si="96"/>
        <v>Brian/Travis</v>
      </c>
      <c r="S587" t="str">
        <f t="shared" si="97"/>
        <v>Pat/Tucker</v>
      </c>
      <c r="T587">
        <f t="shared" si="98"/>
        <v>115.12</v>
      </c>
      <c r="U587">
        <f t="shared" si="99"/>
        <v>55.18</v>
      </c>
    </row>
    <row r="588" spans="1:21" x14ac:dyDescent="0.3">
      <c r="A588">
        <v>587</v>
      </c>
      <c r="B588" t="str">
        <f>H588&amp;R588&amp;I588</f>
        <v>2021Trent/Colin14</v>
      </c>
      <c r="C588" t="str">
        <f>H588&amp;S588&amp;I588</f>
        <v>2021Eric/Blake14</v>
      </c>
      <c r="D588">
        <f t="shared" si="90"/>
        <v>305</v>
      </c>
      <c r="E588">
        <f t="shared" si="91"/>
        <v>28</v>
      </c>
      <c r="F588">
        <f t="shared" si="92"/>
        <v>48</v>
      </c>
      <c r="G588">
        <f t="shared" si="93"/>
        <v>44</v>
      </c>
      <c r="H588">
        <v>2021</v>
      </c>
      <c r="I588">
        <v>14</v>
      </c>
      <c r="J588">
        <v>67</v>
      </c>
      <c r="K588" t="s">
        <v>33</v>
      </c>
      <c r="L588">
        <v>154.54</v>
      </c>
      <c r="M588" t="s">
        <v>34</v>
      </c>
      <c r="N588">
        <v>124.7</v>
      </c>
      <c r="O588" t="s">
        <v>20</v>
      </c>
      <c r="P588">
        <f t="shared" si="94"/>
        <v>279.24</v>
      </c>
      <c r="Q588">
        <f t="shared" si="95"/>
        <v>29.839999999999989</v>
      </c>
      <c r="R588" t="str">
        <f t="shared" si="96"/>
        <v>Trent/Colin</v>
      </c>
      <c r="S588" t="str">
        <f t="shared" si="97"/>
        <v>Eric/Blake</v>
      </c>
      <c r="T588">
        <f t="shared" si="98"/>
        <v>154.54</v>
      </c>
      <c r="U588">
        <f t="shared" si="99"/>
        <v>124.7</v>
      </c>
    </row>
    <row r="589" spans="1:21" x14ac:dyDescent="0.3">
      <c r="A589">
        <v>588</v>
      </c>
      <c r="B589" t="str">
        <f>H589&amp;R589&amp;I589</f>
        <v>2021David/Marshall14</v>
      </c>
      <c r="C589" t="str">
        <f>H589&amp;S589&amp;I589</f>
        <v>2021Dave/Nolan14</v>
      </c>
      <c r="D589">
        <f t="shared" si="90"/>
        <v>40</v>
      </c>
      <c r="E589">
        <f t="shared" si="91"/>
        <v>479</v>
      </c>
      <c r="F589">
        <f t="shared" si="92"/>
        <v>188</v>
      </c>
      <c r="G589">
        <f t="shared" si="93"/>
        <v>762</v>
      </c>
      <c r="H589">
        <v>2021</v>
      </c>
      <c r="I589">
        <v>14</v>
      </c>
      <c r="J589">
        <v>68</v>
      </c>
      <c r="K589" t="s">
        <v>38</v>
      </c>
      <c r="L589">
        <v>135.22</v>
      </c>
      <c r="M589" t="s">
        <v>30</v>
      </c>
      <c r="N589">
        <v>73.42</v>
      </c>
      <c r="O589" t="s">
        <v>20</v>
      </c>
      <c r="P589">
        <f t="shared" si="94"/>
        <v>208.64</v>
      </c>
      <c r="Q589">
        <f t="shared" si="95"/>
        <v>61.8</v>
      </c>
      <c r="R589" t="str">
        <f t="shared" si="96"/>
        <v>David/Marshall</v>
      </c>
      <c r="S589" t="str">
        <f t="shared" si="97"/>
        <v>Dave/Nolan</v>
      </c>
      <c r="T589">
        <f t="shared" si="98"/>
        <v>135.22</v>
      </c>
      <c r="U589">
        <f t="shared" si="99"/>
        <v>73.42</v>
      </c>
    </row>
    <row r="590" spans="1:21" x14ac:dyDescent="0.3">
      <c r="A590">
        <v>589</v>
      </c>
      <c r="B590" t="str">
        <f>H590&amp;R590&amp;I590</f>
        <v>2021Drew/Cam14</v>
      </c>
      <c r="C590" t="str">
        <f>H590&amp;S590&amp;I590</f>
        <v>2021Graham/Michael14</v>
      </c>
      <c r="D590">
        <f t="shared" si="90"/>
        <v>672</v>
      </c>
      <c r="E590">
        <f t="shared" si="91"/>
        <v>90</v>
      </c>
      <c r="F590">
        <f t="shared" si="92"/>
        <v>215</v>
      </c>
      <c r="G590">
        <f t="shared" si="93"/>
        <v>49</v>
      </c>
      <c r="H590">
        <v>2021</v>
      </c>
      <c r="I590">
        <v>14</v>
      </c>
      <c r="J590">
        <v>69</v>
      </c>
      <c r="K590" t="s">
        <v>37</v>
      </c>
      <c r="L590">
        <v>133.38</v>
      </c>
      <c r="M590" t="s">
        <v>29</v>
      </c>
      <c r="N590">
        <v>124.24</v>
      </c>
      <c r="O590" t="s">
        <v>20</v>
      </c>
      <c r="P590">
        <f t="shared" si="94"/>
        <v>257.62</v>
      </c>
      <c r="Q590">
        <f t="shared" si="95"/>
        <v>9.14</v>
      </c>
      <c r="R590" t="str">
        <f t="shared" si="96"/>
        <v>Drew/Cam</v>
      </c>
      <c r="S590" t="str">
        <f t="shared" si="97"/>
        <v>Graham/Michael</v>
      </c>
      <c r="T590">
        <f t="shared" si="98"/>
        <v>133.38</v>
      </c>
      <c r="U590">
        <f t="shared" si="99"/>
        <v>124.24</v>
      </c>
    </row>
    <row r="591" spans="1:21" x14ac:dyDescent="0.3">
      <c r="A591">
        <v>590</v>
      </c>
      <c r="B591" t="str">
        <f>H591&amp;R591&amp;I591</f>
        <v>2021Clay/Ryan14</v>
      </c>
      <c r="C591" t="str">
        <f>H591&amp;S591&amp;I591</f>
        <v>2021Walker/Cory14</v>
      </c>
      <c r="D591">
        <f t="shared" si="90"/>
        <v>124</v>
      </c>
      <c r="E591">
        <f t="shared" si="91"/>
        <v>206</v>
      </c>
      <c r="F591">
        <f t="shared" si="92"/>
        <v>116</v>
      </c>
      <c r="G591">
        <f t="shared" si="93"/>
        <v>390</v>
      </c>
      <c r="H591">
        <v>2021</v>
      </c>
      <c r="I591">
        <v>14</v>
      </c>
      <c r="J591">
        <v>70</v>
      </c>
      <c r="K591" t="s">
        <v>35</v>
      </c>
      <c r="L591">
        <v>143.41999999999999</v>
      </c>
      <c r="M591" t="s">
        <v>36</v>
      </c>
      <c r="N591">
        <v>96.54</v>
      </c>
      <c r="O591" t="s">
        <v>20</v>
      </c>
      <c r="P591">
        <f t="shared" si="94"/>
        <v>239.95999999999998</v>
      </c>
      <c r="Q591">
        <f t="shared" si="95"/>
        <v>46.879999999999981</v>
      </c>
      <c r="R591" t="str">
        <f t="shared" si="96"/>
        <v>Clay/Ryan</v>
      </c>
      <c r="S591" t="str">
        <f t="shared" si="97"/>
        <v>Walker/Cory</v>
      </c>
      <c r="T591">
        <f t="shared" si="98"/>
        <v>143.41999999999999</v>
      </c>
      <c r="U591">
        <f t="shared" si="99"/>
        <v>96.54</v>
      </c>
    </row>
    <row r="592" spans="1:21" x14ac:dyDescent="0.3">
      <c r="A592">
        <v>591</v>
      </c>
      <c r="B592" t="str">
        <f>H592&amp;R592&amp;I592</f>
        <v>2022Brian/Travis1</v>
      </c>
      <c r="C592" t="str">
        <f>H592&amp;S592&amp;I592</f>
        <v>2022Pat/Tucker1</v>
      </c>
      <c r="D592">
        <f t="shared" si="90"/>
        <v>611</v>
      </c>
      <c r="E592">
        <f t="shared" si="91"/>
        <v>218</v>
      </c>
      <c r="F592">
        <f t="shared" si="92"/>
        <v>342</v>
      </c>
      <c r="G592">
        <f t="shared" si="93"/>
        <v>149</v>
      </c>
      <c r="H592">
        <v>2022</v>
      </c>
      <c r="I592">
        <v>1</v>
      </c>
      <c r="J592">
        <v>1</v>
      </c>
      <c r="K592" t="s">
        <v>31</v>
      </c>
      <c r="L592">
        <v>112.92</v>
      </c>
      <c r="M592" t="s">
        <v>32</v>
      </c>
      <c r="N592">
        <v>124.88</v>
      </c>
      <c r="O592" t="s">
        <v>20</v>
      </c>
      <c r="P592">
        <f t="shared" si="94"/>
        <v>237.8</v>
      </c>
      <c r="Q592">
        <f t="shared" si="95"/>
        <v>11.959999999999994</v>
      </c>
      <c r="R592" t="str">
        <f t="shared" si="96"/>
        <v>Brian/Travis</v>
      </c>
      <c r="S592" t="str">
        <f t="shared" si="97"/>
        <v>Pat/Tucker</v>
      </c>
      <c r="T592">
        <f t="shared" si="98"/>
        <v>124.88</v>
      </c>
      <c r="U592">
        <f t="shared" si="99"/>
        <v>112.92</v>
      </c>
    </row>
    <row r="593" spans="1:21" x14ac:dyDescent="0.3">
      <c r="A593">
        <v>592</v>
      </c>
      <c r="B593" t="str">
        <f>H593&amp;R593&amp;I593</f>
        <v>2022Walker/Cory1</v>
      </c>
      <c r="C593" t="str">
        <f>H593&amp;S593&amp;I593</f>
        <v>2022Eric/Blake1</v>
      </c>
      <c r="D593">
        <f t="shared" si="90"/>
        <v>824</v>
      </c>
      <c r="E593">
        <f t="shared" si="91"/>
        <v>558</v>
      </c>
      <c r="F593">
        <f t="shared" si="92"/>
        <v>694</v>
      </c>
      <c r="G593">
        <f t="shared" si="93"/>
        <v>349</v>
      </c>
      <c r="H593">
        <v>2022</v>
      </c>
      <c r="I593">
        <v>1</v>
      </c>
      <c r="J593">
        <v>2</v>
      </c>
      <c r="K593" t="s">
        <v>36</v>
      </c>
      <c r="L593">
        <v>101.62</v>
      </c>
      <c r="M593" t="s">
        <v>34</v>
      </c>
      <c r="N593">
        <v>99</v>
      </c>
      <c r="O593" t="s">
        <v>20</v>
      </c>
      <c r="P593">
        <f t="shared" si="94"/>
        <v>200.62</v>
      </c>
      <c r="Q593">
        <f t="shared" si="95"/>
        <v>2.6200000000000045</v>
      </c>
      <c r="R593" t="str">
        <f t="shared" si="96"/>
        <v>Walker/Cory</v>
      </c>
      <c r="S593" t="str">
        <f t="shared" si="97"/>
        <v>Eric/Blake</v>
      </c>
      <c r="T593">
        <f t="shared" si="98"/>
        <v>101.62</v>
      </c>
      <c r="U593">
        <f t="shared" si="99"/>
        <v>99</v>
      </c>
    </row>
    <row r="594" spans="1:21" x14ac:dyDescent="0.3">
      <c r="A594">
        <v>593</v>
      </c>
      <c r="B594" t="str">
        <f>H594&amp;R594&amp;I594</f>
        <v>2022Trent/Colin1</v>
      </c>
      <c r="C594" t="str">
        <f>H594&amp;S594&amp;I594</f>
        <v>2022Clay/Ryan1</v>
      </c>
      <c r="D594">
        <f t="shared" si="90"/>
        <v>464</v>
      </c>
      <c r="E594">
        <f t="shared" si="91"/>
        <v>78</v>
      </c>
      <c r="F594">
        <f t="shared" si="92"/>
        <v>134</v>
      </c>
      <c r="G594">
        <f t="shared" si="93"/>
        <v>73</v>
      </c>
      <c r="H594">
        <v>2022</v>
      </c>
      <c r="I594">
        <v>1</v>
      </c>
      <c r="J594">
        <v>3</v>
      </c>
      <c r="K594" t="s">
        <v>35</v>
      </c>
      <c r="L594">
        <v>120.08</v>
      </c>
      <c r="M594" t="s">
        <v>33</v>
      </c>
      <c r="N594">
        <v>140.1</v>
      </c>
      <c r="O594" t="s">
        <v>20</v>
      </c>
      <c r="P594">
        <f t="shared" si="94"/>
        <v>260.18</v>
      </c>
      <c r="Q594">
        <f t="shared" si="95"/>
        <v>20.019999999999996</v>
      </c>
      <c r="R594" t="str">
        <f t="shared" si="96"/>
        <v>Trent/Colin</v>
      </c>
      <c r="S594" t="str">
        <f t="shared" si="97"/>
        <v>Clay/Ryan</v>
      </c>
      <c r="T594">
        <f t="shared" si="98"/>
        <v>140.1</v>
      </c>
      <c r="U594">
        <f t="shared" si="99"/>
        <v>120.08</v>
      </c>
    </row>
    <row r="595" spans="1:21" x14ac:dyDescent="0.3">
      <c r="A595">
        <v>594</v>
      </c>
      <c r="B595" t="str">
        <f>H595&amp;R595&amp;I595</f>
        <v>2022Dave/Nolan1</v>
      </c>
      <c r="C595" t="str">
        <f>H595&amp;S595&amp;I595</f>
        <v>2022Graham/Michael1</v>
      </c>
      <c r="D595">
        <f t="shared" si="90"/>
        <v>363</v>
      </c>
      <c r="E595">
        <f t="shared" si="91"/>
        <v>256</v>
      </c>
      <c r="F595">
        <f t="shared" si="92"/>
        <v>260</v>
      </c>
      <c r="G595">
        <f t="shared" si="93"/>
        <v>249</v>
      </c>
      <c r="H595">
        <v>2022</v>
      </c>
      <c r="I595">
        <v>1</v>
      </c>
      <c r="J595">
        <v>4</v>
      </c>
      <c r="K595" t="s">
        <v>29</v>
      </c>
      <c r="L595">
        <v>104.02</v>
      </c>
      <c r="M595" t="s">
        <v>30</v>
      </c>
      <c r="N595">
        <v>129.6</v>
      </c>
      <c r="O595" t="s">
        <v>20</v>
      </c>
      <c r="P595">
        <f t="shared" si="94"/>
        <v>233.62</v>
      </c>
      <c r="Q595">
        <f t="shared" si="95"/>
        <v>25.58</v>
      </c>
      <c r="R595" t="str">
        <f t="shared" si="96"/>
        <v>Dave/Nolan</v>
      </c>
      <c r="S595" t="str">
        <f t="shared" si="97"/>
        <v>Graham/Michael</v>
      </c>
      <c r="T595">
        <f t="shared" si="98"/>
        <v>129.6</v>
      </c>
      <c r="U595">
        <f t="shared" si="99"/>
        <v>104.02</v>
      </c>
    </row>
    <row r="596" spans="1:21" x14ac:dyDescent="0.3">
      <c r="A596">
        <v>595</v>
      </c>
      <c r="B596" t="str">
        <f>H596&amp;R596&amp;I596</f>
        <v>2022Drew/Cam1</v>
      </c>
      <c r="C596" t="str">
        <f>H596&amp;S596&amp;I596</f>
        <v>2022David/Marshall1</v>
      </c>
      <c r="D596">
        <f t="shared" si="90"/>
        <v>332</v>
      </c>
      <c r="E596">
        <f t="shared" si="91"/>
        <v>376</v>
      </c>
      <c r="F596">
        <f t="shared" si="92"/>
        <v>356</v>
      </c>
      <c r="G596">
        <f t="shared" si="93"/>
        <v>397</v>
      </c>
      <c r="H596">
        <v>2022</v>
      </c>
      <c r="I596">
        <v>1</v>
      </c>
      <c r="J596">
        <v>5</v>
      </c>
      <c r="K596" t="s">
        <v>37</v>
      </c>
      <c r="L596">
        <v>124.32</v>
      </c>
      <c r="M596" t="s">
        <v>38</v>
      </c>
      <c r="N596">
        <v>96.36</v>
      </c>
      <c r="O596" t="s">
        <v>20</v>
      </c>
      <c r="P596">
        <f t="shared" si="94"/>
        <v>220.68</v>
      </c>
      <c r="Q596">
        <f t="shared" si="95"/>
        <v>27.959999999999994</v>
      </c>
      <c r="R596" t="str">
        <f t="shared" si="96"/>
        <v>Drew/Cam</v>
      </c>
      <c r="S596" t="str">
        <f t="shared" si="97"/>
        <v>David/Marshall</v>
      </c>
      <c r="T596">
        <f t="shared" si="98"/>
        <v>124.32</v>
      </c>
      <c r="U596">
        <f t="shared" si="99"/>
        <v>96.36</v>
      </c>
    </row>
    <row r="597" spans="1:21" x14ac:dyDescent="0.3">
      <c r="A597">
        <v>596</v>
      </c>
      <c r="B597" t="str">
        <f>H597&amp;R597&amp;I597</f>
        <v>2022Trent/Colin2</v>
      </c>
      <c r="C597" t="str">
        <f>H597&amp;S597&amp;I597</f>
        <v>2022Eric/Blake2</v>
      </c>
      <c r="D597">
        <f t="shared" si="90"/>
        <v>418</v>
      </c>
      <c r="E597">
        <f t="shared" si="91"/>
        <v>831</v>
      </c>
      <c r="F597">
        <f t="shared" si="92"/>
        <v>825</v>
      </c>
      <c r="G597">
        <f t="shared" si="93"/>
        <v>809</v>
      </c>
      <c r="H597">
        <v>2022</v>
      </c>
      <c r="I597">
        <v>2</v>
      </c>
      <c r="J597">
        <v>6</v>
      </c>
      <c r="K597" t="s">
        <v>34</v>
      </c>
      <c r="L597">
        <v>67.459999999999994</v>
      </c>
      <c r="M597" t="s">
        <v>33</v>
      </c>
      <c r="N597">
        <v>89.86</v>
      </c>
      <c r="O597" t="s">
        <v>20</v>
      </c>
      <c r="P597">
        <f t="shared" si="94"/>
        <v>157.32</v>
      </c>
      <c r="Q597">
        <f t="shared" si="95"/>
        <v>22.400000000000006</v>
      </c>
      <c r="R597" t="str">
        <f t="shared" si="96"/>
        <v>Trent/Colin</v>
      </c>
      <c r="S597" t="str">
        <f t="shared" si="97"/>
        <v>Eric/Blake</v>
      </c>
      <c r="T597">
        <f t="shared" si="98"/>
        <v>89.86</v>
      </c>
      <c r="U597">
        <f t="shared" si="99"/>
        <v>67.459999999999994</v>
      </c>
    </row>
    <row r="598" spans="1:21" x14ac:dyDescent="0.3">
      <c r="A598">
        <v>597</v>
      </c>
      <c r="B598" t="str">
        <f>H598&amp;R598&amp;I598</f>
        <v>2022Pat/Tucker2</v>
      </c>
      <c r="C598" t="str">
        <f>H598&amp;S598&amp;I598</f>
        <v>2022Dave/Nolan2</v>
      </c>
      <c r="D598">
        <f t="shared" si="90"/>
        <v>3</v>
      </c>
      <c r="E598">
        <f t="shared" si="91"/>
        <v>24</v>
      </c>
      <c r="F598">
        <f t="shared" si="92"/>
        <v>2</v>
      </c>
      <c r="G598">
        <f t="shared" si="93"/>
        <v>431</v>
      </c>
      <c r="H598">
        <v>2022</v>
      </c>
      <c r="I598">
        <v>2</v>
      </c>
      <c r="J598">
        <v>7</v>
      </c>
      <c r="K598" t="s">
        <v>30</v>
      </c>
      <c r="L598">
        <v>94.2</v>
      </c>
      <c r="M598" t="s">
        <v>31</v>
      </c>
      <c r="N598">
        <v>186.92</v>
      </c>
      <c r="O598" t="s">
        <v>20</v>
      </c>
      <c r="P598">
        <f t="shared" si="94"/>
        <v>281.12</v>
      </c>
      <c r="Q598">
        <f t="shared" si="95"/>
        <v>92.719999999999985</v>
      </c>
      <c r="R598" t="str">
        <f t="shared" si="96"/>
        <v>Pat/Tucker</v>
      </c>
      <c r="S598" t="str">
        <f t="shared" si="97"/>
        <v>Dave/Nolan</v>
      </c>
      <c r="T598">
        <f t="shared" si="98"/>
        <v>186.92</v>
      </c>
      <c r="U598">
        <f t="shared" si="99"/>
        <v>94.2</v>
      </c>
    </row>
    <row r="599" spans="1:21" x14ac:dyDescent="0.3">
      <c r="A599">
        <v>598</v>
      </c>
      <c r="B599" t="str">
        <f>H599&amp;R599&amp;I599</f>
        <v>2022Brian/Travis2</v>
      </c>
      <c r="C599" t="str">
        <f>H599&amp;S599&amp;I599</f>
        <v>2022David/Marshall2</v>
      </c>
      <c r="D599">
        <f t="shared" si="90"/>
        <v>53</v>
      </c>
      <c r="E599">
        <f t="shared" si="91"/>
        <v>79</v>
      </c>
      <c r="F599">
        <f t="shared" si="92"/>
        <v>35</v>
      </c>
      <c r="G599">
        <f t="shared" si="93"/>
        <v>311</v>
      </c>
      <c r="H599">
        <v>2022</v>
      </c>
      <c r="I599">
        <v>2</v>
      </c>
      <c r="J599">
        <v>8</v>
      </c>
      <c r="K599" t="s">
        <v>38</v>
      </c>
      <c r="L599">
        <v>100.76</v>
      </c>
      <c r="M599" t="s">
        <v>32</v>
      </c>
      <c r="N599">
        <v>159.28</v>
      </c>
      <c r="O599" t="s">
        <v>20</v>
      </c>
      <c r="P599">
        <f t="shared" si="94"/>
        <v>260.04000000000002</v>
      </c>
      <c r="Q599">
        <f t="shared" si="95"/>
        <v>58.519999999999996</v>
      </c>
      <c r="R599" t="str">
        <f t="shared" si="96"/>
        <v>Brian/Travis</v>
      </c>
      <c r="S599" t="str">
        <f t="shared" si="97"/>
        <v>David/Marshall</v>
      </c>
      <c r="T599">
        <f t="shared" si="98"/>
        <v>159.28</v>
      </c>
      <c r="U599">
        <f t="shared" si="99"/>
        <v>100.76</v>
      </c>
    </row>
    <row r="600" spans="1:21" x14ac:dyDescent="0.3">
      <c r="A600">
        <v>599</v>
      </c>
      <c r="B600" t="str">
        <f>H600&amp;R600&amp;I600</f>
        <v>2022Walker/Cory2</v>
      </c>
      <c r="C600" t="str">
        <f>H600&amp;S600&amp;I600</f>
        <v>2022Graham/Michael2</v>
      </c>
      <c r="D600">
        <f t="shared" si="90"/>
        <v>201</v>
      </c>
      <c r="E600">
        <f t="shared" si="91"/>
        <v>8</v>
      </c>
      <c r="F600">
        <f t="shared" si="92"/>
        <v>16</v>
      </c>
      <c r="G600">
        <f t="shared" si="93"/>
        <v>27</v>
      </c>
      <c r="H600">
        <v>2022</v>
      </c>
      <c r="I600">
        <v>2</v>
      </c>
      <c r="J600">
        <v>9</v>
      </c>
      <c r="K600" t="s">
        <v>29</v>
      </c>
      <c r="L600">
        <v>129.58000000000001</v>
      </c>
      <c r="M600" t="s">
        <v>36</v>
      </c>
      <c r="N600">
        <v>168.12</v>
      </c>
      <c r="O600" t="s">
        <v>20</v>
      </c>
      <c r="P600">
        <f t="shared" si="94"/>
        <v>297.70000000000005</v>
      </c>
      <c r="Q600">
        <f t="shared" si="95"/>
        <v>38.539999999999992</v>
      </c>
      <c r="R600" t="str">
        <f t="shared" si="96"/>
        <v>Walker/Cory</v>
      </c>
      <c r="S600" t="str">
        <f t="shared" si="97"/>
        <v>Graham/Michael</v>
      </c>
      <c r="T600">
        <f t="shared" si="98"/>
        <v>168.12</v>
      </c>
      <c r="U600">
        <f t="shared" si="99"/>
        <v>129.58000000000001</v>
      </c>
    </row>
    <row r="601" spans="1:21" x14ac:dyDescent="0.3">
      <c r="A601">
        <v>600</v>
      </c>
      <c r="B601" t="str">
        <f>H601&amp;R601&amp;I601</f>
        <v>2022Clay/Ryan2</v>
      </c>
      <c r="C601" t="str">
        <f>H601&amp;S601&amp;I601</f>
        <v>2022Drew/Cam2</v>
      </c>
      <c r="D601">
        <f t="shared" si="90"/>
        <v>757</v>
      </c>
      <c r="E601">
        <f t="shared" si="91"/>
        <v>615</v>
      </c>
      <c r="F601">
        <f t="shared" si="92"/>
        <v>707</v>
      </c>
      <c r="G601">
        <f t="shared" si="93"/>
        <v>432</v>
      </c>
      <c r="H601">
        <v>2022</v>
      </c>
      <c r="I601">
        <v>2</v>
      </c>
      <c r="J601">
        <v>10</v>
      </c>
      <c r="K601" t="s">
        <v>37</v>
      </c>
      <c r="L601">
        <v>94.16</v>
      </c>
      <c r="M601" t="s">
        <v>35</v>
      </c>
      <c r="N601">
        <v>99.9</v>
      </c>
      <c r="O601" t="s">
        <v>20</v>
      </c>
      <c r="P601">
        <f t="shared" si="94"/>
        <v>194.06</v>
      </c>
      <c r="Q601">
        <f t="shared" si="95"/>
        <v>5.7400000000000091</v>
      </c>
      <c r="R601" t="str">
        <f t="shared" si="96"/>
        <v>Clay/Ryan</v>
      </c>
      <c r="S601" t="str">
        <f t="shared" si="97"/>
        <v>Drew/Cam</v>
      </c>
      <c r="T601">
        <f t="shared" si="98"/>
        <v>99.9</v>
      </c>
      <c r="U601">
        <f t="shared" si="99"/>
        <v>94.16</v>
      </c>
    </row>
    <row r="602" spans="1:21" x14ac:dyDescent="0.3">
      <c r="A602">
        <v>601</v>
      </c>
      <c r="B602" t="str">
        <f>H602&amp;R602&amp;I602</f>
        <v>2022Dave/Nolan3</v>
      </c>
      <c r="C602" t="str">
        <f>H602&amp;S602&amp;I602</f>
        <v>2022David/Marshall3</v>
      </c>
      <c r="D602">
        <f t="shared" si="90"/>
        <v>154</v>
      </c>
      <c r="E602">
        <f t="shared" si="91"/>
        <v>597</v>
      </c>
      <c r="F602">
        <f t="shared" si="92"/>
        <v>432</v>
      </c>
      <c r="G602">
        <f t="shared" si="93"/>
        <v>715</v>
      </c>
      <c r="H602">
        <v>2022</v>
      </c>
      <c r="I602">
        <v>3</v>
      </c>
      <c r="J602">
        <v>11</v>
      </c>
      <c r="K602" t="s">
        <v>30</v>
      </c>
      <c r="L602">
        <v>119.88</v>
      </c>
      <c r="M602" t="s">
        <v>38</v>
      </c>
      <c r="N602">
        <v>76.48</v>
      </c>
      <c r="O602" t="s">
        <v>20</v>
      </c>
      <c r="P602">
        <f t="shared" si="94"/>
        <v>196.36</v>
      </c>
      <c r="Q602">
        <f t="shared" si="95"/>
        <v>43.399999999999991</v>
      </c>
      <c r="R602" t="str">
        <f t="shared" si="96"/>
        <v>Dave/Nolan</v>
      </c>
      <c r="S602" t="str">
        <f t="shared" si="97"/>
        <v>David/Marshall</v>
      </c>
      <c r="T602">
        <f t="shared" si="98"/>
        <v>119.88</v>
      </c>
      <c r="U602">
        <f t="shared" si="99"/>
        <v>76.48</v>
      </c>
    </row>
    <row r="603" spans="1:21" x14ac:dyDescent="0.3">
      <c r="A603">
        <v>602</v>
      </c>
      <c r="B603" t="str">
        <f>H603&amp;R603&amp;I603</f>
        <v>2022Graham/Michael3</v>
      </c>
      <c r="C603" t="str">
        <f>H603&amp;S603&amp;I603</f>
        <v>2022Eric/Blake3</v>
      </c>
      <c r="D603">
        <f t="shared" si="90"/>
        <v>510</v>
      </c>
      <c r="E603">
        <f t="shared" si="91"/>
        <v>426</v>
      </c>
      <c r="F603">
        <f t="shared" si="92"/>
        <v>502</v>
      </c>
      <c r="G603">
        <f t="shared" si="93"/>
        <v>361</v>
      </c>
      <c r="H603">
        <v>2022</v>
      </c>
      <c r="I603">
        <v>3</v>
      </c>
      <c r="J603">
        <v>12</v>
      </c>
      <c r="K603" t="s">
        <v>34</v>
      </c>
      <c r="L603">
        <v>98.22</v>
      </c>
      <c r="M603" t="s">
        <v>29</v>
      </c>
      <c r="N603">
        <v>115.46</v>
      </c>
      <c r="O603" t="s">
        <v>20</v>
      </c>
      <c r="P603">
        <f t="shared" si="94"/>
        <v>213.68</v>
      </c>
      <c r="Q603">
        <f t="shared" si="95"/>
        <v>17.239999999999995</v>
      </c>
      <c r="R603" t="str">
        <f t="shared" si="96"/>
        <v>Graham/Michael</v>
      </c>
      <c r="S603" t="str">
        <f t="shared" si="97"/>
        <v>Eric/Blake</v>
      </c>
      <c r="T603">
        <f t="shared" si="98"/>
        <v>115.46</v>
      </c>
      <c r="U603">
        <f t="shared" si="99"/>
        <v>98.22</v>
      </c>
    </row>
    <row r="604" spans="1:21" x14ac:dyDescent="0.3">
      <c r="A604">
        <v>603</v>
      </c>
      <c r="B604" t="str">
        <f>H604&amp;R604&amp;I604</f>
        <v>2022Trent/Colin3</v>
      </c>
      <c r="C604" t="str">
        <f>H604&amp;S604&amp;I604</f>
        <v>2022Drew/Cam3</v>
      </c>
      <c r="D604">
        <f t="shared" si="90"/>
        <v>507</v>
      </c>
      <c r="E604">
        <f t="shared" si="91"/>
        <v>346</v>
      </c>
      <c r="F604">
        <f t="shared" si="92"/>
        <v>425</v>
      </c>
      <c r="G604">
        <f t="shared" si="93"/>
        <v>272</v>
      </c>
      <c r="H604">
        <v>2022</v>
      </c>
      <c r="I604">
        <v>3</v>
      </c>
      <c r="J604">
        <v>13</v>
      </c>
      <c r="K604" t="s">
        <v>33</v>
      </c>
      <c r="L604">
        <v>120.4</v>
      </c>
      <c r="M604" t="s">
        <v>37</v>
      </c>
      <c r="N604">
        <v>103.1</v>
      </c>
      <c r="O604" t="s">
        <v>20</v>
      </c>
      <c r="P604">
        <f t="shared" si="94"/>
        <v>223.5</v>
      </c>
      <c r="Q604">
        <f t="shared" si="95"/>
        <v>17.300000000000011</v>
      </c>
      <c r="R604" t="str">
        <f t="shared" si="96"/>
        <v>Trent/Colin</v>
      </c>
      <c r="S604" t="str">
        <f t="shared" si="97"/>
        <v>Drew/Cam</v>
      </c>
      <c r="T604">
        <f t="shared" si="98"/>
        <v>120.4</v>
      </c>
      <c r="U604">
        <f t="shared" si="99"/>
        <v>103.1</v>
      </c>
    </row>
    <row r="605" spans="1:21" x14ac:dyDescent="0.3">
      <c r="A605">
        <v>604</v>
      </c>
      <c r="B605" t="str">
        <f>H605&amp;R605&amp;I605</f>
        <v>2022Pat/Tucker3</v>
      </c>
      <c r="C605" t="str">
        <f>H605&amp;S605&amp;I605</f>
        <v>2022Walker/Cory3</v>
      </c>
      <c r="D605">
        <f t="shared" si="90"/>
        <v>529</v>
      </c>
      <c r="E605">
        <f t="shared" si="91"/>
        <v>233</v>
      </c>
      <c r="F605">
        <f t="shared" si="92"/>
        <v>318</v>
      </c>
      <c r="G605">
        <f t="shared" si="93"/>
        <v>179</v>
      </c>
      <c r="H605">
        <v>2022</v>
      </c>
      <c r="I605">
        <v>3</v>
      </c>
      <c r="J605">
        <v>14</v>
      </c>
      <c r="K605" t="s">
        <v>31</v>
      </c>
      <c r="L605">
        <v>126.22</v>
      </c>
      <c r="M605" t="s">
        <v>36</v>
      </c>
      <c r="N605">
        <v>110.3</v>
      </c>
      <c r="O605" t="s">
        <v>20</v>
      </c>
      <c r="P605">
        <f t="shared" si="94"/>
        <v>236.51999999999998</v>
      </c>
      <c r="Q605">
        <f t="shared" si="95"/>
        <v>15.920000000000002</v>
      </c>
      <c r="R605" t="str">
        <f t="shared" si="96"/>
        <v>Pat/Tucker</v>
      </c>
      <c r="S605" t="str">
        <f t="shared" si="97"/>
        <v>Walker/Cory</v>
      </c>
      <c r="T605">
        <f t="shared" si="98"/>
        <v>126.22</v>
      </c>
      <c r="U605">
        <f t="shared" si="99"/>
        <v>110.3</v>
      </c>
    </row>
    <row r="606" spans="1:21" x14ac:dyDescent="0.3">
      <c r="A606">
        <v>605</v>
      </c>
      <c r="B606" t="str">
        <f>H606&amp;R606&amp;I606</f>
        <v>2022Brian/Travis3</v>
      </c>
      <c r="C606" t="str">
        <f>H606&amp;S606&amp;I606</f>
        <v>2022Clay/Ryan3</v>
      </c>
      <c r="D606">
        <f t="shared" si="90"/>
        <v>852</v>
      </c>
      <c r="E606">
        <f t="shared" si="91"/>
        <v>838</v>
      </c>
      <c r="F606">
        <f t="shared" si="92"/>
        <v>862</v>
      </c>
      <c r="G606">
        <f t="shared" si="93"/>
        <v>721</v>
      </c>
      <c r="H606">
        <v>2022</v>
      </c>
      <c r="I606">
        <v>3</v>
      </c>
      <c r="J606">
        <v>15</v>
      </c>
      <c r="K606" t="s">
        <v>32</v>
      </c>
      <c r="L606">
        <v>76.8</v>
      </c>
      <c r="M606" t="s">
        <v>35</v>
      </c>
      <c r="N606">
        <v>75.86</v>
      </c>
      <c r="O606" t="s">
        <v>20</v>
      </c>
      <c r="P606">
        <f t="shared" si="94"/>
        <v>152.66</v>
      </c>
      <c r="Q606">
        <f t="shared" si="95"/>
        <v>0.93999999999999773</v>
      </c>
      <c r="R606" t="str">
        <f t="shared" si="96"/>
        <v>Brian/Travis</v>
      </c>
      <c r="S606" t="str">
        <f t="shared" si="97"/>
        <v>Clay/Ryan</v>
      </c>
      <c r="T606">
        <f t="shared" si="98"/>
        <v>76.8</v>
      </c>
      <c r="U606">
        <f t="shared" si="99"/>
        <v>75.86</v>
      </c>
    </row>
    <row r="607" spans="1:21" x14ac:dyDescent="0.3">
      <c r="A607">
        <v>606</v>
      </c>
      <c r="B607" t="str">
        <f>H607&amp;R607&amp;I607</f>
        <v>2022Graham/Michael4</v>
      </c>
      <c r="C607" t="str">
        <f>H607&amp;S607&amp;I607</f>
        <v>2022Drew/Cam4</v>
      </c>
      <c r="D607">
        <f t="shared" si="90"/>
        <v>735</v>
      </c>
      <c r="E607">
        <f t="shared" si="91"/>
        <v>282</v>
      </c>
      <c r="F607">
        <f t="shared" si="92"/>
        <v>454</v>
      </c>
      <c r="G607">
        <f t="shared" si="93"/>
        <v>162</v>
      </c>
      <c r="H607">
        <v>2022</v>
      </c>
      <c r="I607">
        <v>4</v>
      </c>
      <c r="J607">
        <v>16</v>
      </c>
      <c r="K607" t="s">
        <v>29</v>
      </c>
      <c r="L607">
        <v>118.28</v>
      </c>
      <c r="M607" t="s">
        <v>37</v>
      </c>
      <c r="N607">
        <v>111.68</v>
      </c>
      <c r="O607" t="s">
        <v>20</v>
      </c>
      <c r="P607">
        <f t="shared" si="94"/>
        <v>229.96</v>
      </c>
      <c r="Q607">
        <f t="shared" si="95"/>
        <v>6.5999999999999943</v>
      </c>
      <c r="R607" t="str">
        <f t="shared" si="96"/>
        <v>Graham/Michael</v>
      </c>
      <c r="S607" t="str">
        <f t="shared" si="97"/>
        <v>Drew/Cam</v>
      </c>
      <c r="T607">
        <f t="shared" si="98"/>
        <v>118.28</v>
      </c>
      <c r="U607">
        <f t="shared" si="99"/>
        <v>111.68</v>
      </c>
    </row>
    <row r="608" spans="1:21" x14ac:dyDescent="0.3">
      <c r="A608">
        <v>607</v>
      </c>
      <c r="B608" t="str">
        <f>H608&amp;R608&amp;I608</f>
        <v>2022Dave/Nolan4</v>
      </c>
      <c r="C608" t="str">
        <f>H608&amp;S608&amp;I608</f>
        <v>2022Walker/Cory4</v>
      </c>
      <c r="D608">
        <f t="shared" si="90"/>
        <v>157</v>
      </c>
      <c r="E608">
        <f t="shared" si="91"/>
        <v>61</v>
      </c>
      <c r="F608">
        <f t="shared" si="92"/>
        <v>45</v>
      </c>
      <c r="G608">
        <f t="shared" si="93"/>
        <v>160</v>
      </c>
      <c r="H608">
        <v>2022</v>
      </c>
      <c r="I608">
        <v>4</v>
      </c>
      <c r="J608">
        <v>17</v>
      </c>
      <c r="K608" t="s">
        <v>36</v>
      </c>
      <c r="L608">
        <v>111.96</v>
      </c>
      <c r="M608" t="s">
        <v>30</v>
      </c>
      <c r="N608">
        <v>155.06</v>
      </c>
      <c r="O608" t="s">
        <v>20</v>
      </c>
      <c r="P608">
        <f t="shared" si="94"/>
        <v>267.02</v>
      </c>
      <c r="Q608">
        <f t="shared" si="95"/>
        <v>43.100000000000009</v>
      </c>
      <c r="R608" t="str">
        <f t="shared" si="96"/>
        <v>Dave/Nolan</v>
      </c>
      <c r="S608" t="str">
        <f t="shared" si="97"/>
        <v>Walker/Cory</v>
      </c>
      <c r="T608">
        <f t="shared" si="98"/>
        <v>155.06</v>
      </c>
      <c r="U608">
        <f t="shared" si="99"/>
        <v>111.96</v>
      </c>
    </row>
    <row r="609" spans="1:21" x14ac:dyDescent="0.3">
      <c r="A609">
        <v>608</v>
      </c>
      <c r="B609" t="str">
        <f>H609&amp;R609&amp;I609</f>
        <v>2022Clay/Ryan4</v>
      </c>
      <c r="C609" t="str">
        <f>H609&amp;S609&amp;I609</f>
        <v>2022David/Marshall4</v>
      </c>
      <c r="D609">
        <f t="shared" si="90"/>
        <v>284</v>
      </c>
      <c r="E609">
        <f t="shared" si="91"/>
        <v>259</v>
      </c>
      <c r="F609">
        <f t="shared" si="92"/>
        <v>229</v>
      </c>
      <c r="G609">
        <f t="shared" si="93"/>
        <v>313</v>
      </c>
      <c r="H609">
        <v>2022</v>
      </c>
      <c r="I609">
        <v>4</v>
      </c>
      <c r="J609">
        <v>18</v>
      </c>
      <c r="K609" t="s">
        <v>35</v>
      </c>
      <c r="L609">
        <v>132.4</v>
      </c>
      <c r="M609" t="s">
        <v>38</v>
      </c>
      <c r="N609">
        <v>100.6</v>
      </c>
      <c r="O609" t="s">
        <v>20</v>
      </c>
      <c r="P609">
        <f t="shared" si="94"/>
        <v>233</v>
      </c>
      <c r="Q609">
        <f t="shared" si="95"/>
        <v>31.800000000000011</v>
      </c>
      <c r="R609" t="str">
        <f t="shared" si="96"/>
        <v>Clay/Ryan</v>
      </c>
      <c r="S609" t="str">
        <f t="shared" si="97"/>
        <v>David/Marshall</v>
      </c>
      <c r="T609">
        <f t="shared" si="98"/>
        <v>132.4</v>
      </c>
      <c r="U609">
        <f t="shared" si="99"/>
        <v>100.6</v>
      </c>
    </row>
    <row r="610" spans="1:21" x14ac:dyDescent="0.3">
      <c r="A610">
        <v>609</v>
      </c>
      <c r="B610" t="str">
        <f>H610&amp;R610&amp;I610</f>
        <v>2022Pat/Tucker4</v>
      </c>
      <c r="C610" t="str">
        <f>H610&amp;S610&amp;I610</f>
        <v>2022Eric/Blake4</v>
      </c>
      <c r="D610">
        <f t="shared" si="90"/>
        <v>529</v>
      </c>
      <c r="E610">
        <f t="shared" si="91"/>
        <v>359</v>
      </c>
      <c r="F610">
        <f t="shared" si="92"/>
        <v>442</v>
      </c>
      <c r="G610">
        <f t="shared" si="93"/>
        <v>270</v>
      </c>
      <c r="H610">
        <v>2022</v>
      </c>
      <c r="I610">
        <v>4</v>
      </c>
      <c r="J610">
        <v>19</v>
      </c>
      <c r="K610" t="s">
        <v>31</v>
      </c>
      <c r="L610">
        <v>119.26</v>
      </c>
      <c r="M610" t="s">
        <v>34</v>
      </c>
      <c r="N610">
        <v>103.34</v>
      </c>
      <c r="O610" t="s">
        <v>20</v>
      </c>
      <c r="P610">
        <f t="shared" si="94"/>
        <v>222.60000000000002</v>
      </c>
      <c r="Q610">
        <f t="shared" si="95"/>
        <v>15.920000000000002</v>
      </c>
      <c r="R610" t="str">
        <f t="shared" si="96"/>
        <v>Pat/Tucker</v>
      </c>
      <c r="S610" t="str">
        <f t="shared" si="97"/>
        <v>Eric/Blake</v>
      </c>
      <c r="T610">
        <f t="shared" si="98"/>
        <v>119.26</v>
      </c>
      <c r="U610">
        <f t="shared" si="99"/>
        <v>103.34</v>
      </c>
    </row>
    <row r="611" spans="1:21" x14ac:dyDescent="0.3">
      <c r="A611">
        <v>610</v>
      </c>
      <c r="B611" t="str">
        <f>H611&amp;R611&amp;I611</f>
        <v>2022Trent/Colin4</v>
      </c>
      <c r="C611" t="str">
        <f>H611&amp;S611&amp;I611</f>
        <v>2022Brian/Travis4</v>
      </c>
      <c r="D611">
        <f t="shared" si="90"/>
        <v>786</v>
      </c>
      <c r="E611">
        <f t="shared" si="91"/>
        <v>675</v>
      </c>
      <c r="F611">
        <f t="shared" si="92"/>
        <v>761</v>
      </c>
      <c r="G611">
        <f t="shared" si="93"/>
        <v>474</v>
      </c>
      <c r="H611">
        <v>2022</v>
      </c>
      <c r="I611">
        <v>4</v>
      </c>
      <c r="J611">
        <v>20</v>
      </c>
      <c r="K611" t="s">
        <v>32</v>
      </c>
      <c r="L611">
        <v>91.52</v>
      </c>
      <c r="M611" t="s">
        <v>33</v>
      </c>
      <c r="N611">
        <v>95.8</v>
      </c>
      <c r="O611" t="s">
        <v>20</v>
      </c>
      <c r="P611">
        <f t="shared" si="94"/>
        <v>187.32</v>
      </c>
      <c r="Q611">
        <f t="shared" si="95"/>
        <v>4.2800000000000011</v>
      </c>
      <c r="R611" t="str">
        <f t="shared" si="96"/>
        <v>Trent/Colin</v>
      </c>
      <c r="S611" t="str">
        <f t="shared" si="97"/>
        <v>Brian/Travis</v>
      </c>
      <c r="T611">
        <f t="shared" si="98"/>
        <v>95.8</v>
      </c>
      <c r="U611">
        <f t="shared" si="99"/>
        <v>91.52</v>
      </c>
    </row>
    <row r="612" spans="1:21" x14ac:dyDescent="0.3">
      <c r="A612">
        <v>611</v>
      </c>
      <c r="B612" t="str">
        <f>H612&amp;R612&amp;I612</f>
        <v>2022Walker/Cory5</v>
      </c>
      <c r="C612" t="str">
        <f>H612&amp;S612&amp;I612</f>
        <v>2022Clay/Ryan5</v>
      </c>
      <c r="D612">
        <f t="shared" si="90"/>
        <v>56</v>
      </c>
      <c r="E612">
        <f t="shared" si="91"/>
        <v>43</v>
      </c>
      <c r="F612">
        <f t="shared" si="92"/>
        <v>22</v>
      </c>
      <c r="G612">
        <f t="shared" si="93"/>
        <v>208</v>
      </c>
      <c r="H612">
        <v>2022</v>
      </c>
      <c r="I612">
        <v>5</v>
      </c>
      <c r="J612">
        <v>21</v>
      </c>
      <c r="K612" t="s">
        <v>36</v>
      </c>
      <c r="L612">
        <v>165.46</v>
      </c>
      <c r="M612" t="s">
        <v>35</v>
      </c>
      <c r="N612">
        <v>107.96</v>
      </c>
      <c r="O612" t="s">
        <v>20</v>
      </c>
      <c r="P612">
        <f t="shared" si="94"/>
        <v>273.42</v>
      </c>
      <c r="Q612">
        <f t="shared" si="95"/>
        <v>57.500000000000014</v>
      </c>
      <c r="R612" t="str">
        <f t="shared" si="96"/>
        <v>Walker/Cory</v>
      </c>
      <c r="S612" t="str">
        <f t="shared" si="97"/>
        <v>Clay/Ryan</v>
      </c>
      <c r="T612">
        <f t="shared" si="98"/>
        <v>165.46</v>
      </c>
      <c r="U612">
        <f t="shared" si="99"/>
        <v>107.96</v>
      </c>
    </row>
    <row r="613" spans="1:21" x14ac:dyDescent="0.3">
      <c r="A613">
        <v>612</v>
      </c>
      <c r="B613" t="str">
        <f>H613&amp;R613&amp;I613</f>
        <v>2022Graham/Michael5</v>
      </c>
      <c r="C613" t="str">
        <f>H613&amp;S613&amp;I613</f>
        <v>2022Pat/Tucker5</v>
      </c>
      <c r="D613">
        <f t="shared" si="90"/>
        <v>213</v>
      </c>
      <c r="E613">
        <f t="shared" si="91"/>
        <v>490</v>
      </c>
      <c r="F613">
        <f t="shared" si="92"/>
        <v>383</v>
      </c>
      <c r="G613">
        <f t="shared" si="93"/>
        <v>612</v>
      </c>
      <c r="H613">
        <v>2022</v>
      </c>
      <c r="I613">
        <v>5</v>
      </c>
      <c r="J613">
        <v>22</v>
      </c>
      <c r="K613" t="s">
        <v>29</v>
      </c>
      <c r="L613">
        <v>122.9</v>
      </c>
      <c r="M613" t="s">
        <v>31</v>
      </c>
      <c r="N613">
        <v>85.16</v>
      </c>
      <c r="O613" t="s">
        <v>20</v>
      </c>
      <c r="P613">
        <f t="shared" si="94"/>
        <v>208.06</v>
      </c>
      <c r="Q613">
        <f t="shared" si="95"/>
        <v>37.740000000000009</v>
      </c>
      <c r="R613" t="str">
        <f t="shared" si="96"/>
        <v>Graham/Michael</v>
      </c>
      <c r="S613" t="str">
        <f t="shared" si="97"/>
        <v>Pat/Tucker</v>
      </c>
      <c r="T613">
        <f t="shared" si="98"/>
        <v>122.9</v>
      </c>
      <c r="U613">
        <f t="shared" si="99"/>
        <v>85.16</v>
      </c>
    </row>
    <row r="614" spans="1:21" x14ac:dyDescent="0.3">
      <c r="A614">
        <v>613</v>
      </c>
      <c r="B614" t="str">
        <f>H614&amp;R614&amp;I614</f>
        <v>2022Drew/Cam5</v>
      </c>
      <c r="C614" t="str">
        <f>H614&amp;S614&amp;I614</f>
        <v>2022Brian/Travis5</v>
      </c>
      <c r="D614">
        <f t="shared" si="90"/>
        <v>339</v>
      </c>
      <c r="E614">
        <f t="shared" si="91"/>
        <v>818</v>
      </c>
      <c r="F614">
        <f t="shared" si="92"/>
        <v>778</v>
      </c>
      <c r="G614">
        <f t="shared" si="93"/>
        <v>814</v>
      </c>
      <c r="H614">
        <v>2022</v>
      </c>
      <c r="I614">
        <v>5</v>
      </c>
      <c r="J614">
        <v>23</v>
      </c>
      <c r="K614" t="s">
        <v>37</v>
      </c>
      <c r="L614">
        <v>94.18</v>
      </c>
      <c r="M614" t="s">
        <v>32</v>
      </c>
      <c r="N614">
        <v>66.86</v>
      </c>
      <c r="O614" t="s">
        <v>20</v>
      </c>
      <c r="P614">
        <f t="shared" si="94"/>
        <v>161.04000000000002</v>
      </c>
      <c r="Q614">
        <f t="shared" si="95"/>
        <v>27.320000000000007</v>
      </c>
      <c r="R614" t="str">
        <f t="shared" si="96"/>
        <v>Drew/Cam</v>
      </c>
      <c r="S614" t="str">
        <f t="shared" si="97"/>
        <v>Brian/Travis</v>
      </c>
      <c r="T614">
        <f t="shared" si="98"/>
        <v>94.18</v>
      </c>
      <c r="U614">
        <f t="shared" si="99"/>
        <v>66.86</v>
      </c>
    </row>
    <row r="615" spans="1:21" x14ac:dyDescent="0.3">
      <c r="A615">
        <v>614</v>
      </c>
      <c r="B615" t="str">
        <f>H615&amp;R615&amp;I615</f>
        <v>2022Dave/Nolan5</v>
      </c>
      <c r="C615" t="str">
        <f>H615&amp;S615&amp;I615</f>
        <v>2022Eric/Blake5</v>
      </c>
      <c r="D615">
        <f t="shared" si="90"/>
        <v>61</v>
      </c>
      <c r="E615">
        <f t="shared" si="91"/>
        <v>136</v>
      </c>
      <c r="F615">
        <f t="shared" si="92"/>
        <v>52</v>
      </c>
      <c r="G615">
        <f t="shared" si="93"/>
        <v>400</v>
      </c>
      <c r="H615">
        <v>2022</v>
      </c>
      <c r="I615">
        <v>5</v>
      </c>
      <c r="J615">
        <v>24</v>
      </c>
      <c r="K615" t="s">
        <v>30</v>
      </c>
      <c r="L615">
        <v>153.18</v>
      </c>
      <c r="M615" t="s">
        <v>34</v>
      </c>
      <c r="N615">
        <v>96.26</v>
      </c>
      <c r="O615" t="s">
        <v>20</v>
      </c>
      <c r="P615">
        <f t="shared" si="94"/>
        <v>249.44</v>
      </c>
      <c r="Q615">
        <f t="shared" si="95"/>
        <v>56.92</v>
      </c>
      <c r="R615" t="str">
        <f t="shared" si="96"/>
        <v>Dave/Nolan</v>
      </c>
      <c r="S615" t="str">
        <f t="shared" si="97"/>
        <v>Eric/Blake</v>
      </c>
      <c r="T615">
        <f t="shared" si="98"/>
        <v>153.18</v>
      </c>
      <c r="U615">
        <f t="shared" si="99"/>
        <v>96.26</v>
      </c>
    </row>
    <row r="616" spans="1:21" x14ac:dyDescent="0.3">
      <c r="A616">
        <v>615</v>
      </c>
      <c r="B616" t="str">
        <f>H616&amp;R616&amp;I616</f>
        <v>2022Trent/Colin5</v>
      </c>
      <c r="C616" t="str">
        <f>H616&amp;S616&amp;I616</f>
        <v>2022David/Marshall5</v>
      </c>
      <c r="D616">
        <f t="shared" si="90"/>
        <v>89</v>
      </c>
      <c r="E616">
        <f t="shared" si="91"/>
        <v>309</v>
      </c>
      <c r="F616">
        <f t="shared" si="92"/>
        <v>140</v>
      </c>
      <c r="G616">
        <f t="shared" si="93"/>
        <v>559</v>
      </c>
      <c r="H616">
        <v>2022</v>
      </c>
      <c r="I616">
        <v>5</v>
      </c>
      <c r="J616">
        <v>25</v>
      </c>
      <c r="K616" t="s">
        <v>38</v>
      </c>
      <c r="L616">
        <v>87.52</v>
      </c>
      <c r="M616" t="s">
        <v>33</v>
      </c>
      <c r="N616">
        <v>139.74</v>
      </c>
      <c r="O616" t="s">
        <v>20</v>
      </c>
      <c r="P616">
        <f t="shared" si="94"/>
        <v>227.26</v>
      </c>
      <c r="Q616">
        <f t="shared" si="95"/>
        <v>52.220000000000013</v>
      </c>
      <c r="R616" t="str">
        <f t="shared" si="96"/>
        <v>Trent/Colin</v>
      </c>
      <c r="S616" t="str">
        <f t="shared" si="97"/>
        <v>David/Marshall</v>
      </c>
      <c r="T616">
        <f t="shared" si="98"/>
        <v>139.74</v>
      </c>
      <c r="U616">
        <f t="shared" si="99"/>
        <v>87.52</v>
      </c>
    </row>
    <row r="617" spans="1:21" x14ac:dyDescent="0.3">
      <c r="A617">
        <v>616</v>
      </c>
      <c r="B617" t="str">
        <f>H617&amp;R617&amp;I617</f>
        <v>2022Brian/Travis6</v>
      </c>
      <c r="C617" t="str">
        <f>H617&amp;S617&amp;I617</f>
        <v>2022Eric/Blake6</v>
      </c>
      <c r="D617">
        <f t="shared" si="90"/>
        <v>421</v>
      </c>
      <c r="E617">
        <f t="shared" si="91"/>
        <v>709</v>
      </c>
      <c r="F617">
        <f t="shared" si="92"/>
        <v>678</v>
      </c>
      <c r="G617">
        <f t="shared" si="93"/>
        <v>673</v>
      </c>
      <c r="H617">
        <v>2022</v>
      </c>
      <c r="I617">
        <v>6</v>
      </c>
      <c r="J617">
        <v>26</v>
      </c>
      <c r="K617" t="s">
        <v>32</v>
      </c>
      <c r="L617">
        <v>103.1</v>
      </c>
      <c r="M617" t="s">
        <v>34</v>
      </c>
      <c r="N617">
        <v>80.88</v>
      </c>
      <c r="O617" t="s">
        <v>20</v>
      </c>
      <c r="P617">
        <f t="shared" si="94"/>
        <v>183.98</v>
      </c>
      <c r="Q617">
        <f t="shared" si="95"/>
        <v>22.22</v>
      </c>
      <c r="R617" t="str">
        <f t="shared" si="96"/>
        <v>Brian/Travis</v>
      </c>
      <c r="S617" t="str">
        <f t="shared" si="97"/>
        <v>Eric/Blake</v>
      </c>
      <c r="T617">
        <f t="shared" si="98"/>
        <v>103.1</v>
      </c>
      <c r="U617">
        <f t="shared" si="99"/>
        <v>80.88</v>
      </c>
    </row>
    <row r="618" spans="1:21" x14ac:dyDescent="0.3">
      <c r="A618">
        <v>617</v>
      </c>
      <c r="B618" t="str">
        <f>H618&amp;R618&amp;I618</f>
        <v>2022Trent/Colin6</v>
      </c>
      <c r="C618" t="str">
        <f>H618&amp;S618&amp;I618</f>
        <v>2022Dave/Nolan6</v>
      </c>
      <c r="D618">
        <f t="shared" si="90"/>
        <v>319</v>
      </c>
      <c r="E618">
        <f t="shared" si="91"/>
        <v>500</v>
      </c>
      <c r="F618">
        <f t="shared" si="92"/>
        <v>465</v>
      </c>
      <c r="G618">
        <f t="shared" si="93"/>
        <v>525</v>
      </c>
      <c r="H618">
        <v>2022</v>
      </c>
      <c r="I618">
        <v>6</v>
      </c>
      <c r="J618">
        <v>27</v>
      </c>
      <c r="K618" t="s">
        <v>33</v>
      </c>
      <c r="L618">
        <v>117.6</v>
      </c>
      <c r="M618" t="s">
        <v>30</v>
      </c>
      <c r="N618">
        <v>89.02</v>
      </c>
      <c r="O618" t="s">
        <v>20</v>
      </c>
      <c r="P618">
        <f t="shared" si="94"/>
        <v>206.62</v>
      </c>
      <c r="Q618">
        <f t="shared" si="95"/>
        <v>28.58</v>
      </c>
      <c r="R618" t="str">
        <f t="shared" si="96"/>
        <v>Trent/Colin</v>
      </c>
      <c r="S618" t="str">
        <f t="shared" si="97"/>
        <v>Dave/Nolan</v>
      </c>
      <c r="T618">
        <f t="shared" si="98"/>
        <v>117.6</v>
      </c>
      <c r="U618">
        <f t="shared" si="99"/>
        <v>89.02</v>
      </c>
    </row>
    <row r="619" spans="1:21" x14ac:dyDescent="0.3">
      <c r="A619">
        <v>618</v>
      </c>
      <c r="B619" t="str">
        <f>H619&amp;R619&amp;I619</f>
        <v>2022Graham/Michael6</v>
      </c>
      <c r="C619" t="str">
        <f>H619&amp;S619&amp;I619</f>
        <v>2022David/Marshall6</v>
      </c>
      <c r="D619">
        <f t="shared" si="90"/>
        <v>811</v>
      </c>
      <c r="E619">
        <f t="shared" si="91"/>
        <v>844</v>
      </c>
      <c r="F619">
        <f t="shared" si="92"/>
        <v>860</v>
      </c>
      <c r="G619">
        <f t="shared" si="93"/>
        <v>741</v>
      </c>
      <c r="H619">
        <v>2022</v>
      </c>
      <c r="I619">
        <v>6</v>
      </c>
      <c r="J619">
        <v>28</v>
      </c>
      <c r="K619" t="s">
        <v>38</v>
      </c>
      <c r="L619">
        <v>74.22</v>
      </c>
      <c r="M619" t="s">
        <v>29</v>
      </c>
      <c r="N619">
        <v>77.38</v>
      </c>
      <c r="O619" t="s">
        <v>20</v>
      </c>
      <c r="P619">
        <f t="shared" si="94"/>
        <v>151.6</v>
      </c>
      <c r="Q619">
        <f t="shared" si="95"/>
        <v>3.1599999999999966</v>
      </c>
      <c r="R619" t="str">
        <f t="shared" si="96"/>
        <v>Graham/Michael</v>
      </c>
      <c r="S619" t="str">
        <f t="shared" si="97"/>
        <v>David/Marshall</v>
      </c>
      <c r="T619">
        <f t="shared" si="98"/>
        <v>77.38</v>
      </c>
      <c r="U619">
        <f t="shared" si="99"/>
        <v>74.22</v>
      </c>
    </row>
    <row r="620" spans="1:21" x14ac:dyDescent="0.3">
      <c r="A620">
        <v>619</v>
      </c>
      <c r="B620" t="str">
        <f>H620&amp;R620&amp;I620</f>
        <v>2022Walker/Cory6</v>
      </c>
      <c r="C620" t="str">
        <f>H620&amp;S620&amp;I620</f>
        <v>2022Drew/Cam6</v>
      </c>
      <c r="D620">
        <f t="shared" si="90"/>
        <v>531</v>
      </c>
      <c r="E620">
        <f t="shared" si="91"/>
        <v>482</v>
      </c>
      <c r="F620">
        <f t="shared" si="92"/>
        <v>550</v>
      </c>
      <c r="G620">
        <f t="shared" si="93"/>
        <v>398</v>
      </c>
      <c r="H620">
        <v>2022</v>
      </c>
      <c r="I620">
        <v>6</v>
      </c>
      <c r="J620">
        <v>29</v>
      </c>
      <c r="K620" t="s">
        <v>37</v>
      </c>
      <c r="L620">
        <v>96.3</v>
      </c>
      <c r="M620" t="s">
        <v>36</v>
      </c>
      <c r="N620">
        <v>112.2</v>
      </c>
      <c r="O620" t="s">
        <v>20</v>
      </c>
      <c r="P620">
        <f t="shared" si="94"/>
        <v>208.5</v>
      </c>
      <c r="Q620">
        <f t="shared" si="95"/>
        <v>15.900000000000006</v>
      </c>
      <c r="R620" t="str">
        <f t="shared" si="96"/>
        <v>Walker/Cory</v>
      </c>
      <c r="S620" t="str">
        <f t="shared" si="97"/>
        <v>Drew/Cam</v>
      </c>
      <c r="T620">
        <f t="shared" si="98"/>
        <v>112.2</v>
      </c>
      <c r="U620">
        <f t="shared" si="99"/>
        <v>96.3</v>
      </c>
    </row>
    <row r="621" spans="1:21" x14ac:dyDescent="0.3">
      <c r="A621">
        <v>620</v>
      </c>
      <c r="B621" t="str">
        <f>H621&amp;R621&amp;I621</f>
        <v>2022Clay/Ryan6</v>
      </c>
      <c r="C621" t="str">
        <f>H621&amp;S621&amp;I621</f>
        <v>2022Pat/Tucker6</v>
      </c>
      <c r="D621">
        <f t="shared" si="90"/>
        <v>668</v>
      </c>
      <c r="E621">
        <f t="shared" si="91"/>
        <v>436</v>
      </c>
      <c r="F621">
        <f t="shared" si="92"/>
        <v>575</v>
      </c>
      <c r="G621">
        <f t="shared" si="93"/>
        <v>292</v>
      </c>
      <c r="H621">
        <v>2022</v>
      </c>
      <c r="I621">
        <v>6</v>
      </c>
      <c r="J621">
        <v>30</v>
      </c>
      <c r="K621" t="s">
        <v>35</v>
      </c>
      <c r="L621">
        <v>111.02</v>
      </c>
      <c r="M621" t="s">
        <v>31</v>
      </c>
      <c r="N621">
        <v>101.6</v>
      </c>
      <c r="O621" t="s">
        <v>20</v>
      </c>
      <c r="P621">
        <f t="shared" si="94"/>
        <v>212.62</v>
      </c>
      <c r="Q621">
        <f t="shared" si="95"/>
        <v>9.4200000000000017</v>
      </c>
      <c r="R621" t="str">
        <f t="shared" si="96"/>
        <v>Clay/Ryan</v>
      </c>
      <c r="S621" t="str">
        <f t="shared" si="97"/>
        <v>Pat/Tucker</v>
      </c>
      <c r="T621">
        <f t="shared" si="98"/>
        <v>111.02</v>
      </c>
      <c r="U621">
        <f t="shared" si="99"/>
        <v>101.6</v>
      </c>
    </row>
    <row r="622" spans="1:21" x14ac:dyDescent="0.3">
      <c r="A622">
        <v>621</v>
      </c>
      <c r="B622" t="str">
        <f>H622&amp;R622&amp;I622</f>
        <v>2022Dave/Nolan7</v>
      </c>
      <c r="C622" t="str">
        <f>H622&amp;S622&amp;I622</f>
        <v>2022Brian/Travis7</v>
      </c>
      <c r="D622">
        <f t="shared" si="90"/>
        <v>492</v>
      </c>
      <c r="E622">
        <f t="shared" si="91"/>
        <v>414</v>
      </c>
      <c r="F622">
        <f t="shared" si="92"/>
        <v>472</v>
      </c>
      <c r="G622">
        <f t="shared" si="93"/>
        <v>354</v>
      </c>
      <c r="H622">
        <v>2022</v>
      </c>
      <c r="I622">
        <v>7</v>
      </c>
      <c r="J622">
        <v>31</v>
      </c>
      <c r="K622" t="s">
        <v>30</v>
      </c>
      <c r="L622">
        <v>117.12</v>
      </c>
      <c r="M622" t="s">
        <v>32</v>
      </c>
      <c r="N622">
        <v>98.74</v>
      </c>
      <c r="O622" t="s">
        <v>20</v>
      </c>
      <c r="P622">
        <f t="shared" si="94"/>
        <v>215.86</v>
      </c>
      <c r="Q622">
        <f t="shared" si="95"/>
        <v>18.38000000000001</v>
      </c>
      <c r="R622" t="str">
        <f t="shared" si="96"/>
        <v>Dave/Nolan</v>
      </c>
      <c r="S622" t="str">
        <f t="shared" si="97"/>
        <v>Brian/Travis</v>
      </c>
      <c r="T622">
        <f t="shared" si="98"/>
        <v>117.12</v>
      </c>
      <c r="U622">
        <f t="shared" si="99"/>
        <v>98.74</v>
      </c>
    </row>
    <row r="623" spans="1:21" x14ac:dyDescent="0.3">
      <c r="A623">
        <v>622</v>
      </c>
      <c r="B623" t="str">
        <f>H623&amp;R623&amp;I623</f>
        <v>2022Graham/Michael7</v>
      </c>
      <c r="C623" t="str">
        <f>H623&amp;S623&amp;I623</f>
        <v>2022Trent/Colin7</v>
      </c>
      <c r="D623">
        <f t="shared" si="90"/>
        <v>539</v>
      </c>
      <c r="E623">
        <f t="shared" si="91"/>
        <v>488</v>
      </c>
      <c r="F623">
        <f t="shared" si="92"/>
        <v>556</v>
      </c>
      <c r="G623">
        <f t="shared" si="93"/>
        <v>396</v>
      </c>
      <c r="H623">
        <v>2022</v>
      </c>
      <c r="I623">
        <v>7</v>
      </c>
      <c r="J623">
        <v>32</v>
      </c>
      <c r="K623" t="s">
        <v>29</v>
      </c>
      <c r="L623">
        <v>111.86</v>
      </c>
      <c r="M623" t="s">
        <v>33</v>
      </c>
      <c r="N623">
        <v>96.38</v>
      </c>
      <c r="O623" t="s">
        <v>20</v>
      </c>
      <c r="P623">
        <f t="shared" si="94"/>
        <v>208.24</v>
      </c>
      <c r="Q623">
        <f t="shared" si="95"/>
        <v>15.480000000000004</v>
      </c>
      <c r="R623" t="str">
        <f t="shared" si="96"/>
        <v>Graham/Michael</v>
      </c>
      <c r="S623" t="str">
        <f t="shared" si="97"/>
        <v>Trent/Colin</v>
      </c>
      <c r="T623">
        <f t="shared" si="98"/>
        <v>111.86</v>
      </c>
      <c r="U623">
        <f t="shared" si="99"/>
        <v>96.38</v>
      </c>
    </row>
    <row r="624" spans="1:21" x14ac:dyDescent="0.3">
      <c r="A624">
        <v>623</v>
      </c>
      <c r="B624" t="str">
        <f>H624&amp;R624&amp;I624</f>
        <v>2022Walker/Cory7</v>
      </c>
      <c r="C624" t="str">
        <f>H624&amp;S624&amp;I624</f>
        <v>2022David/Marshall7</v>
      </c>
      <c r="D624">
        <f t="shared" si="90"/>
        <v>95</v>
      </c>
      <c r="E624">
        <f t="shared" si="91"/>
        <v>815</v>
      </c>
      <c r="F624">
        <f t="shared" si="92"/>
        <v>633</v>
      </c>
      <c r="G624">
        <f t="shared" si="93"/>
        <v>857</v>
      </c>
      <c r="H624">
        <v>2022</v>
      </c>
      <c r="I624">
        <v>7</v>
      </c>
      <c r="J624">
        <v>33</v>
      </c>
      <c r="K624" t="s">
        <v>36</v>
      </c>
      <c r="L624">
        <v>106.44</v>
      </c>
      <c r="M624" t="s">
        <v>38</v>
      </c>
      <c r="N624">
        <v>55.52</v>
      </c>
      <c r="O624" t="s">
        <v>20</v>
      </c>
      <c r="P624">
        <f t="shared" si="94"/>
        <v>161.96</v>
      </c>
      <c r="Q624">
        <f t="shared" si="95"/>
        <v>50.919999999999995</v>
      </c>
      <c r="R624" t="str">
        <f t="shared" si="96"/>
        <v>Walker/Cory</v>
      </c>
      <c r="S624" t="str">
        <f t="shared" si="97"/>
        <v>David/Marshall</v>
      </c>
      <c r="T624">
        <f t="shared" si="98"/>
        <v>106.44</v>
      </c>
      <c r="U624">
        <f t="shared" si="99"/>
        <v>55.52</v>
      </c>
    </row>
    <row r="625" spans="1:21" x14ac:dyDescent="0.3">
      <c r="A625">
        <v>624</v>
      </c>
      <c r="B625" t="str">
        <f>H625&amp;R625&amp;I625</f>
        <v>2022Drew/Cam7</v>
      </c>
      <c r="C625" t="str">
        <f>H625&amp;S625&amp;I625</f>
        <v>2022Pat/Tucker7</v>
      </c>
      <c r="D625">
        <f t="shared" si="90"/>
        <v>37</v>
      </c>
      <c r="E625">
        <f t="shared" si="91"/>
        <v>435</v>
      </c>
      <c r="F625">
        <f t="shared" si="92"/>
        <v>158</v>
      </c>
      <c r="G625">
        <f t="shared" si="93"/>
        <v>735</v>
      </c>
      <c r="H625">
        <v>2022</v>
      </c>
      <c r="I625">
        <v>7</v>
      </c>
      <c r="J625">
        <v>34</v>
      </c>
      <c r="K625" t="s">
        <v>31</v>
      </c>
      <c r="L625">
        <v>74.8</v>
      </c>
      <c r="M625" t="s">
        <v>37</v>
      </c>
      <c r="N625">
        <v>137.94</v>
      </c>
      <c r="O625" t="s">
        <v>20</v>
      </c>
      <c r="P625">
        <f t="shared" si="94"/>
        <v>212.74</v>
      </c>
      <c r="Q625">
        <f t="shared" si="95"/>
        <v>63.14</v>
      </c>
      <c r="R625" t="str">
        <f t="shared" si="96"/>
        <v>Drew/Cam</v>
      </c>
      <c r="S625" t="str">
        <f t="shared" si="97"/>
        <v>Pat/Tucker</v>
      </c>
      <c r="T625">
        <f t="shared" si="98"/>
        <v>137.94</v>
      </c>
      <c r="U625">
        <f t="shared" si="99"/>
        <v>74.8</v>
      </c>
    </row>
    <row r="626" spans="1:21" x14ac:dyDescent="0.3">
      <c r="A626">
        <v>625</v>
      </c>
      <c r="B626" t="str">
        <f>H626&amp;R626&amp;I626</f>
        <v>2022Eric/Blake7</v>
      </c>
      <c r="C626" t="str">
        <f>H626&amp;S626&amp;I626</f>
        <v>2022Clay/Ryan7</v>
      </c>
      <c r="D626">
        <f t="shared" si="90"/>
        <v>347</v>
      </c>
      <c r="E626">
        <f t="shared" si="91"/>
        <v>523</v>
      </c>
      <c r="F626">
        <f t="shared" si="92"/>
        <v>496</v>
      </c>
      <c r="G626">
        <f t="shared" si="93"/>
        <v>532</v>
      </c>
      <c r="H626">
        <v>2022</v>
      </c>
      <c r="I626">
        <v>7</v>
      </c>
      <c r="J626">
        <v>35</v>
      </c>
      <c r="K626" t="s">
        <v>34</v>
      </c>
      <c r="L626">
        <v>115.7</v>
      </c>
      <c r="M626" t="s">
        <v>35</v>
      </c>
      <c r="N626">
        <v>88.8</v>
      </c>
      <c r="O626" t="s">
        <v>20</v>
      </c>
      <c r="P626">
        <f t="shared" si="94"/>
        <v>204.5</v>
      </c>
      <c r="Q626">
        <f t="shared" si="95"/>
        <v>26.900000000000006</v>
      </c>
      <c r="R626" t="str">
        <f t="shared" si="96"/>
        <v>Eric/Blake</v>
      </c>
      <c r="S626" t="str">
        <f t="shared" si="97"/>
        <v>Clay/Ryan</v>
      </c>
      <c r="T626">
        <f t="shared" si="98"/>
        <v>115.7</v>
      </c>
      <c r="U626">
        <f t="shared" si="99"/>
        <v>88.8</v>
      </c>
    </row>
    <row r="627" spans="1:21" x14ac:dyDescent="0.3">
      <c r="A627">
        <v>626</v>
      </c>
      <c r="B627" t="str">
        <f>H627&amp;R627&amp;I627</f>
        <v>2022Brian/Travis8</v>
      </c>
      <c r="C627" t="str">
        <f>H627&amp;S627&amp;I627</f>
        <v>2022Graham/Michael8</v>
      </c>
      <c r="D627">
        <f t="shared" si="90"/>
        <v>746</v>
      </c>
      <c r="E627">
        <f t="shared" si="91"/>
        <v>202</v>
      </c>
      <c r="F627">
        <f t="shared" si="92"/>
        <v>375</v>
      </c>
      <c r="G627">
        <f t="shared" si="93"/>
        <v>98</v>
      </c>
      <c r="H627">
        <v>2022</v>
      </c>
      <c r="I627">
        <v>8</v>
      </c>
      <c r="J627">
        <v>36</v>
      </c>
      <c r="K627" t="s">
        <v>32</v>
      </c>
      <c r="L627">
        <v>123.32</v>
      </c>
      <c r="M627" t="s">
        <v>29</v>
      </c>
      <c r="N627">
        <v>117.3</v>
      </c>
      <c r="O627" t="s">
        <v>20</v>
      </c>
      <c r="P627">
        <f t="shared" si="94"/>
        <v>240.62</v>
      </c>
      <c r="Q627">
        <f t="shared" si="95"/>
        <v>6.019999999999996</v>
      </c>
      <c r="R627" t="str">
        <f t="shared" si="96"/>
        <v>Brian/Travis</v>
      </c>
      <c r="S627" t="str">
        <f t="shared" si="97"/>
        <v>Graham/Michael</v>
      </c>
      <c r="T627">
        <f t="shared" si="98"/>
        <v>123.32</v>
      </c>
      <c r="U627">
        <f t="shared" si="99"/>
        <v>117.3</v>
      </c>
    </row>
    <row r="628" spans="1:21" x14ac:dyDescent="0.3">
      <c r="A628">
        <v>627</v>
      </c>
      <c r="B628" t="str">
        <f>H628&amp;R628&amp;I628</f>
        <v>2022Trent/Colin8</v>
      </c>
      <c r="C628" t="str">
        <f>H628&amp;S628&amp;I628</f>
        <v>2022Walker/Cory8</v>
      </c>
      <c r="D628">
        <f t="shared" si="90"/>
        <v>623</v>
      </c>
      <c r="E628">
        <f t="shared" si="91"/>
        <v>182</v>
      </c>
      <c r="F628">
        <f t="shared" si="92"/>
        <v>301</v>
      </c>
      <c r="G628">
        <f t="shared" si="93"/>
        <v>117</v>
      </c>
      <c r="H628">
        <v>2022</v>
      </c>
      <c r="I628">
        <v>8</v>
      </c>
      <c r="J628">
        <v>37</v>
      </c>
      <c r="K628" t="s">
        <v>33</v>
      </c>
      <c r="L628">
        <v>127.18</v>
      </c>
      <c r="M628" t="s">
        <v>36</v>
      </c>
      <c r="N628">
        <v>116</v>
      </c>
      <c r="O628" t="s">
        <v>20</v>
      </c>
      <c r="P628">
        <f t="shared" si="94"/>
        <v>243.18</v>
      </c>
      <c r="Q628">
        <f t="shared" si="95"/>
        <v>11.180000000000007</v>
      </c>
      <c r="R628" t="str">
        <f t="shared" si="96"/>
        <v>Trent/Colin</v>
      </c>
      <c r="S628" t="str">
        <f t="shared" si="97"/>
        <v>Walker/Cory</v>
      </c>
      <c r="T628">
        <f t="shared" si="98"/>
        <v>127.18</v>
      </c>
      <c r="U628">
        <f t="shared" si="99"/>
        <v>116</v>
      </c>
    </row>
    <row r="629" spans="1:21" x14ac:dyDescent="0.3">
      <c r="A629">
        <v>628</v>
      </c>
      <c r="B629" t="str">
        <f>H629&amp;R629&amp;I629</f>
        <v>2022Pat/Tucker8</v>
      </c>
      <c r="C629" t="str">
        <f>H629&amp;S629&amp;I629</f>
        <v>2022David/Marshall8</v>
      </c>
      <c r="D629">
        <f t="shared" si="90"/>
        <v>2</v>
      </c>
      <c r="E629">
        <f t="shared" si="91"/>
        <v>65</v>
      </c>
      <c r="F629">
        <f t="shared" si="92"/>
        <v>4</v>
      </c>
      <c r="G629">
        <f t="shared" si="93"/>
        <v>615</v>
      </c>
      <c r="H629">
        <v>2022</v>
      </c>
      <c r="I629">
        <v>8</v>
      </c>
      <c r="J629">
        <v>38</v>
      </c>
      <c r="K629" t="s">
        <v>38</v>
      </c>
      <c r="L629">
        <v>85</v>
      </c>
      <c r="M629" t="s">
        <v>31</v>
      </c>
      <c r="N629">
        <v>181.62</v>
      </c>
      <c r="O629" t="s">
        <v>20</v>
      </c>
      <c r="P629">
        <f t="shared" si="94"/>
        <v>266.62</v>
      </c>
      <c r="Q629">
        <f t="shared" si="95"/>
        <v>96.62</v>
      </c>
      <c r="R629" t="str">
        <f t="shared" si="96"/>
        <v>Pat/Tucker</v>
      </c>
      <c r="S629" t="str">
        <f t="shared" si="97"/>
        <v>David/Marshall</v>
      </c>
      <c r="T629">
        <f t="shared" si="98"/>
        <v>181.62</v>
      </c>
      <c r="U629">
        <f t="shared" si="99"/>
        <v>85</v>
      </c>
    </row>
    <row r="630" spans="1:21" x14ac:dyDescent="0.3">
      <c r="A630">
        <v>629</v>
      </c>
      <c r="B630" t="str">
        <f>H630&amp;R630&amp;I630</f>
        <v>2022Eric/Blake8</v>
      </c>
      <c r="C630" t="str">
        <f>H630&amp;S630&amp;I630</f>
        <v>2022Drew/Cam8</v>
      </c>
      <c r="D630">
        <f t="shared" si="90"/>
        <v>15</v>
      </c>
      <c r="E630">
        <f t="shared" si="91"/>
        <v>373</v>
      </c>
      <c r="F630">
        <f t="shared" si="92"/>
        <v>83</v>
      </c>
      <c r="G630">
        <f t="shared" si="93"/>
        <v>771</v>
      </c>
      <c r="H630">
        <v>2022</v>
      </c>
      <c r="I630">
        <v>8</v>
      </c>
      <c r="J630">
        <v>39</v>
      </c>
      <c r="K630" t="s">
        <v>37</v>
      </c>
      <c r="L630">
        <v>72.680000000000007</v>
      </c>
      <c r="M630" t="s">
        <v>34</v>
      </c>
      <c r="N630">
        <v>148.38</v>
      </c>
      <c r="O630" t="s">
        <v>20</v>
      </c>
      <c r="P630">
        <f t="shared" si="94"/>
        <v>221.06</v>
      </c>
      <c r="Q630">
        <f t="shared" si="95"/>
        <v>75.699999999999989</v>
      </c>
      <c r="R630" t="str">
        <f t="shared" si="96"/>
        <v>Eric/Blake</v>
      </c>
      <c r="S630" t="str">
        <f t="shared" si="97"/>
        <v>Drew/Cam</v>
      </c>
      <c r="T630">
        <f t="shared" si="98"/>
        <v>148.38</v>
      </c>
      <c r="U630">
        <f t="shared" si="99"/>
        <v>72.680000000000007</v>
      </c>
    </row>
    <row r="631" spans="1:21" x14ac:dyDescent="0.3">
      <c r="A631">
        <v>630</v>
      </c>
      <c r="B631" t="str">
        <f>H631&amp;R631&amp;I631</f>
        <v>2022Clay/Ryan8</v>
      </c>
      <c r="C631" t="str">
        <f>H631&amp;S631&amp;I631</f>
        <v>2022Dave/Nolan8</v>
      </c>
      <c r="D631">
        <f t="shared" si="90"/>
        <v>555</v>
      </c>
      <c r="E631">
        <f t="shared" si="91"/>
        <v>471</v>
      </c>
      <c r="F631">
        <f t="shared" si="92"/>
        <v>554</v>
      </c>
      <c r="G631">
        <f t="shared" si="93"/>
        <v>371</v>
      </c>
      <c r="H631">
        <v>2022</v>
      </c>
      <c r="I631">
        <v>8</v>
      </c>
      <c r="J631">
        <v>40</v>
      </c>
      <c r="K631" t="s">
        <v>35</v>
      </c>
      <c r="L631">
        <v>111.9</v>
      </c>
      <c r="M631" t="s">
        <v>30</v>
      </c>
      <c r="N631">
        <v>97.54</v>
      </c>
      <c r="O631" t="s">
        <v>20</v>
      </c>
      <c r="P631">
        <f t="shared" si="94"/>
        <v>209.44</v>
      </c>
      <c r="Q631">
        <f t="shared" si="95"/>
        <v>14.36</v>
      </c>
      <c r="R631" t="str">
        <f t="shared" si="96"/>
        <v>Clay/Ryan</v>
      </c>
      <c r="S631" t="str">
        <f t="shared" si="97"/>
        <v>Dave/Nolan</v>
      </c>
      <c r="T631">
        <f t="shared" si="98"/>
        <v>111.9</v>
      </c>
      <c r="U631">
        <f t="shared" si="99"/>
        <v>97.54</v>
      </c>
    </row>
    <row r="632" spans="1:21" x14ac:dyDescent="0.3">
      <c r="A632">
        <v>631</v>
      </c>
      <c r="B632" t="str">
        <f>H632&amp;R632&amp;I632</f>
        <v>2022Walker/Cory9</v>
      </c>
      <c r="C632" t="str">
        <f>H632&amp;S632&amp;I632</f>
        <v>2022Brian/Travis9</v>
      </c>
      <c r="D632">
        <f t="shared" si="90"/>
        <v>651</v>
      </c>
      <c r="E632">
        <f t="shared" si="91"/>
        <v>573</v>
      </c>
      <c r="F632">
        <f t="shared" si="92"/>
        <v>655</v>
      </c>
      <c r="G632">
        <f t="shared" si="93"/>
        <v>421</v>
      </c>
      <c r="H632">
        <v>2022</v>
      </c>
      <c r="I632">
        <v>9</v>
      </c>
      <c r="J632">
        <v>41</v>
      </c>
      <c r="K632" t="s">
        <v>36</v>
      </c>
      <c r="L632">
        <v>104.52</v>
      </c>
      <c r="M632" t="s">
        <v>32</v>
      </c>
      <c r="N632">
        <v>94.5</v>
      </c>
      <c r="O632" t="s">
        <v>20</v>
      </c>
      <c r="P632">
        <f t="shared" si="94"/>
        <v>199.01999999999998</v>
      </c>
      <c r="Q632">
        <f t="shared" si="95"/>
        <v>10.019999999999996</v>
      </c>
      <c r="R632" t="str">
        <f t="shared" si="96"/>
        <v>Walker/Cory</v>
      </c>
      <c r="S632" t="str">
        <f t="shared" si="97"/>
        <v>Brian/Travis</v>
      </c>
      <c r="T632">
        <f t="shared" si="98"/>
        <v>104.52</v>
      </c>
      <c r="U632">
        <f t="shared" si="99"/>
        <v>94.5</v>
      </c>
    </row>
    <row r="633" spans="1:21" x14ac:dyDescent="0.3">
      <c r="A633">
        <v>632</v>
      </c>
      <c r="B633" t="str">
        <f>H633&amp;R633&amp;I633</f>
        <v>2022Graham/Michael9</v>
      </c>
      <c r="C633" t="str">
        <f>H633&amp;S633&amp;I633</f>
        <v>2022Pat/Tucker9</v>
      </c>
      <c r="D633">
        <f t="shared" si="90"/>
        <v>335</v>
      </c>
      <c r="E633">
        <f t="shared" si="91"/>
        <v>499</v>
      </c>
      <c r="F633">
        <f t="shared" si="92"/>
        <v>467</v>
      </c>
      <c r="G633">
        <f t="shared" si="93"/>
        <v>512</v>
      </c>
      <c r="H633">
        <v>2022</v>
      </c>
      <c r="I633">
        <v>9</v>
      </c>
      <c r="J633">
        <v>42</v>
      </c>
      <c r="K633" t="s">
        <v>31</v>
      </c>
      <c r="L633">
        <v>89.82</v>
      </c>
      <c r="M633" t="s">
        <v>29</v>
      </c>
      <c r="N633">
        <v>117.5</v>
      </c>
      <c r="O633" t="s">
        <v>20</v>
      </c>
      <c r="P633">
        <f t="shared" si="94"/>
        <v>207.32</v>
      </c>
      <c r="Q633">
        <f t="shared" si="95"/>
        <v>27.680000000000007</v>
      </c>
      <c r="R633" t="str">
        <f t="shared" si="96"/>
        <v>Graham/Michael</v>
      </c>
      <c r="S633" t="str">
        <f t="shared" si="97"/>
        <v>Pat/Tucker</v>
      </c>
      <c r="T633">
        <f t="shared" si="98"/>
        <v>117.5</v>
      </c>
      <c r="U633">
        <f t="shared" si="99"/>
        <v>89.82</v>
      </c>
    </row>
    <row r="634" spans="1:21" x14ac:dyDescent="0.3">
      <c r="A634">
        <v>633</v>
      </c>
      <c r="B634" t="str">
        <f>H634&amp;R634&amp;I634</f>
        <v>2022Trent/Colin9</v>
      </c>
      <c r="C634" t="str">
        <f>H634&amp;S634&amp;I634</f>
        <v>2022Clay/Ryan9</v>
      </c>
      <c r="D634">
        <f t="shared" si="90"/>
        <v>182</v>
      </c>
      <c r="E634">
        <f t="shared" si="91"/>
        <v>249</v>
      </c>
      <c r="F634">
        <f t="shared" si="92"/>
        <v>158</v>
      </c>
      <c r="G634">
        <f t="shared" si="93"/>
        <v>389</v>
      </c>
      <c r="H634">
        <v>2022</v>
      </c>
      <c r="I634">
        <v>9</v>
      </c>
      <c r="J634">
        <v>43</v>
      </c>
      <c r="K634" t="s">
        <v>33</v>
      </c>
      <c r="L634">
        <v>137.94</v>
      </c>
      <c r="M634" t="s">
        <v>35</v>
      </c>
      <c r="N634">
        <v>96.6</v>
      </c>
      <c r="O634" t="s">
        <v>20</v>
      </c>
      <c r="P634">
        <f t="shared" si="94"/>
        <v>234.54</v>
      </c>
      <c r="Q634">
        <f t="shared" si="95"/>
        <v>41.34</v>
      </c>
      <c r="R634" t="str">
        <f t="shared" si="96"/>
        <v>Trent/Colin</v>
      </c>
      <c r="S634" t="str">
        <f t="shared" si="97"/>
        <v>Clay/Ryan</v>
      </c>
      <c r="T634">
        <f t="shared" si="98"/>
        <v>137.94</v>
      </c>
      <c r="U634">
        <f t="shared" si="99"/>
        <v>96.6</v>
      </c>
    </row>
    <row r="635" spans="1:21" x14ac:dyDescent="0.3">
      <c r="A635">
        <v>634</v>
      </c>
      <c r="B635" t="str">
        <f>H635&amp;R635&amp;I635</f>
        <v>2022Eric/Blake9</v>
      </c>
      <c r="C635" t="str">
        <f>H635&amp;S635&amp;I635</f>
        <v>2022Dave/Nolan9</v>
      </c>
      <c r="D635">
        <f t="shared" si="90"/>
        <v>776</v>
      </c>
      <c r="E635">
        <f t="shared" si="91"/>
        <v>60</v>
      </c>
      <c r="F635">
        <f t="shared" si="92"/>
        <v>183</v>
      </c>
      <c r="G635">
        <f t="shared" si="93"/>
        <v>19</v>
      </c>
      <c r="H635">
        <v>2022</v>
      </c>
      <c r="I635">
        <v>9</v>
      </c>
      <c r="J635">
        <v>44</v>
      </c>
      <c r="K635" t="s">
        <v>34</v>
      </c>
      <c r="L635">
        <v>135.9</v>
      </c>
      <c r="M635" t="s">
        <v>30</v>
      </c>
      <c r="N635">
        <v>131.24</v>
      </c>
      <c r="O635" t="s">
        <v>20</v>
      </c>
      <c r="P635">
        <f t="shared" si="94"/>
        <v>267.14</v>
      </c>
      <c r="Q635">
        <f t="shared" si="95"/>
        <v>4.6599999999999966</v>
      </c>
      <c r="R635" t="str">
        <f t="shared" si="96"/>
        <v>Eric/Blake</v>
      </c>
      <c r="S635" t="str">
        <f t="shared" si="97"/>
        <v>Dave/Nolan</v>
      </c>
      <c r="T635">
        <f t="shared" si="98"/>
        <v>135.9</v>
      </c>
      <c r="U635">
        <f t="shared" si="99"/>
        <v>131.24</v>
      </c>
    </row>
    <row r="636" spans="1:21" x14ac:dyDescent="0.3">
      <c r="A636">
        <v>635</v>
      </c>
      <c r="B636" t="str">
        <f>H636&amp;R636&amp;I636</f>
        <v>2022Drew/Cam9</v>
      </c>
      <c r="C636" t="str">
        <f>H636&amp;S636&amp;I636</f>
        <v>2022David/Marshall9</v>
      </c>
      <c r="D636">
        <f t="shared" si="90"/>
        <v>48</v>
      </c>
      <c r="E636">
        <f t="shared" si="91"/>
        <v>828</v>
      </c>
      <c r="F636">
        <f t="shared" si="92"/>
        <v>593</v>
      </c>
      <c r="G636">
        <f t="shared" si="93"/>
        <v>865</v>
      </c>
      <c r="H636">
        <v>2022</v>
      </c>
      <c r="I636">
        <v>9</v>
      </c>
      <c r="J636">
        <v>45</v>
      </c>
      <c r="K636" t="s">
        <v>38</v>
      </c>
      <c r="L636">
        <v>49.6</v>
      </c>
      <c r="M636" t="s">
        <v>37</v>
      </c>
      <c r="N636">
        <v>109.24</v>
      </c>
      <c r="O636" t="s">
        <v>20</v>
      </c>
      <c r="P636">
        <f t="shared" si="94"/>
        <v>158.84</v>
      </c>
      <c r="Q636">
        <f t="shared" si="95"/>
        <v>59.639999999999993</v>
      </c>
      <c r="R636" t="str">
        <f t="shared" si="96"/>
        <v>Drew/Cam</v>
      </c>
      <c r="S636" t="str">
        <f t="shared" si="97"/>
        <v>David/Marshall</v>
      </c>
      <c r="T636">
        <f t="shared" si="98"/>
        <v>109.24</v>
      </c>
      <c r="U636">
        <f t="shared" si="99"/>
        <v>49.6</v>
      </c>
    </row>
    <row r="637" spans="1:21" x14ac:dyDescent="0.3">
      <c r="A637">
        <v>636</v>
      </c>
      <c r="B637" t="str">
        <f>H637&amp;R637&amp;I637</f>
        <v>2022Trent/Colin10</v>
      </c>
      <c r="C637" t="str">
        <f>H637&amp;S637&amp;I637</f>
        <v>2022Pat/Tucker10</v>
      </c>
      <c r="D637">
        <f t="shared" si="90"/>
        <v>31</v>
      </c>
      <c r="E637">
        <f t="shared" si="91"/>
        <v>26</v>
      </c>
      <c r="F637">
        <f t="shared" si="92"/>
        <v>8</v>
      </c>
      <c r="G637">
        <f t="shared" si="93"/>
        <v>227</v>
      </c>
      <c r="H637">
        <v>2022</v>
      </c>
      <c r="I637">
        <v>10</v>
      </c>
      <c r="J637">
        <v>46</v>
      </c>
      <c r="K637" t="s">
        <v>31</v>
      </c>
      <c r="L637">
        <v>106.24</v>
      </c>
      <c r="M637" t="s">
        <v>33</v>
      </c>
      <c r="N637">
        <v>173.08</v>
      </c>
      <c r="O637" t="s">
        <v>20</v>
      </c>
      <c r="P637">
        <f t="shared" si="94"/>
        <v>279.32</v>
      </c>
      <c r="Q637">
        <f t="shared" si="95"/>
        <v>66.840000000000018</v>
      </c>
      <c r="R637" t="str">
        <f t="shared" si="96"/>
        <v>Trent/Colin</v>
      </c>
      <c r="S637" t="str">
        <f t="shared" si="97"/>
        <v>Pat/Tucker</v>
      </c>
      <c r="T637">
        <f t="shared" si="98"/>
        <v>173.08</v>
      </c>
      <c r="U637">
        <f t="shared" si="99"/>
        <v>106.24</v>
      </c>
    </row>
    <row r="638" spans="1:21" x14ac:dyDescent="0.3">
      <c r="A638">
        <v>637</v>
      </c>
      <c r="B638" t="str">
        <f>H638&amp;R638&amp;I638</f>
        <v>2022Walker/Cory10</v>
      </c>
      <c r="C638" t="str">
        <f>H638&amp;S638&amp;I638</f>
        <v>2022Eric/Blake10</v>
      </c>
      <c r="D638">
        <f t="shared" si="90"/>
        <v>705</v>
      </c>
      <c r="E638">
        <f t="shared" si="91"/>
        <v>754</v>
      </c>
      <c r="F638">
        <f t="shared" si="92"/>
        <v>796</v>
      </c>
      <c r="G638">
        <f t="shared" si="93"/>
        <v>615</v>
      </c>
      <c r="H638">
        <v>2022</v>
      </c>
      <c r="I638">
        <v>10</v>
      </c>
      <c r="J638">
        <v>47</v>
      </c>
      <c r="K638" t="s">
        <v>34</v>
      </c>
      <c r="L638">
        <v>85</v>
      </c>
      <c r="M638" t="s">
        <v>36</v>
      </c>
      <c r="N638">
        <v>92.7</v>
      </c>
      <c r="O638" t="s">
        <v>20</v>
      </c>
      <c r="P638">
        <f t="shared" si="94"/>
        <v>177.7</v>
      </c>
      <c r="Q638">
        <f t="shared" si="95"/>
        <v>7.7000000000000028</v>
      </c>
      <c r="R638" t="str">
        <f t="shared" si="96"/>
        <v>Walker/Cory</v>
      </c>
      <c r="S638" t="str">
        <f t="shared" si="97"/>
        <v>Eric/Blake</v>
      </c>
      <c r="T638">
        <f t="shared" si="98"/>
        <v>92.7</v>
      </c>
      <c r="U638">
        <f t="shared" si="99"/>
        <v>85</v>
      </c>
    </row>
    <row r="639" spans="1:21" x14ac:dyDescent="0.3">
      <c r="A639">
        <v>638</v>
      </c>
      <c r="B639" t="str">
        <f>H639&amp;R639&amp;I639</f>
        <v>2022Brian/Travis10</v>
      </c>
      <c r="C639" t="str">
        <f>H639&amp;S639&amp;I639</f>
        <v>2022David/Marshall10</v>
      </c>
      <c r="D639">
        <f t="shared" si="90"/>
        <v>362</v>
      </c>
      <c r="E639">
        <f t="shared" si="91"/>
        <v>532</v>
      </c>
      <c r="F639">
        <f t="shared" si="92"/>
        <v>515</v>
      </c>
      <c r="G639">
        <f t="shared" si="93"/>
        <v>524</v>
      </c>
      <c r="H639">
        <v>2022</v>
      </c>
      <c r="I639">
        <v>10</v>
      </c>
      <c r="J639">
        <v>48</v>
      </c>
      <c r="K639" t="s">
        <v>32</v>
      </c>
      <c r="L639">
        <v>114.7</v>
      </c>
      <c r="M639" t="s">
        <v>38</v>
      </c>
      <c r="N639">
        <v>89.04</v>
      </c>
      <c r="O639" t="s">
        <v>20</v>
      </c>
      <c r="P639">
        <f t="shared" si="94"/>
        <v>203.74</v>
      </c>
      <c r="Q639">
        <f t="shared" si="95"/>
        <v>25.659999999999997</v>
      </c>
      <c r="R639" t="str">
        <f t="shared" si="96"/>
        <v>Brian/Travis</v>
      </c>
      <c r="S639" t="str">
        <f t="shared" si="97"/>
        <v>David/Marshall</v>
      </c>
      <c r="T639">
        <f t="shared" si="98"/>
        <v>114.7</v>
      </c>
      <c r="U639">
        <f t="shared" si="99"/>
        <v>89.04</v>
      </c>
    </row>
    <row r="640" spans="1:21" x14ac:dyDescent="0.3">
      <c r="A640">
        <v>639</v>
      </c>
      <c r="B640" t="str">
        <f>H640&amp;R640&amp;I640</f>
        <v>2022Graham/Michael10</v>
      </c>
      <c r="C640" t="str">
        <f>H640&amp;S640&amp;I640</f>
        <v>2022Dave/Nolan10</v>
      </c>
      <c r="D640">
        <f t="shared" si="90"/>
        <v>338</v>
      </c>
      <c r="E640">
        <f t="shared" si="91"/>
        <v>572</v>
      </c>
      <c r="F640">
        <f t="shared" si="92"/>
        <v>528</v>
      </c>
      <c r="G640">
        <f t="shared" si="93"/>
        <v>600</v>
      </c>
      <c r="H640">
        <v>2022</v>
      </c>
      <c r="I640">
        <v>10</v>
      </c>
      <c r="J640">
        <v>49</v>
      </c>
      <c r="K640" t="s">
        <v>30</v>
      </c>
      <c r="L640">
        <v>85.94</v>
      </c>
      <c r="M640" t="s">
        <v>29</v>
      </c>
      <c r="N640">
        <v>113.4</v>
      </c>
      <c r="O640" t="s">
        <v>20</v>
      </c>
      <c r="P640">
        <f t="shared" si="94"/>
        <v>199.34</v>
      </c>
      <c r="Q640">
        <f t="shared" si="95"/>
        <v>27.460000000000008</v>
      </c>
      <c r="R640" t="str">
        <f t="shared" si="96"/>
        <v>Graham/Michael</v>
      </c>
      <c r="S640" t="str">
        <f t="shared" si="97"/>
        <v>Dave/Nolan</v>
      </c>
      <c r="T640">
        <f t="shared" si="98"/>
        <v>113.4</v>
      </c>
      <c r="U640">
        <f t="shared" si="99"/>
        <v>85.94</v>
      </c>
    </row>
    <row r="641" spans="1:21" x14ac:dyDescent="0.3">
      <c r="A641">
        <v>640</v>
      </c>
      <c r="B641" t="str">
        <f>H641&amp;R641&amp;I641</f>
        <v>2022Clay/Ryan10</v>
      </c>
      <c r="C641" t="str">
        <f>H641&amp;S641&amp;I641</f>
        <v>2022Drew/Cam10</v>
      </c>
      <c r="D641">
        <f t="shared" si="90"/>
        <v>423</v>
      </c>
      <c r="E641">
        <f t="shared" si="91"/>
        <v>521</v>
      </c>
      <c r="F641">
        <f t="shared" si="92"/>
        <v>523</v>
      </c>
      <c r="G641">
        <f t="shared" si="93"/>
        <v>484</v>
      </c>
      <c r="H641">
        <v>2022</v>
      </c>
      <c r="I641">
        <v>10</v>
      </c>
      <c r="J641">
        <v>50</v>
      </c>
      <c r="K641" t="s">
        <v>35</v>
      </c>
      <c r="L641">
        <v>113.5</v>
      </c>
      <c r="M641" t="s">
        <v>37</v>
      </c>
      <c r="N641">
        <v>91.36</v>
      </c>
      <c r="O641" t="s">
        <v>20</v>
      </c>
      <c r="P641">
        <f t="shared" si="94"/>
        <v>204.86</v>
      </c>
      <c r="Q641">
        <f t="shared" si="95"/>
        <v>22.14</v>
      </c>
      <c r="R641" t="str">
        <f t="shared" si="96"/>
        <v>Clay/Ryan</v>
      </c>
      <c r="S641" t="str">
        <f t="shared" si="97"/>
        <v>Drew/Cam</v>
      </c>
      <c r="T641">
        <f t="shared" si="98"/>
        <v>113.5</v>
      </c>
      <c r="U641">
        <f t="shared" si="99"/>
        <v>91.36</v>
      </c>
    </row>
    <row r="642" spans="1:21" x14ac:dyDescent="0.3">
      <c r="A642">
        <v>641</v>
      </c>
      <c r="B642" t="str">
        <f>H642&amp;R642&amp;I642</f>
        <v>2022Eric/Blake11</v>
      </c>
      <c r="C642" t="str">
        <f>H642&amp;S642&amp;I642</f>
        <v>2022David/Marshall11</v>
      </c>
      <c r="D642">
        <f t="shared" ref="D642:D705" si="100">RANK(Q642,Q:Q)</f>
        <v>437</v>
      </c>
      <c r="E642">
        <f t="shared" ref="E642:E705" si="101">RANK(P642,P:P)</f>
        <v>693</v>
      </c>
      <c r="F642">
        <f t="shared" ref="F642:F705" si="102">RANK(T642,T:T)</f>
        <v>676</v>
      </c>
      <c r="G642">
        <f t="shared" ref="G642:G705" si="103">RANK(U642,U:U)</f>
        <v>662</v>
      </c>
      <c r="H642">
        <v>2022</v>
      </c>
      <c r="I642">
        <v>11</v>
      </c>
      <c r="J642">
        <v>51</v>
      </c>
      <c r="K642" t="s">
        <v>34</v>
      </c>
      <c r="L642">
        <v>103.3</v>
      </c>
      <c r="M642" t="s">
        <v>38</v>
      </c>
      <c r="N642">
        <v>81.7</v>
      </c>
      <c r="O642" t="s">
        <v>20</v>
      </c>
      <c r="P642">
        <f t="shared" ref="P642:P705" si="104">SUM(L642,N642)</f>
        <v>185</v>
      </c>
      <c r="Q642">
        <f t="shared" ref="Q642:Q705" si="105">ABS(L642-N642)</f>
        <v>21.599999999999994</v>
      </c>
      <c r="R642" t="str">
        <f t="shared" ref="R642:R705" si="106">IF(L642&gt;N642,K642,M642)</f>
        <v>Eric/Blake</v>
      </c>
      <c r="S642" t="str">
        <f t="shared" ref="S642:S705" si="107">IF(L642&gt;N642,M642,K642)</f>
        <v>David/Marshall</v>
      </c>
      <c r="T642">
        <f t="shared" ref="T642:T705" si="108">IF(L642&gt;N642,L642,N642)</f>
        <v>103.3</v>
      </c>
      <c r="U642">
        <f t="shared" ref="U642:U705" si="109">IF(L642&gt;N642,N642,L642)</f>
        <v>81.7</v>
      </c>
    </row>
    <row r="643" spans="1:21" x14ac:dyDescent="0.3">
      <c r="A643">
        <v>642</v>
      </c>
      <c r="B643" t="str">
        <f>H643&amp;R643&amp;I643</f>
        <v>2022Pat/Tucker11</v>
      </c>
      <c r="C643" t="str">
        <f>H643&amp;S643&amp;I643</f>
        <v>2022Dave/Nolan11</v>
      </c>
      <c r="D643">
        <f t="shared" si="100"/>
        <v>357</v>
      </c>
      <c r="E643">
        <f t="shared" si="101"/>
        <v>262</v>
      </c>
      <c r="F643">
        <f t="shared" si="102"/>
        <v>262</v>
      </c>
      <c r="G643">
        <f t="shared" si="103"/>
        <v>269</v>
      </c>
      <c r="H643">
        <v>2022</v>
      </c>
      <c r="I643">
        <v>11</v>
      </c>
      <c r="J643">
        <v>52</v>
      </c>
      <c r="K643" t="s">
        <v>31</v>
      </c>
      <c r="L643">
        <v>129.56</v>
      </c>
      <c r="M643" t="s">
        <v>30</v>
      </c>
      <c r="N643">
        <v>103.36</v>
      </c>
      <c r="O643" t="s">
        <v>20</v>
      </c>
      <c r="P643">
        <f t="shared" si="104"/>
        <v>232.92000000000002</v>
      </c>
      <c r="Q643">
        <f t="shared" si="105"/>
        <v>26.200000000000003</v>
      </c>
      <c r="R643" t="str">
        <f t="shared" si="106"/>
        <v>Pat/Tucker</v>
      </c>
      <c r="S643" t="str">
        <f t="shared" si="107"/>
        <v>Dave/Nolan</v>
      </c>
      <c r="T643">
        <f t="shared" si="108"/>
        <v>129.56</v>
      </c>
      <c r="U643">
        <f t="shared" si="109"/>
        <v>103.36</v>
      </c>
    </row>
    <row r="644" spans="1:21" x14ac:dyDescent="0.3">
      <c r="A644">
        <v>643</v>
      </c>
      <c r="B644" t="str">
        <f>H644&amp;R644&amp;I644</f>
        <v>2022Drew/Cam11</v>
      </c>
      <c r="C644" t="str">
        <f>H644&amp;S644&amp;I644</f>
        <v>2022Trent/Colin11</v>
      </c>
      <c r="D644">
        <f t="shared" si="100"/>
        <v>587</v>
      </c>
      <c r="E644">
        <f t="shared" si="101"/>
        <v>229</v>
      </c>
      <c r="F644">
        <f t="shared" si="102"/>
        <v>335</v>
      </c>
      <c r="G644">
        <f t="shared" si="103"/>
        <v>156</v>
      </c>
      <c r="H644">
        <v>2022</v>
      </c>
      <c r="I644">
        <v>11</v>
      </c>
      <c r="J644">
        <v>53</v>
      </c>
      <c r="K644" t="s">
        <v>37</v>
      </c>
      <c r="L644">
        <v>125</v>
      </c>
      <c r="M644" t="s">
        <v>33</v>
      </c>
      <c r="N644">
        <v>112.12</v>
      </c>
      <c r="O644" t="s">
        <v>20</v>
      </c>
      <c r="P644">
        <f t="shared" si="104"/>
        <v>237.12</v>
      </c>
      <c r="Q644">
        <f t="shared" si="105"/>
        <v>12.879999999999995</v>
      </c>
      <c r="R644" t="str">
        <f t="shared" si="106"/>
        <v>Drew/Cam</v>
      </c>
      <c r="S644" t="str">
        <f t="shared" si="107"/>
        <v>Trent/Colin</v>
      </c>
      <c r="T644">
        <f t="shared" si="108"/>
        <v>125</v>
      </c>
      <c r="U644">
        <f t="shared" si="109"/>
        <v>112.12</v>
      </c>
    </row>
    <row r="645" spans="1:21" x14ac:dyDescent="0.3">
      <c r="A645">
        <v>644</v>
      </c>
      <c r="B645" t="str">
        <f>H645&amp;R645&amp;I645</f>
        <v>2022Walker/Cory11</v>
      </c>
      <c r="C645" t="str">
        <f>H645&amp;S645&amp;I645</f>
        <v>2022Graham/Michael11</v>
      </c>
      <c r="D645">
        <f t="shared" si="100"/>
        <v>6</v>
      </c>
      <c r="E645">
        <f t="shared" si="101"/>
        <v>419</v>
      </c>
      <c r="F645">
        <f t="shared" si="102"/>
        <v>61</v>
      </c>
      <c r="G645">
        <f t="shared" si="103"/>
        <v>837</v>
      </c>
      <c r="H645">
        <v>2022</v>
      </c>
      <c r="I645">
        <v>11</v>
      </c>
      <c r="J645">
        <v>54</v>
      </c>
      <c r="K645" t="s">
        <v>36</v>
      </c>
      <c r="L645">
        <v>152.30000000000001</v>
      </c>
      <c r="M645" t="s">
        <v>29</v>
      </c>
      <c r="N645">
        <v>62.9</v>
      </c>
      <c r="O645" t="s">
        <v>20</v>
      </c>
      <c r="P645">
        <f t="shared" si="104"/>
        <v>215.20000000000002</v>
      </c>
      <c r="Q645">
        <f t="shared" si="105"/>
        <v>89.4</v>
      </c>
      <c r="R645" t="str">
        <f t="shared" si="106"/>
        <v>Walker/Cory</v>
      </c>
      <c r="S645" t="str">
        <f t="shared" si="107"/>
        <v>Graham/Michael</v>
      </c>
      <c r="T645">
        <f t="shared" si="108"/>
        <v>152.30000000000001</v>
      </c>
      <c r="U645">
        <f t="shared" si="109"/>
        <v>62.9</v>
      </c>
    </row>
    <row r="646" spans="1:21" x14ac:dyDescent="0.3">
      <c r="A646">
        <v>645</v>
      </c>
      <c r="B646" t="str">
        <f>H646&amp;R646&amp;I646</f>
        <v>2022Brian/Travis11</v>
      </c>
      <c r="C646" t="str">
        <f>H646&amp;S646&amp;I646</f>
        <v>2022Clay/Ryan11</v>
      </c>
      <c r="D646">
        <f t="shared" si="100"/>
        <v>863</v>
      </c>
      <c r="E646">
        <f t="shared" si="101"/>
        <v>451</v>
      </c>
      <c r="F646">
        <f t="shared" si="102"/>
        <v>640</v>
      </c>
      <c r="G646">
        <f t="shared" si="103"/>
        <v>234</v>
      </c>
      <c r="H646">
        <v>2022</v>
      </c>
      <c r="I646">
        <v>11</v>
      </c>
      <c r="J646">
        <v>55</v>
      </c>
      <c r="K646" t="s">
        <v>35</v>
      </c>
      <c r="L646">
        <v>105.58</v>
      </c>
      <c r="M646" t="s">
        <v>32</v>
      </c>
      <c r="N646">
        <v>105.78</v>
      </c>
      <c r="O646" t="s">
        <v>20</v>
      </c>
      <c r="P646">
        <f t="shared" si="104"/>
        <v>211.36</v>
      </c>
      <c r="Q646">
        <f t="shared" si="105"/>
        <v>0.20000000000000284</v>
      </c>
      <c r="R646" t="str">
        <f t="shared" si="106"/>
        <v>Brian/Travis</v>
      </c>
      <c r="S646" t="str">
        <f t="shared" si="107"/>
        <v>Clay/Ryan</v>
      </c>
      <c r="T646">
        <f t="shared" si="108"/>
        <v>105.78</v>
      </c>
      <c r="U646">
        <f t="shared" si="109"/>
        <v>105.58</v>
      </c>
    </row>
    <row r="647" spans="1:21" x14ac:dyDescent="0.3">
      <c r="A647">
        <v>646</v>
      </c>
      <c r="B647" t="str">
        <f>H647&amp;R647&amp;I647</f>
        <v>2022Dave/Nolan12</v>
      </c>
      <c r="C647" t="str">
        <f>H647&amp;S647&amp;I647</f>
        <v>2022Drew/Cam12</v>
      </c>
      <c r="D647">
        <f t="shared" si="100"/>
        <v>232</v>
      </c>
      <c r="E647">
        <f t="shared" si="101"/>
        <v>467</v>
      </c>
      <c r="F647">
        <f t="shared" si="102"/>
        <v>376</v>
      </c>
      <c r="G647">
        <f t="shared" si="103"/>
        <v>586</v>
      </c>
      <c r="H647">
        <v>2022</v>
      </c>
      <c r="I647">
        <v>12</v>
      </c>
      <c r="J647">
        <v>56</v>
      </c>
      <c r="K647" t="s">
        <v>30</v>
      </c>
      <c r="L647">
        <v>123.1</v>
      </c>
      <c r="M647" t="s">
        <v>37</v>
      </c>
      <c r="N647">
        <v>86.6</v>
      </c>
      <c r="O647" t="s">
        <v>20</v>
      </c>
      <c r="P647">
        <f t="shared" si="104"/>
        <v>209.7</v>
      </c>
      <c r="Q647">
        <f t="shared" si="105"/>
        <v>36.5</v>
      </c>
      <c r="R647" t="str">
        <f t="shared" si="106"/>
        <v>Dave/Nolan</v>
      </c>
      <c r="S647" t="str">
        <f t="shared" si="107"/>
        <v>Drew/Cam</v>
      </c>
      <c r="T647">
        <f t="shared" si="108"/>
        <v>123.1</v>
      </c>
      <c r="U647">
        <f t="shared" si="109"/>
        <v>86.6</v>
      </c>
    </row>
    <row r="648" spans="1:21" x14ac:dyDescent="0.3">
      <c r="A648">
        <v>647</v>
      </c>
      <c r="B648" t="str">
        <f>H648&amp;R648&amp;I648</f>
        <v>2022Eric/Blake12</v>
      </c>
      <c r="C648" t="str">
        <f>H648&amp;S648&amp;I648</f>
        <v>2022Graham/Michael12</v>
      </c>
      <c r="D648">
        <f t="shared" si="100"/>
        <v>473</v>
      </c>
      <c r="E648">
        <f t="shared" si="101"/>
        <v>312</v>
      </c>
      <c r="F648">
        <f t="shared" si="102"/>
        <v>382</v>
      </c>
      <c r="G648">
        <f t="shared" si="103"/>
        <v>257</v>
      </c>
      <c r="H648">
        <v>2022</v>
      </c>
      <c r="I648">
        <v>12</v>
      </c>
      <c r="J648">
        <v>57</v>
      </c>
      <c r="K648" t="s">
        <v>29</v>
      </c>
      <c r="L648">
        <v>103.84</v>
      </c>
      <c r="M648" t="s">
        <v>34</v>
      </c>
      <c r="N648">
        <v>122.92</v>
      </c>
      <c r="O648" t="s">
        <v>20</v>
      </c>
      <c r="P648">
        <f t="shared" si="104"/>
        <v>226.76</v>
      </c>
      <c r="Q648">
        <f t="shared" si="105"/>
        <v>19.079999999999998</v>
      </c>
      <c r="R648" t="str">
        <f t="shared" si="106"/>
        <v>Eric/Blake</v>
      </c>
      <c r="S648" t="str">
        <f t="shared" si="107"/>
        <v>Graham/Michael</v>
      </c>
      <c r="T648">
        <f t="shared" si="108"/>
        <v>122.92</v>
      </c>
      <c r="U648">
        <f t="shared" si="109"/>
        <v>103.84</v>
      </c>
    </row>
    <row r="649" spans="1:21" x14ac:dyDescent="0.3">
      <c r="A649">
        <v>648</v>
      </c>
      <c r="B649" t="str">
        <f>H649&amp;R649&amp;I649</f>
        <v>2022Clay/Ryan12</v>
      </c>
      <c r="C649" t="str">
        <f>H649&amp;S649&amp;I649</f>
        <v>2022David/Marshall12</v>
      </c>
      <c r="D649">
        <f t="shared" si="100"/>
        <v>694</v>
      </c>
      <c r="E649">
        <f t="shared" si="101"/>
        <v>92</v>
      </c>
      <c r="F649">
        <f t="shared" si="102"/>
        <v>225</v>
      </c>
      <c r="G649">
        <f t="shared" si="103"/>
        <v>46</v>
      </c>
      <c r="H649">
        <v>2022</v>
      </c>
      <c r="I649">
        <v>12</v>
      </c>
      <c r="J649">
        <v>58</v>
      </c>
      <c r="K649" t="s">
        <v>38</v>
      </c>
      <c r="L649">
        <v>124.56</v>
      </c>
      <c r="M649" t="s">
        <v>35</v>
      </c>
      <c r="N649">
        <v>132.69999999999999</v>
      </c>
      <c r="O649" t="s">
        <v>20</v>
      </c>
      <c r="P649">
        <f t="shared" si="104"/>
        <v>257.26</v>
      </c>
      <c r="Q649">
        <f t="shared" si="105"/>
        <v>8.1399999999999864</v>
      </c>
      <c r="R649" t="str">
        <f t="shared" si="106"/>
        <v>Clay/Ryan</v>
      </c>
      <c r="S649" t="str">
        <f t="shared" si="107"/>
        <v>David/Marshall</v>
      </c>
      <c r="T649">
        <f t="shared" si="108"/>
        <v>132.69999999999999</v>
      </c>
      <c r="U649">
        <f t="shared" si="109"/>
        <v>124.56</v>
      </c>
    </row>
    <row r="650" spans="1:21" x14ac:dyDescent="0.3">
      <c r="A650">
        <v>649</v>
      </c>
      <c r="B650" t="str">
        <f>H650&amp;R650&amp;I650</f>
        <v>2022Walker/Cory12</v>
      </c>
      <c r="C650" t="str">
        <f>H650&amp;S650&amp;I650</f>
        <v>2022Pat/Tucker12</v>
      </c>
      <c r="D650">
        <f t="shared" si="100"/>
        <v>297</v>
      </c>
      <c r="E650">
        <f t="shared" si="101"/>
        <v>274</v>
      </c>
      <c r="F650">
        <f t="shared" si="102"/>
        <v>246</v>
      </c>
      <c r="G650">
        <f t="shared" si="103"/>
        <v>321</v>
      </c>
      <c r="H650">
        <v>2022</v>
      </c>
      <c r="I650">
        <v>12</v>
      </c>
      <c r="J650">
        <v>59</v>
      </c>
      <c r="K650" t="s">
        <v>36</v>
      </c>
      <c r="L650">
        <v>130.52000000000001</v>
      </c>
      <c r="M650" t="s">
        <v>31</v>
      </c>
      <c r="N650">
        <v>100.16</v>
      </c>
      <c r="O650" t="s">
        <v>20</v>
      </c>
      <c r="P650">
        <f t="shared" si="104"/>
        <v>230.68</v>
      </c>
      <c r="Q650">
        <f t="shared" si="105"/>
        <v>30.360000000000014</v>
      </c>
      <c r="R650" t="str">
        <f t="shared" si="106"/>
        <v>Walker/Cory</v>
      </c>
      <c r="S650" t="str">
        <f t="shared" si="107"/>
        <v>Pat/Tucker</v>
      </c>
      <c r="T650">
        <f t="shared" si="108"/>
        <v>130.52000000000001</v>
      </c>
      <c r="U650">
        <f t="shared" si="109"/>
        <v>100.16</v>
      </c>
    </row>
    <row r="651" spans="1:21" x14ac:dyDescent="0.3">
      <c r="A651">
        <v>650</v>
      </c>
      <c r="B651" t="str">
        <f>H651&amp;R651&amp;I651</f>
        <v>2022Brian/Travis12</v>
      </c>
      <c r="C651" t="str">
        <f>H651&amp;S651&amp;I651</f>
        <v>2022Trent/Colin12</v>
      </c>
      <c r="D651">
        <f t="shared" si="100"/>
        <v>208</v>
      </c>
      <c r="E651">
        <f t="shared" si="101"/>
        <v>300</v>
      </c>
      <c r="F651">
        <f t="shared" si="102"/>
        <v>216</v>
      </c>
      <c r="G651">
        <f t="shared" si="103"/>
        <v>417</v>
      </c>
      <c r="H651">
        <v>2022</v>
      </c>
      <c r="I651">
        <v>12</v>
      </c>
      <c r="J651">
        <v>60</v>
      </c>
      <c r="K651" t="s">
        <v>33</v>
      </c>
      <c r="L651">
        <v>95.04</v>
      </c>
      <c r="M651" t="s">
        <v>32</v>
      </c>
      <c r="N651">
        <v>133.32</v>
      </c>
      <c r="O651" t="s">
        <v>20</v>
      </c>
      <c r="P651">
        <f t="shared" si="104"/>
        <v>228.36</v>
      </c>
      <c r="Q651">
        <f t="shared" si="105"/>
        <v>38.279999999999987</v>
      </c>
      <c r="R651" t="str">
        <f t="shared" si="106"/>
        <v>Brian/Travis</v>
      </c>
      <c r="S651" t="str">
        <f t="shared" si="107"/>
        <v>Trent/Colin</v>
      </c>
      <c r="T651">
        <f t="shared" si="108"/>
        <v>133.32</v>
      </c>
      <c r="U651">
        <f t="shared" si="109"/>
        <v>95.04</v>
      </c>
    </row>
    <row r="652" spans="1:21" x14ac:dyDescent="0.3">
      <c r="A652">
        <v>651</v>
      </c>
      <c r="B652" t="str">
        <f>H652&amp;R652&amp;I652</f>
        <v>2022Clay/Ryan13</v>
      </c>
      <c r="C652" t="str">
        <f>H652&amp;S652&amp;I652</f>
        <v>2022Graham/Michael13</v>
      </c>
      <c r="D652">
        <f t="shared" si="100"/>
        <v>673</v>
      </c>
      <c r="E652">
        <f t="shared" si="101"/>
        <v>704</v>
      </c>
      <c r="F652">
        <f t="shared" si="102"/>
        <v>750</v>
      </c>
      <c r="G652">
        <f t="shared" si="103"/>
        <v>558</v>
      </c>
      <c r="H652">
        <v>2022</v>
      </c>
      <c r="I652">
        <v>13</v>
      </c>
      <c r="J652">
        <v>61</v>
      </c>
      <c r="K652" t="s">
        <v>29</v>
      </c>
      <c r="L652">
        <v>87.54</v>
      </c>
      <c r="M652" t="s">
        <v>35</v>
      </c>
      <c r="N652">
        <v>96.58</v>
      </c>
      <c r="O652" t="s">
        <v>20</v>
      </c>
      <c r="P652">
        <f t="shared" si="104"/>
        <v>184.12</v>
      </c>
      <c r="Q652">
        <f t="shared" si="105"/>
        <v>9.039999999999992</v>
      </c>
      <c r="R652" t="str">
        <f t="shared" si="106"/>
        <v>Clay/Ryan</v>
      </c>
      <c r="S652" t="str">
        <f t="shared" si="107"/>
        <v>Graham/Michael</v>
      </c>
      <c r="T652">
        <f t="shared" si="108"/>
        <v>96.58</v>
      </c>
      <c r="U652">
        <f t="shared" si="109"/>
        <v>87.54</v>
      </c>
    </row>
    <row r="653" spans="1:21" x14ac:dyDescent="0.3">
      <c r="A653">
        <v>652</v>
      </c>
      <c r="B653" t="str">
        <f>H653&amp;R653&amp;I653</f>
        <v>2022Walker/Cory13</v>
      </c>
      <c r="C653" t="str">
        <f>H653&amp;S653&amp;I653</f>
        <v>2022Dave/Nolan13</v>
      </c>
      <c r="D653">
        <f t="shared" si="100"/>
        <v>517</v>
      </c>
      <c r="E653">
        <f t="shared" si="101"/>
        <v>264</v>
      </c>
      <c r="F653">
        <f t="shared" si="102"/>
        <v>343</v>
      </c>
      <c r="G653">
        <f t="shared" si="103"/>
        <v>205</v>
      </c>
      <c r="H653">
        <v>2022</v>
      </c>
      <c r="I653">
        <v>13</v>
      </c>
      <c r="J653">
        <v>62</v>
      </c>
      <c r="K653" t="s">
        <v>30</v>
      </c>
      <c r="L653">
        <v>108.02</v>
      </c>
      <c r="M653" t="s">
        <v>36</v>
      </c>
      <c r="N653">
        <v>124.8</v>
      </c>
      <c r="O653" t="s">
        <v>20</v>
      </c>
      <c r="P653">
        <f t="shared" si="104"/>
        <v>232.82</v>
      </c>
      <c r="Q653">
        <f t="shared" si="105"/>
        <v>16.78</v>
      </c>
      <c r="R653" t="str">
        <f t="shared" si="106"/>
        <v>Walker/Cory</v>
      </c>
      <c r="S653" t="str">
        <f t="shared" si="107"/>
        <v>Dave/Nolan</v>
      </c>
      <c r="T653">
        <f t="shared" si="108"/>
        <v>124.8</v>
      </c>
      <c r="U653">
        <f t="shared" si="109"/>
        <v>108.02</v>
      </c>
    </row>
    <row r="654" spans="1:21" x14ac:dyDescent="0.3">
      <c r="A654">
        <v>653</v>
      </c>
      <c r="B654" t="str">
        <f>H654&amp;R654&amp;I654</f>
        <v>2022Drew/Cam13</v>
      </c>
      <c r="C654" t="str">
        <f>H654&amp;S654&amp;I654</f>
        <v>2022Brian/Travis13</v>
      </c>
      <c r="D654">
        <f t="shared" si="100"/>
        <v>556</v>
      </c>
      <c r="E654">
        <f t="shared" si="101"/>
        <v>152</v>
      </c>
      <c r="F654">
        <f t="shared" si="102"/>
        <v>244</v>
      </c>
      <c r="G654">
        <f t="shared" si="103"/>
        <v>109</v>
      </c>
      <c r="H654">
        <v>2022</v>
      </c>
      <c r="I654">
        <v>13</v>
      </c>
      <c r="J654">
        <v>63</v>
      </c>
      <c r="K654" t="s">
        <v>32</v>
      </c>
      <c r="L654">
        <v>116.42</v>
      </c>
      <c r="M654" t="s">
        <v>37</v>
      </c>
      <c r="N654">
        <v>130.54</v>
      </c>
      <c r="O654" t="s">
        <v>20</v>
      </c>
      <c r="P654">
        <f t="shared" si="104"/>
        <v>246.95999999999998</v>
      </c>
      <c r="Q654">
        <f t="shared" si="105"/>
        <v>14.11999999999999</v>
      </c>
      <c r="R654" t="str">
        <f t="shared" si="106"/>
        <v>Drew/Cam</v>
      </c>
      <c r="S654" t="str">
        <f t="shared" si="107"/>
        <v>Brian/Travis</v>
      </c>
      <c r="T654">
        <f t="shared" si="108"/>
        <v>130.54</v>
      </c>
      <c r="U654">
        <f t="shared" si="109"/>
        <v>116.42</v>
      </c>
    </row>
    <row r="655" spans="1:21" x14ac:dyDescent="0.3">
      <c r="A655">
        <v>654</v>
      </c>
      <c r="B655" t="str">
        <f>H655&amp;R655&amp;I655</f>
        <v>2022Pat/Tucker13</v>
      </c>
      <c r="C655" t="str">
        <f>H655&amp;S655&amp;I655</f>
        <v>2022Eric/Blake13</v>
      </c>
      <c r="D655">
        <f t="shared" si="100"/>
        <v>823</v>
      </c>
      <c r="E655">
        <f t="shared" si="101"/>
        <v>457</v>
      </c>
      <c r="F655">
        <f t="shared" si="102"/>
        <v>627</v>
      </c>
      <c r="G655">
        <f t="shared" si="103"/>
        <v>253</v>
      </c>
      <c r="H655">
        <v>2022</v>
      </c>
      <c r="I655">
        <v>13</v>
      </c>
      <c r="J655">
        <v>64</v>
      </c>
      <c r="K655" t="s">
        <v>34</v>
      </c>
      <c r="L655">
        <v>103.98</v>
      </c>
      <c r="M655" t="s">
        <v>31</v>
      </c>
      <c r="N655">
        <v>106.64</v>
      </c>
      <c r="O655" t="s">
        <v>20</v>
      </c>
      <c r="P655">
        <f t="shared" si="104"/>
        <v>210.62</v>
      </c>
      <c r="Q655">
        <f t="shared" si="105"/>
        <v>2.6599999999999966</v>
      </c>
      <c r="R655" t="str">
        <f t="shared" si="106"/>
        <v>Pat/Tucker</v>
      </c>
      <c r="S655" t="str">
        <f t="shared" si="107"/>
        <v>Eric/Blake</v>
      </c>
      <c r="T655">
        <f t="shared" si="108"/>
        <v>106.64</v>
      </c>
      <c r="U655">
        <f t="shared" si="109"/>
        <v>103.98</v>
      </c>
    </row>
    <row r="656" spans="1:21" x14ac:dyDescent="0.3">
      <c r="A656">
        <v>655</v>
      </c>
      <c r="B656" t="str">
        <f>H656&amp;R656&amp;I656</f>
        <v>2022Trent/Colin13</v>
      </c>
      <c r="C656" t="str">
        <f>H656&amp;S656&amp;I656</f>
        <v>2022David/Marshall13</v>
      </c>
      <c r="D656">
        <f t="shared" si="100"/>
        <v>248</v>
      </c>
      <c r="E656">
        <f t="shared" si="101"/>
        <v>206</v>
      </c>
      <c r="F656">
        <f t="shared" si="102"/>
        <v>168</v>
      </c>
      <c r="G656">
        <f t="shared" si="103"/>
        <v>278</v>
      </c>
      <c r="H656">
        <v>2022</v>
      </c>
      <c r="I656">
        <v>13</v>
      </c>
      <c r="J656">
        <v>65</v>
      </c>
      <c r="K656" t="s">
        <v>33</v>
      </c>
      <c r="L656">
        <v>137.26</v>
      </c>
      <c r="M656" t="s">
        <v>38</v>
      </c>
      <c r="N656">
        <v>102.7</v>
      </c>
      <c r="O656" t="s">
        <v>20</v>
      </c>
      <c r="P656">
        <f t="shared" si="104"/>
        <v>239.95999999999998</v>
      </c>
      <c r="Q656">
        <f t="shared" si="105"/>
        <v>34.559999999999988</v>
      </c>
      <c r="R656" t="str">
        <f t="shared" si="106"/>
        <v>Trent/Colin</v>
      </c>
      <c r="S656" t="str">
        <f t="shared" si="107"/>
        <v>David/Marshall</v>
      </c>
      <c r="T656">
        <f t="shared" si="108"/>
        <v>137.26</v>
      </c>
      <c r="U656">
        <f t="shared" si="109"/>
        <v>102.7</v>
      </c>
    </row>
    <row r="657" spans="1:21" x14ac:dyDescent="0.3">
      <c r="A657">
        <v>656</v>
      </c>
      <c r="B657" t="str">
        <f>H657&amp;R657&amp;I657</f>
        <v>2022Pat/Tucker14</v>
      </c>
      <c r="C657" t="str">
        <f>H657&amp;S657&amp;I657</f>
        <v>2022Brian/Travis14</v>
      </c>
      <c r="D657">
        <f t="shared" si="100"/>
        <v>416</v>
      </c>
      <c r="E657">
        <f t="shared" si="101"/>
        <v>800</v>
      </c>
      <c r="F657">
        <f t="shared" si="102"/>
        <v>779</v>
      </c>
      <c r="G657">
        <f t="shared" si="103"/>
        <v>777</v>
      </c>
      <c r="H657">
        <v>2022</v>
      </c>
      <c r="I657">
        <v>14</v>
      </c>
      <c r="J657">
        <v>66</v>
      </c>
      <c r="K657" t="s">
        <v>32</v>
      </c>
      <c r="L657">
        <v>71.680000000000007</v>
      </c>
      <c r="M657" t="s">
        <v>31</v>
      </c>
      <c r="N657">
        <v>94.16</v>
      </c>
      <c r="O657" t="s">
        <v>20</v>
      </c>
      <c r="P657">
        <f t="shared" si="104"/>
        <v>165.84</v>
      </c>
      <c r="Q657">
        <f t="shared" si="105"/>
        <v>22.47999999999999</v>
      </c>
      <c r="R657" t="str">
        <f t="shared" si="106"/>
        <v>Pat/Tucker</v>
      </c>
      <c r="S657" t="str">
        <f t="shared" si="107"/>
        <v>Brian/Travis</v>
      </c>
      <c r="T657">
        <f t="shared" si="108"/>
        <v>94.16</v>
      </c>
      <c r="U657">
        <f t="shared" si="109"/>
        <v>71.680000000000007</v>
      </c>
    </row>
    <row r="658" spans="1:21" x14ac:dyDescent="0.3">
      <c r="A658">
        <v>657</v>
      </c>
      <c r="B658" t="str">
        <f>H658&amp;R658&amp;I658</f>
        <v>2022Eric/Blake14</v>
      </c>
      <c r="C658" t="str">
        <f>H658&amp;S658&amp;I658</f>
        <v>2022Trent/Colin14</v>
      </c>
      <c r="D658">
        <f t="shared" si="100"/>
        <v>862</v>
      </c>
      <c r="E658">
        <f t="shared" si="101"/>
        <v>566</v>
      </c>
      <c r="F658">
        <f t="shared" si="102"/>
        <v>706</v>
      </c>
      <c r="G658">
        <f t="shared" si="103"/>
        <v>333</v>
      </c>
      <c r="H658">
        <v>2022</v>
      </c>
      <c r="I658">
        <v>14</v>
      </c>
      <c r="J658">
        <v>67</v>
      </c>
      <c r="K658" t="s">
        <v>33</v>
      </c>
      <c r="L658">
        <v>99.74</v>
      </c>
      <c r="M658" t="s">
        <v>34</v>
      </c>
      <c r="N658">
        <v>99.96</v>
      </c>
      <c r="O658" t="s">
        <v>20</v>
      </c>
      <c r="P658">
        <f t="shared" si="104"/>
        <v>199.7</v>
      </c>
      <c r="Q658">
        <f t="shared" si="105"/>
        <v>0.21999999999999886</v>
      </c>
      <c r="R658" t="str">
        <f t="shared" si="106"/>
        <v>Eric/Blake</v>
      </c>
      <c r="S658" t="str">
        <f t="shared" si="107"/>
        <v>Trent/Colin</v>
      </c>
      <c r="T658">
        <f t="shared" si="108"/>
        <v>99.96</v>
      </c>
      <c r="U658">
        <f t="shared" si="109"/>
        <v>99.74</v>
      </c>
    </row>
    <row r="659" spans="1:21" x14ac:dyDescent="0.3">
      <c r="A659">
        <v>658</v>
      </c>
      <c r="B659" t="str">
        <f>H659&amp;R659&amp;I659</f>
        <v>2022Dave/Nolan14</v>
      </c>
      <c r="C659" t="str">
        <f>H659&amp;S659&amp;I659</f>
        <v>2022David/Marshall14</v>
      </c>
      <c r="D659">
        <f t="shared" si="100"/>
        <v>637</v>
      </c>
      <c r="E659">
        <f t="shared" si="101"/>
        <v>555</v>
      </c>
      <c r="F659">
        <f t="shared" si="102"/>
        <v>639</v>
      </c>
      <c r="G659">
        <f t="shared" si="103"/>
        <v>413</v>
      </c>
      <c r="H659">
        <v>2022</v>
      </c>
      <c r="I659">
        <v>14</v>
      </c>
      <c r="J659">
        <v>68</v>
      </c>
      <c r="K659" t="s">
        <v>38</v>
      </c>
      <c r="L659">
        <v>95.28</v>
      </c>
      <c r="M659" t="s">
        <v>30</v>
      </c>
      <c r="N659">
        <v>105.88</v>
      </c>
      <c r="O659" t="s">
        <v>20</v>
      </c>
      <c r="P659">
        <f t="shared" si="104"/>
        <v>201.16</v>
      </c>
      <c r="Q659">
        <f t="shared" si="105"/>
        <v>10.599999999999994</v>
      </c>
      <c r="R659" t="str">
        <f t="shared" si="106"/>
        <v>Dave/Nolan</v>
      </c>
      <c r="S659" t="str">
        <f t="shared" si="107"/>
        <v>David/Marshall</v>
      </c>
      <c r="T659">
        <f t="shared" si="108"/>
        <v>105.88</v>
      </c>
      <c r="U659">
        <f t="shared" si="109"/>
        <v>95.28</v>
      </c>
    </row>
    <row r="660" spans="1:21" x14ac:dyDescent="0.3">
      <c r="A660">
        <v>659</v>
      </c>
      <c r="B660" t="str">
        <f>H660&amp;R660&amp;I660</f>
        <v>2022Graham/Michael14</v>
      </c>
      <c r="C660" t="str">
        <f>H660&amp;S660&amp;I660</f>
        <v>2022Drew/Cam14</v>
      </c>
      <c r="D660">
        <f t="shared" si="100"/>
        <v>459</v>
      </c>
      <c r="E660">
        <f t="shared" si="101"/>
        <v>540</v>
      </c>
      <c r="F660">
        <f t="shared" si="102"/>
        <v>558</v>
      </c>
      <c r="G660">
        <f t="shared" si="103"/>
        <v>484</v>
      </c>
      <c r="H660">
        <v>2022</v>
      </c>
      <c r="I660">
        <v>14</v>
      </c>
      <c r="J660">
        <v>69</v>
      </c>
      <c r="K660" t="s">
        <v>37</v>
      </c>
      <c r="L660">
        <v>91.36</v>
      </c>
      <c r="M660" t="s">
        <v>29</v>
      </c>
      <c r="N660">
        <v>111.76</v>
      </c>
      <c r="O660" t="s">
        <v>20</v>
      </c>
      <c r="P660">
        <f t="shared" si="104"/>
        <v>203.12</v>
      </c>
      <c r="Q660">
        <f t="shared" si="105"/>
        <v>20.400000000000006</v>
      </c>
      <c r="R660" t="str">
        <f t="shared" si="106"/>
        <v>Graham/Michael</v>
      </c>
      <c r="S660" t="str">
        <f t="shared" si="107"/>
        <v>Drew/Cam</v>
      </c>
      <c r="T660">
        <f t="shared" si="108"/>
        <v>111.76</v>
      </c>
      <c r="U660">
        <f t="shared" si="109"/>
        <v>91.36</v>
      </c>
    </row>
    <row r="661" spans="1:21" x14ac:dyDescent="0.3">
      <c r="A661">
        <v>660</v>
      </c>
      <c r="B661" t="str">
        <f>H661&amp;R661&amp;I661</f>
        <v>2022Clay/Ryan14</v>
      </c>
      <c r="C661" t="str">
        <f>H661&amp;S661&amp;I661</f>
        <v>2022Walker/Cory14</v>
      </c>
      <c r="D661">
        <f t="shared" si="100"/>
        <v>106</v>
      </c>
      <c r="E661">
        <f t="shared" si="101"/>
        <v>227</v>
      </c>
      <c r="F661">
        <f t="shared" si="102"/>
        <v>117</v>
      </c>
      <c r="G661">
        <f t="shared" si="103"/>
        <v>441</v>
      </c>
      <c r="H661">
        <v>2022</v>
      </c>
      <c r="I661">
        <v>14</v>
      </c>
      <c r="J661">
        <v>70</v>
      </c>
      <c r="K661" t="s">
        <v>35</v>
      </c>
      <c r="L661">
        <v>143.4</v>
      </c>
      <c r="M661" t="s">
        <v>36</v>
      </c>
      <c r="N661">
        <v>93.98</v>
      </c>
      <c r="O661" t="s">
        <v>20</v>
      </c>
      <c r="P661">
        <f t="shared" si="104"/>
        <v>237.38</v>
      </c>
      <c r="Q661">
        <f t="shared" si="105"/>
        <v>49.42</v>
      </c>
      <c r="R661" t="str">
        <f t="shared" si="106"/>
        <v>Clay/Ryan</v>
      </c>
      <c r="S661" t="str">
        <f t="shared" si="107"/>
        <v>Walker/Cory</v>
      </c>
      <c r="T661">
        <f t="shared" si="108"/>
        <v>143.4</v>
      </c>
      <c r="U661">
        <f t="shared" si="109"/>
        <v>93.98</v>
      </c>
    </row>
    <row r="662" spans="1:21" x14ac:dyDescent="0.3">
      <c r="A662">
        <v>661</v>
      </c>
      <c r="B662" t="str">
        <f>H662&amp;R662&amp;I662</f>
        <v>2023Graham/Michael1</v>
      </c>
      <c r="C662" t="str">
        <f>H662&amp;S662&amp;I662</f>
        <v>2023Dave/Nolan1</v>
      </c>
      <c r="D662">
        <f t="shared" si="100"/>
        <v>179</v>
      </c>
      <c r="E662">
        <f t="shared" si="101"/>
        <v>802</v>
      </c>
      <c r="F662">
        <f t="shared" si="102"/>
        <v>669</v>
      </c>
      <c r="G662">
        <f t="shared" si="103"/>
        <v>839</v>
      </c>
      <c r="H662">
        <v>2023</v>
      </c>
      <c r="I662">
        <v>1</v>
      </c>
      <c r="J662">
        <v>1</v>
      </c>
      <c r="K662" t="s">
        <v>30</v>
      </c>
      <c r="L662">
        <v>61.72</v>
      </c>
      <c r="M662" t="s">
        <v>29</v>
      </c>
      <c r="N662">
        <v>103.54</v>
      </c>
      <c r="O662" t="s">
        <v>20</v>
      </c>
      <c r="P662">
        <f t="shared" si="104"/>
        <v>165.26</v>
      </c>
      <c r="Q662">
        <f t="shared" si="105"/>
        <v>41.820000000000007</v>
      </c>
      <c r="R662" t="str">
        <f t="shared" si="106"/>
        <v>Graham/Michael</v>
      </c>
      <c r="S662" t="str">
        <f t="shared" si="107"/>
        <v>Dave/Nolan</v>
      </c>
      <c r="T662">
        <f t="shared" si="108"/>
        <v>103.54</v>
      </c>
      <c r="U662">
        <f t="shared" si="109"/>
        <v>61.72</v>
      </c>
    </row>
    <row r="663" spans="1:21" x14ac:dyDescent="0.3">
      <c r="A663">
        <v>662</v>
      </c>
      <c r="B663" t="str">
        <f>H663&amp;R663&amp;I663</f>
        <v>2023Pat/Tucker1</v>
      </c>
      <c r="C663" t="str">
        <f>H663&amp;S663&amp;I663</f>
        <v>2023Brian/Travis1</v>
      </c>
      <c r="D663">
        <f t="shared" si="100"/>
        <v>818</v>
      </c>
      <c r="E663">
        <f t="shared" si="101"/>
        <v>598</v>
      </c>
      <c r="F663">
        <f t="shared" si="102"/>
        <v>711</v>
      </c>
      <c r="G663">
        <f t="shared" si="103"/>
        <v>385</v>
      </c>
      <c r="H663">
        <v>2023</v>
      </c>
      <c r="I663">
        <v>1</v>
      </c>
      <c r="J663">
        <v>2</v>
      </c>
      <c r="K663" t="s">
        <v>32</v>
      </c>
      <c r="L663">
        <v>96.74</v>
      </c>
      <c r="M663" t="s">
        <v>31</v>
      </c>
      <c r="N663">
        <v>99.6</v>
      </c>
      <c r="O663" t="s">
        <v>20</v>
      </c>
      <c r="P663">
        <f t="shared" si="104"/>
        <v>196.33999999999997</v>
      </c>
      <c r="Q663">
        <f t="shared" si="105"/>
        <v>2.8599999999999994</v>
      </c>
      <c r="R663" t="str">
        <f t="shared" si="106"/>
        <v>Pat/Tucker</v>
      </c>
      <c r="S663" t="str">
        <f t="shared" si="107"/>
        <v>Brian/Travis</v>
      </c>
      <c r="T663">
        <f t="shared" si="108"/>
        <v>99.6</v>
      </c>
      <c r="U663">
        <f t="shared" si="109"/>
        <v>96.74</v>
      </c>
    </row>
    <row r="664" spans="1:21" x14ac:dyDescent="0.3">
      <c r="A664">
        <v>663</v>
      </c>
      <c r="B664" t="str">
        <f>H664&amp;R664&amp;I664</f>
        <v>2023Walker/Cory1</v>
      </c>
      <c r="C664" t="str">
        <f>H664&amp;S664&amp;I664</f>
        <v>2023Eric/Blake1</v>
      </c>
      <c r="D664">
        <f t="shared" si="100"/>
        <v>396</v>
      </c>
      <c r="E664">
        <f t="shared" si="101"/>
        <v>253</v>
      </c>
      <c r="F664">
        <f t="shared" si="102"/>
        <v>275</v>
      </c>
      <c r="G664">
        <f t="shared" si="103"/>
        <v>238</v>
      </c>
      <c r="H664">
        <v>2023</v>
      </c>
      <c r="I664">
        <v>1</v>
      </c>
      <c r="J664">
        <v>3</v>
      </c>
      <c r="K664" t="s">
        <v>34</v>
      </c>
      <c r="L664">
        <v>105.44</v>
      </c>
      <c r="M664" t="s">
        <v>36</v>
      </c>
      <c r="N664">
        <v>128.76</v>
      </c>
      <c r="O664" t="s">
        <v>20</v>
      </c>
      <c r="P664">
        <f t="shared" si="104"/>
        <v>234.2</v>
      </c>
      <c r="Q664">
        <f t="shared" si="105"/>
        <v>23.319999999999993</v>
      </c>
      <c r="R664" t="str">
        <f t="shared" si="106"/>
        <v>Walker/Cory</v>
      </c>
      <c r="S664" t="str">
        <f t="shared" si="107"/>
        <v>Eric/Blake</v>
      </c>
      <c r="T664">
        <f t="shared" si="108"/>
        <v>128.76</v>
      </c>
      <c r="U664">
        <f t="shared" si="109"/>
        <v>105.44</v>
      </c>
    </row>
    <row r="665" spans="1:21" x14ac:dyDescent="0.3">
      <c r="A665">
        <v>664</v>
      </c>
      <c r="B665" t="str">
        <f>H665&amp;R665&amp;I665</f>
        <v>2023Clay/Ryan1</v>
      </c>
      <c r="C665" t="str">
        <f>H665&amp;S665&amp;I665</f>
        <v>2023Trent/Colin1</v>
      </c>
      <c r="D665">
        <f t="shared" si="100"/>
        <v>523</v>
      </c>
      <c r="E665">
        <f t="shared" si="101"/>
        <v>651</v>
      </c>
      <c r="F665">
        <f t="shared" si="102"/>
        <v>673</v>
      </c>
      <c r="G665">
        <f t="shared" si="103"/>
        <v>574</v>
      </c>
      <c r="H665">
        <v>2023</v>
      </c>
      <c r="I665">
        <v>1</v>
      </c>
      <c r="J665">
        <v>4</v>
      </c>
      <c r="K665" t="s">
        <v>33</v>
      </c>
      <c r="L665">
        <v>87</v>
      </c>
      <c r="M665" t="s">
        <v>35</v>
      </c>
      <c r="N665">
        <v>103.48</v>
      </c>
      <c r="O665" t="s">
        <v>20</v>
      </c>
      <c r="P665">
        <f t="shared" si="104"/>
        <v>190.48000000000002</v>
      </c>
      <c r="Q665">
        <f t="shared" si="105"/>
        <v>16.480000000000004</v>
      </c>
      <c r="R665" t="str">
        <f t="shared" si="106"/>
        <v>Clay/Ryan</v>
      </c>
      <c r="S665" t="str">
        <f t="shared" si="107"/>
        <v>Trent/Colin</v>
      </c>
      <c r="T665">
        <f t="shared" si="108"/>
        <v>103.48</v>
      </c>
      <c r="U665">
        <f t="shared" si="109"/>
        <v>87</v>
      </c>
    </row>
    <row r="666" spans="1:21" x14ac:dyDescent="0.3">
      <c r="A666">
        <v>665</v>
      </c>
      <c r="B666" t="str">
        <f>H666&amp;R666&amp;I666</f>
        <v>2023Drew/Cam1</v>
      </c>
      <c r="C666" t="str">
        <f>H666&amp;S666&amp;I666</f>
        <v>2023David/Marshall1</v>
      </c>
      <c r="D666">
        <f t="shared" si="100"/>
        <v>670</v>
      </c>
      <c r="E666">
        <f t="shared" si="101"/>
        <v>665</v>
      </c>
      <c r="F666">
        <f t="shared" si="102"/>
        <v>721</v>
      </c>
      <c r="G666">
        <f t="shared" si="103"/>
        <v>519</v>
      </c>
      <c r="H666">
        <v>2023</v>
      </c>
      <c r="I666">
        <v>1</v>
      </c>
      <c r="J666">
        <v>5</v>
      </c>
      <c r="K666" t="s">
        <v>38</v>
      </c>
      <c r="L666">
        <v>89.56</v>
      </c>
      <c r="M666" t="s">
        <v>37</v>
      </c>
      <c r="N666">
        <v>98.84</v>
      </c>
      <c r="O666" t="s">
        <v>20</v>
      </c>
      <c r="P666">
        <f t="shared" si="104"/>
        <v>188.4</v>
      </c>
      <c r="Q666">
        <f t="shared" si="105"/>
        <v>9.2800000000000011</v>
      </c>
      <c r="R666" t="str">
        <f t="shared" si="106"/>
        <v>Drew/Cam</v>
      </c>
      <c r="S666" t="str">
        <f t="shared" si="107"/>
        <v>David/Marshall</v>
      </c>
      <c r="T666">
        <f t="shared" si="108"/>
        <v>98.84</v>
      </c>
      <c r="U666">
        <f t="shared" si="109"/>
        <v>89.56</v>
      </c>
    </row>
    <row r="667" spans="1:21" x14ac:dyDescent="0.3">
      <c r="A667">
        <v>666</v>
      </c>
      <c r="B667" t="str">
        <f>H667&amp;R667&amp;I667</f>
        <v>2023Walker/Cory2</v>
      </c>
      <c r="C667" t="str">
        <f>H667&amp;S667&amp;I667</f>
        <v>2023Graham/Michael2</v>
      </c>
      <c r="D667">
        <f t="shared" si="100"/>
        <v>847</v>
      </c>
      <c r="E667">
        <f t="shared" si="101"/>
        <v>662</v>
      </c>
      <c r="F667">
        <f t="shared" si="102"/>
        <v>770</v>
      </c>
      <c r="G667">
        <f t="shared" si="103"/>
        <v>445</v>
      </c>
      <c r="H667">
        <v>2023</v>
      </c>
      <c r="I667">
        <v>2</v>
      </c>
      <c r="J667">
        <v>6</v>
      </c>
      <c r="K667" t="s">
        <v>36</v>
      </c>
      <c r="L667">
        <v>94.9</v>
      </c>
      <c r="M667" t="s">
        <v>29</v>
      </c>
      <c r="N667">
        <v>93.74</v>
      </c>
      <c r="O667" t="s">
        <v>20</v>
      </c>
      <c r="P667">
        <f t="shared" si="104"/>
        <v>188.64</v>
      </c>
      <c r="Q667">
        <f t="shared" si="105"/>
        <v>1.1600000000000108</v>
      </c>
      <c r="R667" t="str">
        <f t="shared" si="106"/>
        <v>Walker/Cory</v>
      </c>
      <c r="S667" t="str">
        <f t="shared" si="107"/>
        <v>Graham/Michael</v>
      </c>
      <c r="T667">
        <f t="shared" si="108"/>
        <v>94.9</v>
      </c>
      <c r="U667">
        <f t="shared" si="109"/>
        <v>93.74</v>
      </c>
    </row>
    <row r="668" spans="1:21" x14ac:dyDescent="0.3">
      <c r="A668">
        <v>667</v>
      </c>
      <c r="B668" t="str">
        <f>H668&amp;R668&amp;I668</f>
        <v>2023Eric/Blake2</v>
      </c>
      <c r="C668" t="str">
        <f>H668&amp;S668&amp;I668</f>
        <v>2023Trent/Colin2</v>
      </c>
      <c r="D668">
        <f t="shared" si="100"/>
        <v>855</v>
      </c>
      <c r="E668">
        <f t="shared" si="101"/>
        <v>115</v>
      </c>
      <c r="F668">
        <f t="shared" si="102"/>
        <v>303</v>
      </c>
      <c r="G668">
        <f t="shared" si="103"/>
        <v>37</v>
      </c>
      <c r="H668">
        <v>2023</v>
      </c>
      <c r="I668">
        <v>2</v>
      </c>
      <c r="J668">
        <v>7</v>
      </c>
      <c r="K668" t="s">
        <v>33</v>
      </c>
      <c r="L668">
        <v>126.42</v>
      </c>
      <c r="M668" t="s">
        <v>34</v>
      </c>
      <c r="N668">
        <v>127.16</v>
      </c>
      <c r="O668" t="s">
        <v>20</v>
      </c>
      <c r="P668">
        <f t="shared" si="104"/>
        <v>253.57999999999998</v>
      </c>
      <c r="Q668">
        <f t="shared" si="105"/>
        <v>0.73999999999999488</v>
      </c>
      <c r="R668" t="str">
        <f t="shared" si="106"/>
        <v>Eric/Blake</v>
      </c>
      <c r="S668" t="str">
        <f t="shared" si="107"/>
        <v>Trent/Colin</v>
      </c>
      <c r="T668">
        <f t="shared" si="108"/>
        <v>127.16</v>
      </c>
      <c r="U668">
        <f t="shared" si="109"/>
        <v>126.42</v>
      </c>
    </row>
    <row r="669" spans="1:21" x14ac:dyDescent="0.3">
      <c r="A669">
        <v>668</v>
      </c>
      <c r="B669" t="str">
        <f>H669&amp;R669&amp;I669</f>
        <v>2023Dave/Nolan2</v>
      </c>
      <c r="C669" t="str">
        <f>H669&amp;S669&amp;I669</f>
        <v>2023Pat/Tucker2</v>
      </c>
      <c r="D669">
        <f t="shared" si="100"/>
        <v>648</v>
      </c>
      <c r="E669">
        <f t="shared" si="101"/>
        <v>269</v>
      </c>
      <c r="F669">
        <f t="shared" si="102"/>
        <v>411</v>
      </c>
      <c r="G669">
        <f t="shared" si="103"/>
        <v>171</v>
      </c>
      <c r="H669">
        <v>2023</v>
      </c>
      <c r="I669">
        <v>2</v>
      </c>
      <c r="J669">
        <v>8</v>
      </c>
      <c r="K669" t="s">
        <v>31</v>
      </c>
      <c r="L669">
        <v>110.64</v>
      </c>
      <c r="M669" t="s">
        <v>30</v>
      </c>
      <c r="N669">
        <v>121</v>
      </c>
      <c r="O669" t="s">
        <v>20</v>
      </c>
      <c r="P669">
        <f t="shared" si="104"/>
        <v>231.64</v>
      </c>
      <c r="Q669">
        <f t="shared" si="105"/>
        <v>10.36</v>
      </c>
      <c r="R669" t="str">
        <f t="shared" si="106"/>
        <v>Dave/Nolan</v>
      </c>
      <c r="S669" t="str">
        <f t="shared" si="107"/>
        <v>Pat/Tucker</v>
      </c>
      <c r="T669">
        <f t="shared" si="108"/>
        <v>121</v>
      </c>
      <c r="U669">
        <f t="shared" si="109"/>
        <v>110.64</v>
      </c>
    </row>
    <row r="670" spans="1:21" x14ac:dyDescent="0.3">
      <c r="A670">
        <v>669</v>
      </c>
      <c r="B670" t="str">
        <f>H670&amp;R670&amp;I670</f>
        <v>2023David/Marshall2</v>
      </c>
      <c r="C670" t="str">
        <f>H670&amp;S670&amp;I670</f>
        <v>2023Brian/Travis2</v>
      </c>
      <c r="D670">
        <f t="shared" si="100"/>
        <v>768</v>
      </c>
      <c r="E670">
        <f t="shared" si="101"/>
        <v>728</v>
      </c>
      <c r="F670">
        <f t="shared" si="102"/>
        <v>794</v>
      </c>
      <c r="G670">
        <f t="shared" si="103"/>
        <v>554</v>
      </c>
      <c r="H670">
        <v>2023</v>
      </c>
      <c r="I670">
        <v>2</v>
      </c>
      <c r="J670">
        <v>9</v>
      </c>
      <c r="K670" t="s">
        <v>32</v>
      </c>
      <c r="L670">
        <v>87.7</v>
      </c>
      <c r="M670" t="s">
        <v>38</v>
      </c>
      <c r="N670">
        <v>92.88</v>
      </c>
      <c r="O670" t="s">
        <v>20</v>
      </c>
      <c r="P670">
        <f t="shared" si="104"/>
        <v>180.57999999999998</v>
      </c>
      <c r="Q670">
        <f t="shared" si="105"/>
        <v>5.1799999999999926</v>
      </c>
      <c r="R670" t="str">
        <f t="shared" si="106"/>
        <v>David/Marshall</v>
      </c>
      <c r="S670" t="str">
        <f t="shared" si="107"/>
        <v>Brian/Travis</v>
      </c>
      <c r="T670">
        <f t="shared" si="108"/>
        <v>92.88</v>
      </c>
      <c r="U670">
        <f t="shared" si="109"/>
        <v>87.7</v>
      </c>
    </row>
    <row r="671" spans="1:21" x14ac:dyDescent="0.3">
      <c r="A671">
        <v>670</v>
      </c>
      <c r="B671" t="str">
        <f>H671&amp;R671&amp;I671</f>
        <v>2023Drew/Cam2</v>
      </c>
      <c r="C671" t="str">
        <f>H671&amp;S671&amp;I671</f>
        <v>2023Clay/Ryan2</v>
      </c>
      <c r="D671">
        <f t="shared" si="100"/>
        <v>100</v>
      </c>
      <c r="E671">
        <f t="shared" si="101"/>
        <v>178</v>
      </c>
      <c r="F671">
        <f t="shared" si="102"/>
        <v>96</v>
      </c>
      <c r="G671">
        <f t="shared" si="103"/>
        <v>387</v>
      </c>
      <c r="H671">
        <v>2023</v>
      </c>
      <c r="I671">
        <v>2</v>
      </c>
      <c r="J671">
        <v>10</v>
      </c>
      <c r="K671" t="s">
        <v>35</v>
      </c>
      <c r="L671">
        <v>96.68</v>
      </c>
      <c r="M671" t="s">
        <v>37</v>
      </c>
      <c r="N671">
        <v>146.84</v>
      </c>
      <c r="O671" t="s">
        <v>20</v>
      </c>
      <c r="P671">
        <f t="shared" si="104"/>
        <v>243.52</v>
      </c>
      <c r="Q671">
        <f t="shared" si="105"/>
        <v>50.16</v>
      </c>
      <c r="R671" t="str">
        <f t="shared" si="106"/>
        <v>Drew/Cam</v>
      </c>
      <c r="S671" t="str">
        <f t="shared" si="107"/>
        <v>Clay/Ryan</v>
      </c>
      <c r="T671">
        <f t="shared" si="108"/>
        <v>146.84</v>
      </c>
      <c r="U671">
        <f t="shared" si="109"/>
        <v>96.68</v>
      </c>
    </row>
    <row r="672" spans="1:21" x14ac:dyDescent="0.3">
      <c r="A672">
        <v>671</v>
      </c>
      <c r="B672" t="str">
        <f>H672&amp;R672&amp;I672</f>
        <v>2023Graham/Michael3</v>
      </c>
      <c r="C672" t="str">
        <f>H672&amp;S672&amp;I672</f>
        <v>2023Eric/Blake3</v>
      </c>
      <c r="D672">
        <f t="shared" si="100"/>
        <v>366</v>
      </c>
      <c r="E672">
        <f t="shared" si="101"/>
        <v>1</v>
      </c>
      <c r="F672">
        <f t="shared" si="102"/>
        <v>3</v>
      </c>
      <c r="G672">
        <f t="shared" si="103"/>
        <v>2</v>
      </c>
      <c r="H672">
        <v>2023</v>
      </c>
      <c r="I672">
        <v>3</v>
      </c>
      <c r="J672">
        <v>11</v>
      </c>
      <c r="K672" t="s">
        <v>29</v>
      </c>
      <c r="L672">
        <v>181.66</v>
      </c>
      <c r="M672" t="s">
        <v>34</v>
      </c>
      <c r="N672">
        <v>156.18</v>
      </c>
      <c r="O672" t="s">
        <v>20</v>
      </c>
      <c r="P672">
        <f t="shared" si="104"/>
        <v>337.84000000000003</v>
      </c>
      <c r="Q672">
        <f t="shared" si="105"/>
        <v>25.47999999999999</v>
      </c>
      <c r="R672" t="str">
        <f t="shared" si="106"/>
        <v>Graham/Michael</v>
      </c>
      <c r="S672" t="str">
        <f t="shared" si="107"/>
        <v>Eric/Blake</v>
      </c>
      <c r="T672">
        <f t="shared" si="108"/>
        <v>181.66</v>
      </c>
      <c r="U672">
        <f t="shared" si="109"/>
        <v>156.18</v>
      </c>
    </row>
    <row r="673" spans="1:21" x14ac:dyDescent="0.3">
      <c r="A673">
        <v>672</v>
      </c>
      <c r="B673" t="str">
        <f>H673&amp;R673&amp;I673</f>
        <v>2023Dave/Nolan3</v>
      </c>
      <c r="C673" t="str">
        <f>H673&amp;S673&amp;I673</f>
        <v>2023David/Marshall3</v>
      </c>
      <c r="D673">
        <f t="shared" si="100"/>
        <v>140</v>
      </c>
      <c r="E673">
        <f t="shared" si="101"/>
        <v>377</v>
      </c>
      <c r="F673">
        <f t="shared" si="102"/>
        <v>222</v>
      </c>
      <c r="G673">
        <f t="shared" si="103"/>
        <v>551</v>
      </c>
      <c r="H673">
        <v>2023</v>
      </c>
      <c r="I673">
        <v>3</v>
      </c>
      <c r="J673">
        <v>12</v>
      </c>
      <c r="K673" t="s">
        <v>38</v>
      </c>
      <c r="L673">
        <v>87.88</v>
      </c>
      <c r="M673" t="s">
        <v>30</v>
      </c>
      <c r="N673">
        <v>132.78</v>
      </c>
      <c r="O673" t="s">
        <v>20</v>
      </c>
      <c r="P673">
        <f t="shared" si="104"/>
        <v>220.66</v>
      </c>
      <c r="Q673">
        <f t="shared" si="105"/>
        <v>44.900000000000006</v>
      </c>
      <c r="R673" t="str">
        <f t="shared" si="106"/>
        <v>Dave/Nolan</v>
      </c>
      <c r="S673" t="str">
        <f t="shared" si="107"/>
        <v>David/Marshall</v>
      </c>
      <c r="T673">
        <f t="shared" si="108"/>
        <v>132.78</v>
      </c>
      <c r="U673">
        <f t="shared" si="109"/>
        <v>87.88</v>
      </c>
    </row>
    <row r="674" spans="1:21" x14ac:dyDescent="0.3">
      <c r="A674">
        <v>673</v>
      </c>
      <c r="B674" t="str">
        <f>H674&amp;R674&amp;I674</f>
        <v>2023Trent/Colin3</v>
      </c>
      <c r="C674" t="str">
        <f>H674&amp;S674&amp;I674</f>
        <v>2023Drew/Cam3</v>
      </c>
      <c r="D674">
        <f t="shared" si="100"/>
        <v>545</v>
      </c>
      <c r="E674">
        <f t="shared" si="101"/>
        <v>669</v>
      </c>
      <c r="F674">
        <f t="shared" si="102"/>
        <v>698</v>
      </c>
      <c r="G674">
        <f t="shared" si="103"/>
        <v>597</v>
      </c>
      <c r="H674">
        <v>2023</v>
      </c>
      <c r="I674">
        <v>3</v>
      </c>
      <c r="J674">
        <v>13</v>
      </c>
      <c r="K674" t="s">
        <v>37</v>
      </c>
      <c r="L674">
        <v>86.26</v>
      </c>
      <c r="M674" t="s">
        <v>33</v>
      </c>
      <c r="N674">
        <v>101.48</v>
      </c>
      <c r="O674" t="s">
        <v>20</v>
      </c>
      <c r="P674">
        <f t="shared" si="104"/>
        <v>187.74</v>
      </c>
      <c r="Q674">
        <f t="shared" si="105"/>
        <v>15.219999999999999</v>
      </c>
      <c r="R674" t="str">
        <f t="shared" si="106"/>
        <v>Trent/Colin</v>
      </c>
      <c r="S674" t="str">
        <f t="shared" si="107"/>
        <v>Drew/Cam</v>
      </c>
      <c r="T674">
        <f t="shared" si="108"/>
        <v>101.48</v>
      </c>
      <c r="U674">
        <f t="shared" si="109"/>
        <v>86.26</v>
      </c>
    </row>
    <row r="675" spans="1:21" x14ac:dyDescent="0.3">
      <c r="A675">
        <v>674</v>
      </c>
      <c r="B675" t="str">
        <f>H675&amp;R675&amp;I675</f>
        <v>2023Pat/Tucker3</v>
      </c>
      <c r="C675" t="str">
        <f>H675&amp;S675&amp;I675</f>
        <v>2023Walker/Cory3</v>
      </c>
      <c r="D675">
        <f t="shared" si="100"/>
        <v>711</v>
      </c>
      <c r="E675">
        <f t="shared" si="101"/>
        <v>217</v>
      </c>
      <c r="F675">
        <f t="shared" si="102"/>
        <v>384</v>
      </c>
      <c r="G675">
        <f t="shared" si="103"/>
        <v>123</v>
      </c>
      <c r="H675">
        <v>2023</v>
      </c>
      <c r="I675">
        <v>3</v>
      </c>
      <c r="J675">
        <v>14</v>
      </c>
      <c r="K675" t="s">
        <v>36</v>
      </c>
      <c r="L675">
        <v>115.2</v>
      </c>
      <c r="M675" t="s">
        <v>31</v>
      </c>
      <c r="N675">
        <v>122.7</v>
      </c>
      <c r="O675" t="s">
        <v>20</v>
      </c>
      <c r="P675">
        <f t="shared" si="104"/>
        <v>237.9</v>
      </c>
      <c r="Q675">
        <f t="shared" si="105"/>
        <v>7.5</v>
      </c>
      <c r="R675" t="str">
        <f t="shared" si="106"/>
        <v>Pat/Tucker</v>
      </c>
      <c r="S675" t="str">
        <f t="shared" si="107"/>
        <v>Walker/Cory</v>
      </c>
      <c r="T675">
        <f t="shared" si="108"/>
        <v>122.7</v>
      </c>
      <c r="U675">
        <f t="shared" si="109"/>
        <v>115.2</v>
      </c>
    </row>
    <row r="676" spans="1:21" x14ac:dyDescent="0.3">
      <c r="A676">
        <v>675</v>
      </c>
      <c r="B676" t="str">
        <f>H676&amp;R676&amp;I676</f>
        <v>2023Brian/Travis3</v>
      </c>
      <c r="C676" t="str">
        <f>H676&amp;S676&amp;I676</f>
        <v>2023Clay/Ryan3</v>
      </c>
      <c r="D676">
        <f t="shared" si="100"/>
        <v>256</v>
      </c>
      <c r="E676">
        <f t="shared" si="101"/>
        <v>605</v>
      </c>
      <c r="F676">
        <f t="shared" si="102"/>
        <v>517</v>
      </c>
      <c r="G676">
        <f t="shared" si="103"/>
        <v>675</v>
      </c>
      <c r="H676">
        <v>2023</v>
      </c>
      <c r="I676">
        <v>3</v>
      </c>
      <c r="J676">
        <v>15</v>
      </c>
      <c r="K676" t="s">
        <v>35</v>
      </c>
      <c r="L676">
        <v>80.760000000000005</v>
      </c>
      <c r="M676" t="s">
        <v>32</v>
      </c>
      <c r="N676">
        <v>114.48</v>
      </c>
      <c r="O676" t="s">
        <v>20</v>
      </c>
      <c r="P676">
        <f t="shared" si="104"/>
        <v>195.24</v>
      </c>
      <c r="Q676">
        <f t="shared" si="105"/>
        <v>33.72</v>
      </c>
      <c r="R676" t="str">
        <f t="shared" si="106"/>
        <v>Brian/Travis</v>
      </c>
      <c r="S676" t="str">
        <f t="shared" si="107"/>
        <v>Clay/Ryan</v>
      </c>
      <c r="T676">
        <f t="shared" si="108"/>
        <v>114.48</v>
      </c>
      <c r="U676">
        <f t="shared" si="109"/>
        <v>80.760000000000005</v>
      </c>
    </row>
    <row r="677" spans="1:21" x14ac:dyDescent="0.3">
      <c r="A677">
        <v>676</v>
      </c>
      <c r="B677" t="str">
        <f>H677&amp;R677&amp;I677</f>
        <v>2023Graham/Michael4</v>
      </c>
      <c r="C677" t="str">
        <f>H677&amp;S677&amp;I677</f>
        <v>2023Drew/Cam4</v>
      </c>
      <c r="D677">
        <f t="shared" si="100"/>
        <v>591</v>
      </c>
      <c r="E677">
        <f t="shared" si="101"/>
        <v>370</v>
      </c>
      <c r="F677">
        <f t="shared" si="102"/>
        <v>473</v>
      </c>
      <c r="G677">
        <f t="shared" si="103"/>
        <v>248</v>
      </c>
      <c r="H677">
        <v>2023</v>
      </c>
      <c r="I677">
        <v>4</v>
      </c>
      <c r="J677">
        <v>16</v>
      </c>
      <c r="K677" t="s">
        <v>37</v>
      </c>
      <c r="L677">
        <v>104.38</v>
      </c>
      <c r="M677" t="s">
        <v>29</v>
      </c>
      <c r="N677">
        <v>117.08</v>
      </c>
      <c r="O677" t="s">
        <v>20</v>
      </c>
      <c r="P677">
        <f t="shared" si="104"/>
        <v>221.45999999999998</v>
      </c>
      <c r="Q677">
        <f t="shared" si="105"/>
        <v>12.700000000000003</v>
      </c>
      <c r="R677" t="str">
        <f t="shared" si="106"/>
        <v>Graham/Michael</v>
      </c>
      <c r="S677" t="str">
        <f t="shared" si="107"/>
        <v>Drew/Cam</v>
      </c>
      <c r="T677">
        <f t="shared" si="108"/>
        <v>117.08</v>
      </c>
      <c r="U677">
        <f t="shared" si="109"/>
        <v>104.38</v>
      </c>
    </row>
    <row r="678" spans="1:21" x14ac:dyDescent="0.3">
      <c r="A678">
        <v>677</v>
      </c>
      <c r="B678" t="str">
        <f>H678&amp;R678&amp;I678</f>
        <v>2023Walker/Cory4</v>
      </c>
      <c r="C678" t="str">
        <f>H678&amp;S678&amp;I678</f>
        <v>2023Dave/Nolan4</v>
      </c>
      <c r="D678">
        <f t="shared" si="100"/>
        <v>245</v>
      </c>
      <c r="E678">
        <f t="shared" si="101"/>
        <v>841</v>
      </c>
      <c r="F678">
        <f t="shared" si="102"/>
        <v>787</v>
      </c>
      <c r="G678">
        <f t="shared" si="103"/>
        <v>851</v>
      </c>
      <c r="H678">
        <v>2023</v>
      </c>
      <c r="I678">
        <v>4</v>
      </c>
      <c r="J678">
        <v>17</v>
      </c>
      <c r="K678" t="s">
        <v>30</v>
      </c>
      <c r="L678">
        <v>58.76</v>
      </c>
      <c r="M678" t="s">
        <v>36</v>
      </c>
      <c r="N678">
        <v>93.58</v>
      </c>
      <c r="O678" t="s">
        <v>20</v>
      </c>
      <c r="P678">
        <f t="shared" si="104"/>
        <v>152.34</v>
      </c>
      <c r="Q678">
        <f t="shared" si="105"/>
        <v>34.82</v>
      </c>
      <c r="R678" t="str">
        <f t="shared" si="106"/>
        <v>Walker/Cory</v>
      </c>
      <c r="S678" t="str">
        <f t="shared" si="107"/>
        <v>Dave/Nolan</v>
      </c>
      <c r="T678">
        <f t="shared" si="108"/>
        <v>93.58</v>
      </c>
      <c r="U678">
        <f t="shared" si="109"/>
        <v>58.76</v>
      </c>
    </row>
    <row r="679" spans="1:21" x14ac:dyDescent="0.3">
      <c r="A679">
        <v>678</v>
      </c>
      <c r="B679" t="str">
        <f>H679&amp;R679&amp;I679</f>
        <v>2023David/Marshall4</v>
      </c>
      <c r="C679" t="str">
        <f>H679&amp;S679&amp;I679</f>
        <v>2023Clay/Ryan4</v>
      </c>
      <c r="D679">
        <f t="shared" si="100"/>
        <v>130</v>
      </c>
      <c r="E679">
        <f t="shared" si="101"/>
        <v>25</v>
      </c>
      <c r="F679">
        <f t="shared" si="102"/>
        <v>30</v>
      </c>
      <c r="G679">
        <f t="shared" si="103"/>
        <v>106</v>
      </c>
      <c r="H679">
        <v>2023</v>
      </c>
      <c r="I679">
        <v>4</v>
      </c>
      <c r="J679">
        <v>18</v>
      </c>
      <c r="K679" t="s">
        <v>38</v>
      </c>
      <c r="L679">
        <v>162.94</v>
      </c>
      <c r="M679" t="s">
        <v>35</v>
      </c>
      <c r="N679">
        <v>116.94</v>
      </c>
      <c r="O679" t="s">
        <v>20</v>
      </c>
      <c r="P679">
        <f t="shared" si="104"/>
        <v>279.88</v>
      </c>
      <c r="Q679">
        <f t="shared" si="105"/>
        <v>46</v>
      </c>
      <c r="R679" t="str">
        <f t="shared" si="106"/>
        <v>David/Marshall</v>
      </c>
      <c r="S679" t="str">
        <f t="shared" si="107"/>
        <v>Clay/Ryan</v>
      </c>
      <c r="T679">
        <f t="shared" si="108"/>
        <v>162.94</v>
      </c>
      <c r="U679">
        <f t="shared" si="109"/>
        <v>116.94</v>
      </c>
    </row>
    <row r="680" spans="1:21" x14ac:dyDescent="0.3">
      <c r="A680">
        <v>679</v>
      </c>
      <c r="B680" t="str">
        <f>H680&amp;R680&amp;I680</f>
        <v>2023Pat/Tucker4</v>
      </c>
      <c r="C680" t="str">
        <f>H680&amp;S680&amp;I680</f>
        <v>2023Eric/Blake4</v>
      </c>
      <c r="D680">
        <f t="shared" si="100"/>
        <v>421</v>
      </c>
      <c r="E680">
        <f t="shared" si="101"/>
        <v>383</v>
      </c>
      <c r="F680">
        <f t="shared" si="102"/>
        <v>409</v>
      </c>
      <c r="G680">
        <f t="shared" si="103"/>
        <v>352</v>
      </c>
      <c r="H680">
        <v>2023</v>
      </c>
      <c r="I680">
        <v>4</v>
      </c>
      <c r="J680">
        <v>19</v>
      </c>
      <c r="K680" t="s">
        <v>34</v>
      </c>
      <c r="L680">
        <v>98.9</v>
      </c>
      <c r="M680" t="s">
        <v>31</v>
      </c>
      <c r="N680">
        <v>121.12</v>
      </c>
      <c r="O680" t="s">
        <v>20</v>
      </c>
      <c r="P680">
        <f t="shared" si="104"/>
        <v>220.02</v>
      </c>
      <c r="Q680">
        <f t="shared" si="105"/>
        <v>22.22</v>
      </c>
      <c r="R680" t="str">
        <f t="shared" si="106"/>
        <v>Pat/Tucker</v>
      </c>
      <c r="S680" t="str">
        <f t="shared" si="107"/>
        <v>Eric/Blake</v>
      </c>
      <c r="T680">
        <f t="shared" si="108"/>
        <v>121.12</v>
      </c>
      <c r="U680">
        <f t="shared" si="109"/>
        <v>98.9</v>
      </c>
    </row>
    <row r="681" spans="1:21" x14ac:dyDescent="0.3">
      <c r="A681">
        <v>680</v>
      </c>
      <c r="B681" t="str">
        <f>H681&amp;R681&amp;I681</f>
        <v>2023Trent/Colin4</v>
      </c>
      <c r="C681" t="str">
        <f>H681&amp;S681&amp;I681</f>
        <v>2023Brian/Travis4</v>
      </c>
      <c r="D681">
        <f t="shared" si="100"/>
        <v>73</v>
      </c>
      <c r="E681">
        <f t="shared" si="101"/>
        <v>186</v>
      </c>
      <c r="F681">
        <f t="shared" si="102"/>
        <v>78</v>
      </c>
      <c r="G681">
        <f t="shared" si="103"/>
        <v>443</v>
      </c>
      <c r="H681">
        <v>2023</v>
      </c>
      <c r="I681">
        <v>4</v>
      </c>
      <c r="J681">
        <v>20</v>
      </c>
      <c r="K681" t="s">
        <v>33</v>
      </c>
      <c r="L681">
        <v>148.76</v>
      </c>
      <c r="M681" t="s">
        <v>32</v>
      </c>
      <c r="N681">
        <v>93.82</v>
      </c>
      <c r="O681" t="s">
        <v>20</v>
      </c>
      <c r="P681">
        <f t="shared" si="104"/>
        <v>242.57999999999998</v>
      </c>
      <c r="Q681">
        <f t="shared" si="105"/>
        <v>54.94</v>
      </c>
      <c r="R681" t="str">
        <f t="shared" si="106"/>
        <v>Trent/Colin</v>
      </c>
      <c r="S681" t="str">
        <f t="shared" si="107"/>
        <v>Brian/Travis</v>
      </c>
      <c r="T681">
        <f t="shared" si="108"/>
        <v>148.76</v>
      </c>
      <c r="U681">
        <f t="shared" si="109"/>
        <v>93.82</v>
      </c>
    </row>
    <row r="682" spans="1:21" x14ac:dyDescent="0.3">
      <c r="A682">
        <v>681</v>
      </c>
      <c r="B682" t="str">
        <f>H682&amp;R682&amp;I682</f>
        <v>2023Graham/Michael5</v>
      </c>
      <c r="C682" t="str">
        <f>H682&amp;S682&amp;I682</f>
        <v>2023Pat/Tucker5</v>
      </c>
      <c r="D682">
        <f t="shared" si="100"/>
        <v>79</v>
      </c>
      <c r="E682">
        <f t="shared" si="101"/>
        <v>575</v>
      </c>
      <c r="F682">
        <f t="shared" si="102"/>
        <v>317</v>
      </c>
      <c r="G682">
        <f t="shared" si="103"/>
        <v>772</v>
      </c>
      <c r="H682">
        <v>2023</v>
      </c>
      <c r="I682">
        <v>5</v>
      </c>
      <c r="J682">
        <v>21</v>
      </c>
      <c r="K682" t="s">
        <v>31</v>
      </c>
      <c r="L682">
        <v>72.64</v>
      </c>
      <c r="M682" t="s">
        <v>29</v>
      </c>
      <c r="N682">
        <v>126.32</v>
      </c>
      <c r="O682" t="s">
        <v>20</v>
      </c>
      <c r="P682">
        <f t="shared" si="104"/>
        <v>198.95999999999998</v>
      </c>
      <c r="Q682">
        <f t="shared" si="105"/>
        <v>53.679999999999993</v>
      </c>
      <c r="R682" t="str">
        <f t="shared" si="106"/>
        <v>Graham/Michael</v>
      </c>
      <c r="S682" t="str">
        <f t="shared" si="107"/>
        <v>Pat/Tucker</v>
      </c>
      <c r="T682">
        <f t="shared" si="108"/>
        <v>126.32</v>
      </c>
      <c r="U682">
        <f t="shared" si="109"/>
        <v>72.64</v>
      </c>
    </row>
    <row r="683" spans="1:21" x14ac:dyDescent="0.3">
      <c r="A683">
        <v>682</v>
      </c>
      <c r="B683" t="str">
        <f>H683&amp;R683&amp;I683</f>
        <v>2023Walker/Cory5</v>
      </c>
      <c r="C683" t="str">
        <f>H683&amp;S683&amp;I683</f>
        <v>2023Clay/Ryan5</v>
      </c>
      <c r="D683">
        <f t="shared" si="100"/>
        <v>630</v>
      </c>
      <c r="E683">
        <f t="shared" si="101"/>
        <v>827</v>
      </c>
      <c r="F683">
        <f t="shared" si="102"/>
        <v>840</v>
      </c>
      <c r="G683">
        <f t="shared" si="103"/>
        <v>752</v>
      </c>
      <c r="H683">
        <v>2023</v>
      </c>
      <c r="I683">
        <v>5</v>
      </c>
      <c r="J683">
        <v>22</v>
      </c>
      <c r="K683" t="s">
        <v>35</v>
      </c>
      <c r="L683">
        <v>73.98</v>
      </c>
      <c r="M683" t="s">
        <v>36</v>
      </c>
      <c r="N683">
        <v>84.92</v>
      </c>
      <c r="O683" t="s">
        <v>20</v>
      </c>
      <c r="P683">
        <f t="shared" si="104"/>
        <v>158.9</v>
      </c>
      <c r="Q683">
        <f t="shared" si="105"/>
        <v>10.939999999999998</v>
      </c>
      <c r="R683" t="str">
        <f t="shared" si="106"/>
        <v>Walker/Cory</v>
      </c>
      <c r="S683" t="str">
        <f t="shared" si="107"/>
        <v>Clay/Ryan</v>
      </c>
      <c r="T683">
        <f t="shared" si="108"/>
        <v>84.92</v>
      </c>
      <c r="U683">
        <f t="shared" si="109"/>
        <v>73.98</v>
      </c>
    </row>
    <row r="684" spans="1:21" x14ac:dyDescent="0.3">
      <c r="A684">
        <v>683</v>
      </c>
      <c r="B684" t="str">
        <f>H684&amp;R684&amp;I684</f>
        <v>2023Brian/Travis5</v>
      </c>
      <c r="C684" t="str">
        <f>H684&amp;S684&amp;I684</f>
        <v>2023Drew/Cam5</v>
      </c>
      <c r="D684">
        <f t="shared" si="100"/>
        <v>388</v>
      </c>
      <c r="E684">
        <f t="shared" si="101"/>
        <v>93</v>
      </c>
      <c r="F684">
        <f t="shared" si="102"/>
        <v>132</v>
      </c>
      <c r="G684">
        <f t="shared" si="103"/>
        <v>107</v>
      </c>
      <c r="H684">
        <v>2023</v>
      </c>
      <c r="I684">
        <v>5</v>
      </c>
      <c r="J684">
        <v>23</v>
      </c>
      <c r="K684" t="s">
        <v>32</v>
      </c>
      <c r="L684">
        <v>140.54</v>
      </c>
      <c r="M684" t="s">
        <v>37</v>
      </c>
      <c r="N684">
        <v>116.68</v>
      </c>
      <c r="O684" t="s">
        <v>20</v>
      </c>
      <c r="P684">
        <f t="shared" si="104"/>
        <v>257.22000000000003</v>
      </c>
      <c r="Q684">
        <f t="shared" si="105"/>
        <v>23.859999999999985</v>
      </c>
      <c r="R684" t="str">
        <f t="shared" si="106"/>
        <v>Brian/Travis</v>
      </c>
      <c r="S684" t="str">
        <f t="shared" si="107"/>
        <v>Drew/Cam</v>
      </c>
      <c r="T684">
        <f t="shared" si="108"/>
        <v>140.54</v>
      </c>
      <c r="U684">
        <f t="shared" si="109"/>
        <v>116.68</v>
      </c>
    </row>
    <row r="685" spans="1:21" x14ac:dyDescent="0.3">
      <c r="A685">
        <v>684</v>
      </c>
      <c r="B685" t="str">
        <f>H685&amp;R685&amp;I685</f>
        <v>2023Dave/Nolan5</v>
      </c>
      <c r="C685" t="str">
        <f>H685&amp;S685&amp;I685</f>
        <v>2023Eric/Blake5</v>
      </c>
      <c r="D685">
        <f t="shared" si="100"/>
        <v>118</v>
      </c>
      <c r="E685">
        <f t="shared" si="101"/>
        <v>72</v>
      </c>
      <c r="F685">
        <f t="shared" si="102"/>
        <v>44</v>
      </c>
      <c r="G685">
        <f t="shared" si="103"/>
        <v>204</v>
      </c>
      <c r="H685">
        <v>2023</v>
      </c>
      <c r="I685">
        <v>5</v>
      </c>
      <c r="J685">
        <v>24</v>
      </c>
      <c r="K685" t="s">
        <v>34</v>
      </c>
      <c r="L685">
        <v>108.06</v>
      </c>
      <c r="M685" t="s">
        <v>30</v>
      </c>
      <c r="N685">
        <v>155.96</v>
      </c>
      <c r="O685" t="s">
        <v>20</v>
      </c>
      <c r="P685">
        <f t="shared" si="104"/>
        <v>264.02</v>
      </c>
      <c r="Q685">
        <f t="shared" si="105"/>
        <v>47.900000000000006</v>
      </c>
      <c r="R685" t="str">
        <f t="shared" si="106"/>
        <v>Dave/Nolan</v>
      </c>
      <c r="S685" t="str">
        <f t="shared" si="107"/>
        <v>Eric/Blake</v>
      </c>
      <c r="T685">
        <f t="shared" si="108"/>
        <v>155.96</v>
      </c>
      <c r="U685">
        <f t="shared" si="109"/>
        <v>108.06</v>
      </c>
    </row>
    <row r="686" spans="1:21" x14ac:dyDescent="0.3">
      <c r="A686">
        <v>685</v>
      </c>
      <c r="B686" t="str">
        <f>H686&amp;R686&amp;I686</f>
        <v>2023Trent/Colin5</v>
      </c>
      <c r="C686" t="str">
        <f>H686&amp;S686&amp;I686</f>
        <v>2023David/Marshall5</v>
      </c>
      <c r="D686">
        <f t="shared" si="100"/>
        <v>549</v>
      </c>
      <c r="E686">
        <f t="shared" si="101"/>
        <v>171</v>
      </c>
      <c r="F686">
        <f t="shared" si="102"/>
        <v>263</v>
      </c>
      <c r="G686">
        <f t="shared" si="103"/>
        <v>130</v>
      </c>
      <c r="H686">
        <v>2023</v>
      </c>
      <c r="I686">
        <v>5</v>
      </c>
      <c r="J686">
        <v>25</v>
      </c>
      <c r="K686" t="s">
        <v>33</v>
      </c>
      <c r="L686">
        <v>129.52000000000001</v>
      </c>
      <c r="M686" t="s">
        <v>38</v>
      </c>
      <c r="N686">
        <v>114.72</v>
      </c>
      <c r="O686" t="s">
        <v>20</v>
      </c>
      <c r="P686">
        <f t="shared" si="104"/>
        <v>244.24</v>
      </c>
      <c r="Q686">
        <f t="shared" si="105"/>
        <v>14.800000000000011</v>
      </c>
      <c r="R686" t="str">
        <f t="shared" si="106"/>
        <v>Trent/Colin</v>
      </c>
      <c r="S686" t="str">
        <f t="shared" si="107"/>
        <v>David/Marshall</v>
      </c>
      <c r="T686">
        <f t="shared" si="108"/>
        <v>129.52000000000001</v>
      </c>
      <c r="U686">
        <f t="shared" si="109"/>
        <v>114.72</v>
      </c>
    </row>
    <row r="687" spans="1:21" x14ac:dyDescent="0.3">
      <c r="A687">
        <v>686</v>
      </c>
      <c r="B687" t="str">
        <f>H687&amp;R687&amp;I687</f>
        <v>2023Graham/Michael6</v>
      </c>
      <c r="C687" t="str">
        <f>H687&amp;S687&amp;I687</f>
        <v>2023David/Marshall6</v>
      </c>
      <c r="D687">
        <f t="shared" si="100"/>
        <v>457</v>
      </c>
      <c r="E687">
        <f t="shared" si="101"/>
        <v>301</v>
      </c>
      <c r="F687">
        <f t="shared" si="102"/>
        <v>353</v>
      </c>
      <c r="G687">
        <f t="shared" si="103"/>
        <v>256</v>
      </c>
      <c r="H687">
        <v>2023</v>
      </c>
      <c r="I687">
        <v>6</v>
      </c>
      <c r="J687">
        <v>26</v>
      </c>
      <c r="K687" t="s">
        <v>29</v>
      </c>
      <c r="L687">
        <v>124.38</v>
      </c>
      <c r="M687" t="s">
        <v>38</v>
      </c>
      <c r="N687">
        <v>103.92</v>
      </c>
      <c r="O687" t="s">
        <v>20</v>
      </c>
      <c r="P687">
        <f t="shared" si="104"/>
        <v>228.3</v>
      </c>
      <c r="Q687">
        <f t="shared" si="105"/>
        <v>20.459999999999994</v>
      </c>
      <c r="R687" t="str">
        <f t="shared" si="106"/>
        <v>Graham/Michael</v>
      </c>
      <c r="S687" t="str">
        <f t="shared" si="107"/>
        <v>David/Marshall</v>
      </c>
      <c r="T687">
        <f t="shared" si="108"/>
        <v>124.38</v>
      </c>
      <c r="U687">
        <f t="shared" si="109"/>
        <v>103.92</v>
      </c>
    </row>
    <row r="688" spans="1:21" x14ac:dyDescent="0.3">
      <c r="A688">
        <v>687</v>
      </c>
      <c r="B688" t="str">
        <f>H688&amp;R688&amp;I688</f>
        <v>2023Eric/Blake6</v>
      </c>
      <c r="C688" t="str">
        <f>H688&amp;S688&amp;I688</f>
        <v>2023Brian/Travis6</v>
      </c>
      <c r="D688">
        <f t="shared" si="100"/>
        <v>361</v>
      </c>
      <c r="E688">
        <f t="shared" si="101"/>
        <v>480</v>
      </c>
      <c r="F688">
        <f t="shared" si="102"/>
        <v>471</v>
      </c>
      <c r="G688">
        <f t="shared" si="103"/>
        <v>482</v>
      </c>
      <c r="H688">
        <v>2023</v>
      </c>
      <c r="I688">
        <v>6</v>
      </c>
      <c r="J688">
        <v>27</v>
      </c>
      <c r="K688" t="s">
        <v>34</v>
      </c>
      <c r="L688">
        <v>117.16</v>
      </c>
      <c r="M688" t="s">
        <v>32</v>
      </c>
      <c r="N688">
        <v>91.44</v>
      </c>
      <c r="O688" t="s">
        <v>20</v>
      </c>
      <c r="P688">
        <f t="shared" si="104"/>
        <v>208.6</v>
      </c>
      <c r="Q688">
        <f t="shared" si="105"/>
        <v>25.72</v>
      </c>
      <c r="R688" t="str">
        <f t="shared" si="106"/>
        <v>Eric/Blake</v>
      </c>
      <c r="S688" t="str">
        <f t="shared" si="107"/>
        <v>Brian/Travis</v>
      </c>
      <c r="T688">
        <f t="shared" si="108"/>
        <v>117.16</v>
      </c>
      <c r="U688">
        <f t="shared" si="109"/>
        <v>91.44</v>
      </c>
    </row>
    <row r="689" spans="1:21" x14ac:dyDescent="0.3">
      <c r="A689">
        <v>688</v>
      </c>
      <c r="B689" t="str">
        <f>H689&amp;R689&amp;I689</f>
        <v>2023Trent/Colin6</v>
      </c>
      <c r="C689" t="str">
        <f>H689&amp;S689&amp;I689</f>
        <v>2023Dave/Nolan6</v>
      </c>
      <c r="D689">
        <f t="shared" si="100"/>
        <v>397</v>
      </c>
      <c r="E689">
        <f t="shared" si="101"/>
        <v>781</v>
      </c>
      <c r="F689">
        <f t="shared" si="102"/>
        <v>745</v>
      </c>
      <c r="G689">
        <f t="shared" si="103"/>
        <v>753</v>
      </c>
      <c r="H689">
        <v>2023</v>
      </c>
      <c r="I689">
        <v>6</v>
      </c>
      <c r="J689">
        <v>28</v>
      </c>
      <c r="K689" t="s">
        <v>30</v>
      </c>
      <c r="L689">
        <v>73.84</v>
      </c>
      <c r="M689" t="s">
        <v>33</v>
      </c>
      <c r="N689">
        <v>97</v>
      </c>
      <c r="O689" t="s">
        <v>20</v>
      </c>
      <c r="P689">
        <f t="shared" si="104"/>
        <v>170.84</v>
      </c>
      <c r="Q689">
        <f t="shared" si="105"/>
        <v>23.159999999999997</v>
      </c>
      <c r="R689" t="str">
        <f t="shared" si="106"/>
        <v>Trent/Colin</v>
      </c>
      <c r="S689" t="str">
        <f t="shared" si="107"/>
        <v>Dave/Nolan</v>
      </c>
      <c r="T689">
        <f t="shared" si="108"/>
        <v>97</v>
      </c>
      <c r="U689">
        <f t="shared" si="109"/>
        <v>73.84</v>
      </c>
    </row>
    <row r="690" spans="1:21" x14ac:dyDescent="0.3">
      <c r="A690">
        <v>689</v>
      </c>
      <c r="B690" t="str">
        <f>H690&amp;R690&amp;I690</f>
        <v>2023Walker/Cory6</v>
      </c>
      <c r="C690" t="str">
        <f>H690&amp;S690&amp;I690</f>
        <v>2023Drew/Cam6</v>
      </c>
      <c r="D690">
        <f t="shared" si="100"/>
        <v>600</v>
      </c>
      <c r="E690">
        <f t="shared" si="101"/>
        <v>680</v>
      </c>
      <c r="F690">
        <f t="shared" si="102"/>
        <v>715</v>
      </c>
      <c r="G690">
        <f t="shared" si="103"/>
        <v>567</v>
      </c>
      <c r="H690">
        <v>2023</v>
      </c>
      <c r="I690">
        <v>6</v>
      </c>
      <c r="J690">
        <v>29</v>
      </c>
      <c r="K690" t="s">
        <v>36</v>
      </c>
      <c r="L690">
        <v>99.48</v>
      </c>
      <c r="M690" t="s">
        <v>37</v>
      </c>
      <c r="N690">
        <v>87.42</v>
      </c>
      <c r="O690" t="s">
        <v>20</v>
      </c>
      <c r="P690">
        <f t="shared" si="104"/>
        <v>186.9</v>
      </c>
      <c r="Q690">
        <f t="shared" si="105"/>
        <v>12.060000000000002</v>
      </c>
      <c r="R690" t="str">
        <f t="shared" si="106"/>
        <v>Walker/Cory</v>
      </c>
      <c r="S690" t="str">
        <f t="shared" si="107"/>
        <v>Drew/Cam</v>
      </c>
      <c r="T690">
        <f t="shared" si="108"/>
        <v>99.48</v>
      </c>
      <c r="U690">
        <f t="shared" si="109"/>
        <v>87.42</v>
      </c>
    </row>
    <row r="691" spans="1:21" x14ac:dyDescent="0.3">
      <c r="A691">
        <v>690</v>
      </c>
      <c r="B691" t="str">
        <f>H691&amp;R691&amp;I691</f>
        <v>2023Clay/Ryan6</v>
      </c>
      <c r="C691" t="str">
        <f>H691&amp;S691&amp;I691</f>
        <v>2023Pat/Tucker6</v>
      </c>
      <c r="D691">
        <f t="shared" si="100"/>
        <v>543</v>
      </c>
      <c r="E691">
        <f t="shared" si="101"/>
        <v>584</v>
      </c>
      <c r="F691">
        <f t="shared" si="102"/>
        <v>626</v>
      </c>
      <c r="G691">
        <f t="shared" si="103"/>
        <v>475</v>
      </c>
      <c r="H691">
        <v>2023</v>
      </c>
      <c r="I691">
        <v>6</v>
      </c>
      <c r="J691">
        <v>30</v>
      </c>
      <c r="K691" t="s">
        <v>31</v>
      </c>
      <c r="L691">
        <v>91.5</v>
      </c>
      <c r="M691" t="s">
        <v>35</v>
      </c>
      <c r="N691">
        <v>106.8</v>
      </c>
      <c r="O691" t="s">
        <v>20</v>
      </c>
      <c r="P691">
        <f t="shared" si="104"/>
        <v>198.3</v>
      </c>
      <c r="Q691">
        <f t="shared" si="105"/>
        <v>15.299999999999997</v>
      </c>
      <c r="R691" t="str">
        <f t="shared" si="106"/>
        <v>Clay/Ryan</v>
      </c>
      <c r="S691" t="str">
        <f t="shared" si="107"/>
        <v>Pat/Tucker</v>
      </c>
      <c r="T691">
        <f t="shared" si="108"/>
        <v>106.8</v>
      </c>
      <c r="U691">
        <f t="shared" si="109"/>
        <v>91.5</v>
      </c>
    </row>
    <row r="692" spans="1:21" x14ac:dyDescent="0.3">
      <c r="A692">
        <v>691</v>
      </c>
      <c r="B692" t="str">
        <f>H692&amp;R692&amp;I692</f>
        <v>2023Trent/Colin7</v>
      </c>
      <c r="C692" t="str">
        <f>H692&amp;S692&amp;I692</f>
        <v>2023Graham/Michael7</v>
      </c>
      <c r="D692">
        <f t="shared" si="100"/>
        <v>32</v>
      </c>
      <c r="E692">
        <f t="shared" si="101"/>
        <v>69</v>
      </c>
      <c r="F692">
        <f t="shared" si="102"/>
        <v>20</v>
      </c>
      <c r="G692">
        <f t="shared" si="103"/>
        <v>341</v>
      </c>
      <c r="H692">
        <v>2023</v>
      </c>
      <c r="I692">
        <v>7</v>
      </c>
      <c r="J692">
        <v>31</v>
      </c>
      <c r="K692" t="s">
        <v>33</v>
      </c>
      <c r="L692">
        <v>166.06</v>
      </c>
      <c r="M692" t="s">
        <v>29</v>
      </c>
      <c r="N692">
        <v>99.24</v>
      </c>
      <c r="O692" t="s">
        <v>20</v>
      </c>
      <c r="P692">
        <f t="shared" si="104"/>
        <v>265.3</v>
      </c>
      <c r="Q692">
        <f t="shared" si="105"/>
        <v>66.820000000000007</v>
      </c>
      <c r="R692" t="str">
        <f t="shared" si="106"/>
        <v>Trent/Colin</v>
      </c>
      <c r="S692" t="str">
        <f t="shared" si="107"/>
        <v>Graham/Michael</v>
      </c>
      <c r="T692">
        <f t="shared" si="108"/>
        <v>166.06</v>
      </c>
      <c r="U692">
        <f t="shared" si="109"/>
        <v>99.24</v>
      </c>
    </row>
    <row r="693" spans="1:21" x14ac:dyDescent="0.3">
      <c r="A693">
        <v>692</v>
      </c>
      <c r="B693" t="str">
        <f>H693&amp;R693&amp;I693</f>
        <v>2023Brian/Travis7</v>
      </c>
      <c r="C693" t="str">
        <f>H693&amp;S693&amp;I693</f>
        <v>2023Dave/Nolan7</v>
      </c>
      <c r="D693">
        <f t="shared" si="100"/>
        <v>328</v>
      </c>
      <c r="E693">
        <f t="shared" si="101"/>
        <v>554</v>
      </c>
      <c r="F693">
        <f t="shared" si="102"/>
        <v>513</v>
      </c>
      <c r="G693">
        <f t="shared" si="103"/>
        <v>584</v>
      </c>
      <c r="H693">
        <v>2023</v>
      </c>
      <c r="I693">
        <v>7</v>
      </c>
      <c r="J693">
        <v>32</v>
      </c>
      <c r="K693" t="s">
        <v>32</v>
      </c>
      <c r="L693">
        <v>114.86</v>
      </c>
      <c r="M693" t="s">
        <v>30</v>
      </c>
      <c r="N693">
        <v>86.72</v>
      </c>
      <c r="O693" t="s">
        <v>20</v>
      </c>
      <c r="P693">
        <f t="shared" si="104"/>
        <v>201.57999999999998</v>
      </c>
      <c r="Q693">
        <f t="shared" si="105"/>
        <v>28.14</v>
      </c>
      <c r="R693" t="str">
        <f t="shared" si="106"/>
        <v>Brian/Travis</v>
      </c>
      <c r="S693" t="str">
        <f t="shared" si="107"/>
        <v>Dave/Nolan</v>
      </c>
      <c r="T693">
        <f t="shared" si="108"/>
        <v>114.86</v>
      </c>
      <c r="U693">
        <f t="shared" si="109"/>
        <v>86.72</v>
      </c>
    </row>
    <row r="694" spans="1:21" x14ac:dyDescent="0.3">
      <c r="A694">
        <v>693</v>
      </c>
      <c r="B694" t="str">
        <f>H694&amp;R694&amp;I694</f>
        <v>2023Walker/Cory7</v>
      </c>
      <c r="C694" t="str">
        <f>H694&amp;S694&amp;I694</f>
        <v>2023David/Marshall7</v>
      </c>
      <c r="D694">
        <f t="shared" si="100"/>
        <v>828</v>
      </c>
      <c r="E694">
        <f t="shared" si="101"/>
        <v>418</v>
      </c>
      <c r="F694">
        <f t="shared" si="102"/>
        <v>600</v>
      </c>
      <c r="G694">
        <f t="shared" si="103"/>
        <v>222</v>
      </c>
      <c r="H694">
        <v>2023</v>
      </c>
      <c r="I694">
        <v>7</v>
      </c>
      <c r="J694">
        <v>33</v>
      </c>
      <c r="K694" t="s">
        <v>38</v>
      </c>
      <c r="L694">
        <v>106.68</v>
      </c>
      <c r="M694" t="s">
        <v>36</v>
      </c>
      <c r="N694">
        <v>108.76</v>
      </c>
      <c r="O694" t="s">
        <v>20</v>
      </c>
      <c r="P694">
        <f t="shared" si="104"/>
        <v>215.44</v>
      </c>
      <c r="Q694">
        <f t="shared" si="105"/>
        <v>2.0799999999999983</v>
      </c>
      <c r="R694" t="str">
        <f t="shared" si="106"/>
        <v>Walker/Cory</v>
      </c>
      <c r="S694" t="str">
        <f t="shared" si="107"/>
        <v>David/Marshall</v>
      </c>
      <c r="T694">
        <f t="shared" si="108"/>
        <v>108.76</v>
      </c>
      <c r="U694">
        <f t="shared" si="109"/>
        <v>106.68</v>
      </c>
    </row>
    <row r="695" spans="1:21" x14ac:dyDescent="0.3">
      <c r="A695">
        <v>694</v>
      </c>
      <c r="B695" t="str">
        <f>H695&amp;R695&amp;I695</f>
        <v>2023Drew/Cam7</v>
      </c>
      <c r="C695" t="str">
        <f>H695&amp;S695&amp;I695</f>
        <v>2023Pat/Tucker7</v>
      </c>
      <c r="D695">
        <f t="shared" si="100"/>
        <v>368</v>
      </c>
      <c r="E695">
        <f t="shared" si="101"/>
        <v>662</v>
      </c>
      <c r="F695">
        <f t="shared" si="102"/>
        <v>624</v>
      </c>
      <c r="G695">
        <f t="shared" si="103"/>
        <v>660</v>
      </c>
      <c r="H695">
        <v>2023</v>
      </c>
      <c r="I695">
        <v>7</v>
      </c>
      <c r="J695">
        <v>34</v>
      </c>
      <c r="K695" t="s">
        <v>37</v>
      </c>
      <c r="L695">
        <v>106.86</v>
      </c>
      <c r="M695" t="s">
        <v>31</v>
      </c>
      <c r="N695">
        <v>81.78</v>
      </c>
      <c r="O695" t="s">
        <v>20</v>
      </c>
      <c r="P695">
        <f t="shared" si="104"/>
        <v>188.64</v>
      </c>
      <c r="Q695">
        <f t="shared" si="105"/>
        <v>25.08</v>
      </c>
      <c r="R695" t="str">
        <f t="shared" si="106"/>
        <v>Drew/Cam</v>
      </c>
      <c r="S695" t="str">
        <f t="shared" si="107"/>
        <v>Pat/Tucker</v>
      </c>
      <c r="T695">
        <f t="shared" si="108"/>
        <v>106.86</v>
      </c>
      <c r="U695">
        <f t="shared" si="109"/>
        <v>81.78</v>
      </c>
    </row>
    <row r="696" spans="1:21" x14ac:dyDescent="0.3">
      <c r="A696">
        <v>695</v>
      </c>
      <c r="B696" t="str">
        <f>H696&amp;R696&amp;I696</f>
        <v>2023Eric/Blake7</v>
      </c>
      <c r="C696" t="str">
        <f>H696&amp;S696&amp;I696</f>
        <v>2023Clay/Ryan7</v>
      </c>
      <c r="D696">
        <f t="shared" si="100"/>
        <v>184</v>
      </c>
      <c r="E696">
        <f t="shared" si="101"/>
        <v>559</v>
      </c>
      <c r="F696">
        <f t="shared" si="102"/>
        <v>416</v>
      </c>
      <c r="G696">
        <f t="shared" si="103"/>
        <v>684</v>
      </c>
      <c r="H696">
        <v>2023</v>
      </c>
      <c r="I696">
        <v>7</v>
      </c>
      <c r="J696">
        <v>35</v>
      </c>
      <c r="K696" t="s">
        <v>35</v>
      </c>
      <c r="L696">
        <v>79.7</v>
      </c>
      <c r="M696" t="s">
        <v>34</v>
      </c>
      <c r="N696">
        <v>120.9</v>
      </c>
      <c r="O696" t="s">
        <v>20</v>
      </c>
      <c r="P696">
        <f t="shared" si="104"/>
        <v>200.60000000000002</v>
      </c>
      <c r="Q696">
        <f t="shared" si="105"/>
        <v>41.2</v>
      </c>
      <c r="R696" t="str">
        <f t="shared" si="106"/>
        <v>Eric/Blake</v>
      </c>
      <c r="S696" t="str">
        <f t="shared" si="107"/>
        <v>Clay/Ryan</v>
      </c>
      <c r="T696">
        <f t="shared" si="108"/>
        <v>120.9</v>
      </c>
      <c r="U696">
        <f t="shared" si="109"/>
        <v>79.7</v>
      </c>
    </row>
    <row r="697" spans="1:21" x14ac:dyDescent="0.3">
      <c r="A697">
        <v>696</v>
      </c>
      <c r="B697" t="str">
        <f>H697&amp;R697&amp;I697</f>
        <v>2023Brian/Travis8</v>
      </c>
      <c r="C697" t="str">
        <f>H697&amp;S697&amp;I697</f>
        <v>2023Graham/Michael8</v>
      </c>
      <c r="D697">
        <f t="shared" si="100"/>
        <v>821</v>
      </c>
      <c r="E697">
        <f t="shared" si="101"/>
        <v>389</v>
      </c>
      <c r="F697">
        <f t="shared" si="102"/>
        <v>578</v>
      </c>
      <c r="G697">
        <f t="shared" si="103"/>
        <v>202</v>
      </c>
      <c r="H697">
        <v>2023</v>
      </c>
      <c r="I697">
        <v>8</v>
      </c>
      <c r="J697">
        <v>36</v>
      </c>
      <c r="K697" t="s">
        <v>29</v>
      </c>
      <c r="L697">
        <v>108.16</v>
      </c>
      <c r="M697" t="s">
        <v>32</v>
      </c>
      <c r="N697">
        <v>110.9</v>
      </c>
      <c r="O697" t="s">
        <v>20</v>
      </c>
      <c r="P697">
        <f t="shared" si="104"/>
        <v>219.06</v>
      </c>
      <c r="Q697">
        <f t="shared" si="105"/>
        <v>2.7400000000000091</v>
      </c>
      <c r="R697" t="str">
        <f t="shared" si="106"/>
        <v>Brian/Travis</v>
      </c>
      <c r="S697" t="str">
        <f t="shared" si="107"/>
        <v>Graham/Michael</v>
      </c>
      <c r="T697">
        <f t="shared" si="108"/>
        <v>110.9</v>
      </c>
      <c r="U697">
        <f t="shared" si="109"/>
        <v>108.16</v>
      </c>
    </row>
    <row r="698" spans="1:21" x14ac:dyDescent="0.3">
      <c r="A698">
        <v>697</v>
      </c>
      <c r="B698" t="str">
        <f>H698&amp;R698&amp;I698</f>
        <v>2023Trent/Colin8</v>
      </c>
      <c r="C698" t="str">
        <f>H698&amp;S698&amp;I698</f>
        <v>2023Walker/Cory8</v>
      </c>
      <c r="D698">
        <f t="shared" si="100"/>
        <v>107</v>
      </c>
      <c r="E698">
        <f t="shared" si="101"/>
        <v>153</v>
      </c>
      <c r="F698">
        <f t="shared" si="102"/>
        <v>86</v>
      </c>
      <c r="G698">
        <f t="shared" si="103"/>
        <v>347</v>
      </c>
      <c r="H698">
        <v>2023</v>
      </c>
      <c r="I698">
        <v>8</v>
      </c>
      <c r="J698">
        <v>37</v>
      </c>
      <c r="K698" t="s">
        <v>36</v>
      </c>
      <c r="L698">
        <v>99.02</v>
      </c>
      <c r="M698" t="s">
        <v>33</v>
      </c>
      <c r="N698">
        <v>147.86000000000001</v>
      </c>
      <c r="O698" t="s">
        <v>20</v>
      </c>
      <c r="P698">
        <f t="shared" si="104"/>
        <v>246.88</v>
      </c>
      <c r="Q698">
        <f t="shared" si="105"/>
        <v>48.840000000000018</v>
      </c>
      <c r="R698" t="str">
        <f t="shared" si="106"/>
        <v>Trent/Colin</v>
      </c>
      <c r="S698" t="str">
        <f t="shared" si="107"/>
        <v>Walker/Cory</v>
      </c>
      <c r="T698">
        <f t="shared" si="108"/>
        <v>147.86000000000001</v>
      </c>
      <c r="U698">
        <f t="shared" si="109"/>
        <v>99.02</v>
      </c>
    </row>
    <row r="699" spans="1:21" x14ac:dyDescent="0.3">
      <c r="A699">
        <v>698</v>
      </c>
      <c r="B699" t="str">
        <f>H699&amp;R699&amp;I699</f>
        <v>2023David/Marshall8</v>
      </c>
      <c r="C699" t="str">
        <f>H699&amp;S699&amp;I699</f>
        <v>2023Pat/Tucker8</v>
      </c>
      <c r="D699">
        <f t="shared" si="100"/>
        <v>23</v>
      </c>
      <c r="E699">
        <f t="shared" si="101"/>
        <v>590</v>
      </c>
      <c r="F699">
        <f t="shared" si="102"/>
        <v>211</v>
      </c>
      <c r="G699">
        <f t="shared" si="103"/>
        <v>833</v>
      </c>
      <c r="H699">
        <v>2023</v>
      </c>
      <c r="I699">
        <v>8</v>
      </c>
      <c r="J699">
        <v>38</v>
      </c>
      <c r="K699" t="s">
        <v>31</v>
      </c>
      <c r="L699">
        <v>63.6</v>
      </c>
      <c r="M699" t="s">
        <v>38</v>
      </c>
      <c r="N699">
        <v>133.58000000000001</v>
      </c>
      <c r="O699" t="s">
        <v>20</v>
      </c>
      <c r="P699">
        <f t="shared" si="104"/>
        <v>197.18</v>
      </c>
      <c r="Q699">
        <f t="shared" si="105"/>
        <v>69.980000000000018</v>
      </c>
      <c r="R699" t="str">
        <f t="shared" si="106"/>
        <v>David/Marshall</v>
      </c>
      <c r="S699" t="str">
        <f t="shared" si="107"/>
        <v>Pat/Tucker</v>
      </c>
      <c r="T699">
        <f t="shared" si="108"/>
        <v>133.58000000000001</v>
      </c>
      <c r="U699">
        <f t="shared" si="109"/>
        <v>63.6</v>
      </c>
    </row>
    <row r="700" spans="1:21" x14ac:dyDescent="0.3">
      <c r="A700">
        <v>699</v>
      </c>
      <c r="B700" t="str">
        <f>H700&amp;R700&amp;I700</f>
        <v>2023Drew/Cam8</v>
      </c>
      <c r="C700" t="str">
        <f>H700&amp;S700&amp;I700</f>
        <v>2023Eric/Blake8</v>
      </c>
      <c r="D700">
        <f t="shared" si="100"/>
        <v>775</v>
      </c>
      <c r="E700">
        <f t="shared" si="101"/>
        <v>255</v>
      </c>
      <c r="F700">
        <f t="shared" si="102"/>
        <v>439</v>
      </c>
      <c r="G700">
        <f t="shared" si="103"/>
        <v>132</v>
      </c>
      <c r="H700">
        <v>2023</v>
      </c>
      <c r="I700">
        <v>8</v>
      </c>
      <c r="J700">
        <v>39</v>
      </c>
      <c r="K700" t="s">
        <v>34</v>
      </c>
      <c r="L700">
        <v>114.56</v>
      </c>
      <c r="M700" t="s">
        <v>37</v>
      </c>
      <c r="N700">
        <v>119.28</v>
      </c>
      <c r="O700" t="s">
        <v>20</v>
      </c>
      <c r="P700">
        <f t="shared" si="104"/>
        <v>233.84</v>
      </c>
      <c r="Q700">
        <f t="shared" si="105"/>
        <v>4.7199999999999989</v>
      </c>
      <c r="R700" t="str">
        <f t="shared" si="106"/>
        <v>Drew/Cam</v>
      </c>
      <c r="S700" t="str">
        <f t="shared" si="107"/>
        <v>Eric/Blake</v>
      </c>
      <c r="T700">
        <f t="shared" si="108"/>
        <v>119.28</v>
      </c>
      <c r="U700">
        <f t="shared" si="109"/>
        <v>114.56</v>
      </c>
    </row>
    <row r="701" spans="1:21" x14ac:dyDescent="0.3">
      <c r="A701">
        <v>700</v>
      </c>
      <c r="B701" t="str">
        <f>H701&amp;R701&amp;I701</f>
        <v>2023Dave/Nolan8</v>
      </c>
      <c r="C701" t="str">
        <f>H701&amp;S701&amp;I701</f>
        <v>2023Clay/Ryan8</v>
      </c>
      <c r="D701">
        <f t="shared" si="100"/>
        <v>709</v>
      </c>
      <c r="E701">
        <f t="shared" si="101"/>
        <v>313</v>
      </c>
      <c r="F701">
        <f t="shared" si="102"/>
        <v>474</v>
      </c>
      <c r="G701">
        <f t="shared" si="103"/>
        <v>186</v>
      </c>
      <c r="H701">
        <v>2023</v>
      </c>
      <c r="I701">
        <v>8</v>
      </c>
      <c r="J701">
        <v>40</v>
      </c>
      <c r="K701" t="s">
        <v>30</v>
      </c>
      <c r="L701">
        <v>117.06</v>
      </c>
      <c r="M701" t="s">
        <v>35</v>
      </c>
      <c r="N701">
        <v>109.52</v>
      </c>
      <c r="O701" t="s">
        <v>20</v>
      </c>
      <c r="P701">
        <f t="shared" si="104"/>
        <v>226.57999999999998</v>
      </c>
      <c r="Q701">
        <f t="shared" si="105"/>
        <v>7.5400000000000063</v>
      </c>
      <c r="R701" t="str">
        <f t="shared" si="106"/>
        <v>Dave/Nolan</v>
      </c>
      <c r="S701" t="str">
        <f t="shared" si="107"/>
        <v>Clay/Ryan</v>
      </c>
      <c r="T701">
        <f t="shared" si="108"/>
        <v>117.06</v>
      </c>
      <c r="U701">
        <f t="shared" si="109"/>
        <v>109.52</v>
      </c>
    </row>
    <row r="702" spans="1:21" x14ac:dyDescent="0.3">
      <c r="A702">
        <v>701</v>
      </c>
      <c r="B702" t="str">
        <f>H702&amp;R702&amp;I702</f>
        <v>2023Pat/Tucker9</v>
      </c>
      <c r="C702" t="str">
        <f>H702&amp;S702&amp;I702</f>
        <v>2023Graham/Michael9</v>
      </c>
      <c r="D702">
        <f t="shared" si="100"/>
        <v>693</v>
      </c>
      <c r="E702">
        <f t="shared" si="101"/>
        <v>71</v>
      </c>
      <c r="F702">
        <f t="shared" si="102"/>
        <v>177</v>
      </c>
      <c r="G702">
        <f t="shared" si="103"/>
        <v>31</v>
      </c>
      <c r="H702">
        <v>2023</v>
      </c>
      <c r="I702">
        <v>9</v>
      </c>
      <c r="J702">
        <v>41</v>
      </c>
      <c r="K702" t="s">
        <v>29</v>
      </c>
      <c r="L702">
        <v>128.24</v>
      </c>
      <c r="M702" t="s">
        <v>31</v>
      </c>
      <c r="N702">
        <v>136.4</v>
      </c>
      <c r="O702" t="s">
        <v>20</v>
      </c>
      <c r="P702">
        <f t="shared" si="104"/>
        <v>264.64</v>
      </c>
      <c r="Q702">
        <f t="shared" si="105"/>
        <v>8.1599999999999966</v>
      </c>
      <c r="R702" t="str">
        <f t="shared" si="106"/>
        <v>Pat/Tucker</v>
      </c>
      <c r="S702" t="str">
        <f t="shared" si="107"/>
        <v>Graham/Michael</v>
      </c>
      <c r="T702">
        <f t="shared" si="108"/>
        <v>136.4</v>
      </c>
      <c r="U702">
        <f t="shared" si="109"/>
        <v>128.24</v>
      </c>
    </row>
    <row r="703" spans="1:21" x14ac:dyDescent="0.3">
      <c r="A703">
        <v>702</v>
      </c>
      <c r="B703" t="str">
        <f>H703&amp;R703&amp;I703</f>
        <v>2023Brian/Travis9</v>
      </c>
      <c r="C703" t="str">
        <f>H703&amp;S703&amp;I703</f>
        <v>2023Walker/Cory9</v>
      </c>
      <c r="D703">
        <f t="shared" si="100"/>
        <v>293</v>
      </c>
      <c r="E703">
        <f t="shared" si="101"/>
        <v>829</v>
      </c>
      <c r="F703">
        <f t="shared" si="102"/>
        <v>772</v>
      </c>
      <c r="G703">
        <f t="shared" si="103"/>
        <v>831</v>
      </c>
      <c r="H703">
        <v>2023</v>
      </c>
      <c r="I703">
        <v>9</v>
      </c>
      <c r="J703">
        <v>42</v>
      </c>
      <c r="K703" t="s">
        <v>32</v>
      </c>
      <c r="L703">
        <v>94.6</v>
      </c>
      <c r="M703" t="s">
        <v>36</v>
      </c>
      <c r="N703">
        <v>63.94</v>
      </c>
      <c r="O703" t="s">
        <v>20</v>
      </c>
      <c r="P703">
        <f t="shared" si="104"/>
        <v>158.54</v>
      </c>
      <c r="Q703">
        <f t="shared" si="105"/>
        <v>30.659999999999997</v>
      </c>
      <c r="R703" t="str">
        <f t="shared" si="106"/>
        <v>Brian/Travis</v>
      </c>
      <c r="S703" t="str">
        <f t="shared" si="107"/>
        <v>Walker/Cory</v>
      </c>
      <c r="T703">
        <f t="shared" si="108"/>
        <v>94.6</v>
      </c>
      <c r="U703">
        <f t="shared" si="109"/>
        <v>63.94</v>
      </c>
    </row>
    <row r="704" spans="1:21" x14ac:dyDescent="0.3">
      <c r="A704">
        <v>703</v>
      </c>
      <c r="B704" t="str">
        <f>H704&amp;R704&amp;I704</f>
        <v>2023Trent/Colin9</v>
      </c>
      <c r="C704" t="str">
        <f>H704&amp;S704&amp;I704</f>
        <v>2023Clay/Ryan9</v>
      </c>
      <c r="D704">
        <f t="shared" si="100"/>
        <v>588</v>
      </c>
      <c r="E704">
        <f t="shared" si="101"/>
        <v>489</v>
      </c>
      <c r="F704">
        <f t="shared" si="102"/>
        <v>584</v>
      </c>
      <c r="G704">
        <f t="shared" si="103"/>
        <v>369</v>
      </c>
      <c r="H704">
        <v>2023</v>
      </c>
      <c r="I704">
        <v>9</v>
      </c>
      <c r="J704">
        <v>43</v>
      </c>
      <c r="K704" t="s">
        <v>35</v>
      </c>
      <c r="L704">
        <v>97.62</v>
      </c>
      <c r="M704" t="s">
        <v>33</v>
      </c>
      <c r="N704">
        <v>110.48</v>
      </c>
      <c r="O704" t="s">
        <v>20</v>
      </c>
      <c r="P704">
        <f t="shared" si="104"/>
        <v>208.10000000000002</v>
      </c>
      <c r="Q704">
        <f t="shared" si="105"/>
        <v>12.86</v>
      </c>
      <c r="R704" t="str">
        <f t="shared" si="106"/>
        <v>Trent/Colin</v>
      </c>
      <c r="S704" t="str">
        <f t="shared" si="107"/>
        <v>Clay/Ryan</v>
      </c>
      <c r="T704">
        <f t="shared" si="108"/>
        <v>110.48</v>
      </c>
      <c r="U704">
        <f t="shared" si="109"/>
        <v>97.62</v>
      </c>
    </row>
    <row r="705" spans="1:21" x14ac:dyDescent="0.3">
      <c r="A705">
        <v>704</v>
      </c>
      <c r="B705" t="str">
        <f>H705&amp;R705&amp;I705</f>
        <v>2023Eric/Blake9</v>
      </c>
      <c r="C705" t="str">
        <f>H705&amp;S705&amp;I705</f>
        <v>2023Dave/Nolan9</v>
      </c>
      <c r="D705">
        <f t="shared" si="100"/>
        <v>290</v>
      </c>
      <c r="E705">
        <f t="shared" si="101"/>
        <v>826</v>
      </c>
      <c r="F705">
        <f t="shared" si="102"/>
        <v>768</v>
      </c>
      <c r="G705">
        <f t="shared" si="103"/>
        <v>832</v>
      </c>
      <c r="H705">
        <v>2023</v>
      </c>
      <c r="I705">
        <v>9</v>
      </c>
      <c r="J705">
        <v>44</v>
      </c>
      <c r="K705" t="s">
        <v>30</v>
      </c>
      <c r="L705">
        <v>63.8</v>
      </c>
      <c r="M705" t="s">
        <v>34</v>
      </c>
      <c r="N705">
        <v>95.22</v>
      </c>
      <c r="O705" t="s">
        <v>20</v>
      </c>
      <c r="P705">
        <f t="shared" si="104"/>
        <v>159.01999999999998</v>
      </c>
      <c r="Q705">
        <f t="shared" si="105"/>
        <v>31.42</v>
      </c>
      <c r="R705" t="str">
        <f t="shared" si="106"/>
        <v>Eric/Blake</v>
      </c>
      <c r="S705" t="str">
        <f t="shared" si="107"/>
        <v>Dave/Nolan</v>
      </c>
      <c r="T705">
        <f t="shared" si="108"/>
        <v>95.22</v>
      </c>
      <c r="U705">
        <f t="shared" si="109"/>
        <v>63.8</v>
      </c>
    </row>
    <row r="706" spans="1:21" x14ac:dyDescent="0.3">
      <c r="A706">
        <v>705</v>
      </c>
      <c r="B706" t="str">
        <f>H706&amp;R706&amp;I706</f>
        <v>2023Drew/Cam9</v>
      </c>
      <c r="C706" t="str">
        <f>H706&amp;S706&amp;I706</f>
        <v>2023David/Marshall9</v>
      </c>
      <c r="D706">
        <f t="shared" ref="D706:D769" si="110">RANK(Q706,Q:Q)</f>
        <v>535</v>
      </c>
      <c r="E706">
        <f t="shared" ref="E706:E769" si="111">RANK(P706,P:P)</f>
        <v>792</v>
      </c>
      <c r="F706">
        <f t="shared" ref="F706:F769" si="112">RANK(T706,T:T)</f>
        <v>799</v>
      </c>
      <c r="G706">
        <f t="shared" ref="G706:G769" si="113">RANK(U706,U:U)</f>
        <v>710</v>
      </c>
      <c r="H706">
        <v>2023</v>
      </c>
      <c r="I706">
        <v>9</v>
      </c>
      <c r="J706">
        <v>45</v>
      </c>
      <c r="K706" t="s">
        <v>37</v>
      </c>
      <c r="L706">
        <v>92.4</v>
      </c>
      <c r="M706" t="s">
        <v>38</v>
      </c>
      <c r="N706">
        <v>76.88</v>
      </c>
      <c r="O706" t="s">
        <v>20</v>
      </c>
      <c r="P706">
        <f t="shared" ref="P706:P769" si="114">SUM(L706,N706)</f>
        <v>169.28</v>
      </c>
      <c r="Q706">
        <f t="shared" ref="Q706:Q769" si="115">ABS(L706-N706)</f>
        <v>15.52000000000001</v>
      </c>
      <c r="R706" t="str">
        <f t="shared" ref="R706:R769" si="116">IF(L706&gt;N706,K706,M706)</f>
        <v>Drew/Cam</v>
      </c>
      <c r="S706" t="str">
        <f t="shared" ref="S706:S769" si="117">IF(L706&gt;N706,M706,K706)</f>
        <v>David/Marshall</v>
      </c>
      <c r="T706">
        <f t="shared" ref="T706:T769" si="118">IF(L706&gt;N706,L706,N706)</f>
        <v>92.4</v>
      </c>
      <c r="U706">
        <f t="shared" ref="U706:U769" si="119">IF(L706&gt;N706,N706,L706)</f>
        <v>76.88</v>
      </c>
    </row>
    <row r="707" spans="1:21" x14ac:dyDescent="0.3">
      <c r="A707">
        <v>706</v>
      </c>
      <c r="B707" t="str">
        <f>H707&amp;R707&amp;I707</f>
        <v>2023Dave/Nolan10</v>
      </c>
      <c r="C707" t="str">
        <f>H707&amp;S707&amp;I707</f>
        <v>2023Graham/Michael10</v>
      </c>
      <c r="D707">
        <f t="shared" si="110"/>
        <v>22</v>
      </c>
      <c r="E707">
        <f t="shared" si="111"/>
        <v>344</v>
      </c>
      <c r="F707">
        <f t="shared" si="112"/>
        <v>93</v>
      </c>
      <c r="G707">
        <f t="shared" si="113"/>
        <v>711</v>
      </c>
      <c r="H707">
        <v>2023</v>
      </c>
      <c r="I707">
        <v>10</v>
      </c>
      <c r="J707">
        <v>46</v>
      </c>
      <c r="K707" t="s">
        <v>29</v>
      </c>
      <c r="L707">
        <v>76.599999999999994</v>
      </c>
      <c r="M707" t="s">
        <v>30</v>
      </c>
      <c r="N707">
        <v>147.16</v>
      </c>
      <c r="O707" t="s">
        <v>20</v>
      </c>
      <c r="P707">
        <f t="shared" si="114"/>
        <v>223.76</v>
      </c>
      <c r="Q707">
        <f t="shared" si="115"/>
        <v>70.56</v>
      </c>
      <c r="R707" t="str">
        <f t="shared" si="116"/>
        <v>Dave/Nolan</v>
      </c>
      <c r="S707" t="str">
        <f t="shared" si="117"/>
        <v>Graham/Michael</v>
      </c>
      <c r="T707">
        <f t="shared" si="118"/>
        <v>147.16</v>
      </c>
      <c r="U707">
        <f t="shared" si="119"/>
        <v>76.599999999999994</v>
      </c>
    </row>
    <row r="708" spans="1:21" x14ac:dyDescent="0.3">
      <c r="A708">
        <v>707</v>
      </c>
      <c r="B708" t="str">
        <f>H708&amp;R708&amp;I708</f>
        <v>2023Trent/Colin10</v>
      </c>
      <c r="C708" t="str">
        <f>H708&amp;S708&amp;I708</f>
        <v>2023Pat/Tucker10</v>
      </c>
      <c r="D708">
        <f t="shared" si="110"/>
        <v>143</v>
      </c>
      <c r="E708">
        <f t="shared" si="111"/>
        <v>243</v>
      </c>
      <c r="F708">
        <f t="shared" si="112"/>
        <v>139</v>
      </c>
      <c r="G708">
        <f t="shared" si="113"/>
        <v>412</v>
      </c>
      <c r="H708">
        <v>2023</v>
      </c>
      <c r="I708">
        <v>10</v>
      </c>
      <c r="J708">
        <v>47</v>
      </c>
      <c r="K708" t="s">
        <v>33</v>
      </c>
      <c r="L708">
        <v>139.76</v>
      </c>
      <c r="M708" t="s">
        <v>31</v>
      </c>
      <c r="N708">
        <v>95.44</v>
      </c>
      <c r="O708" t="s">
        <v>20</v>
      </c>
      <c r="P708">
        <f t="shared" si="114"/>
        <v>235.2</v>
      </c>
      <c r="Q708">
        <f t="shared" si="115"/>
        <v>44.319999999999993</v>
      </c>
      <c r="R708" t="str">
        <f t="shared" si="116"/>
        <v>Trent/Colin</v>
      </c>
      <c r="S708" t="str">
        <f t="shared" si="117"/>
        <v>Pat/Tucker</v>
      </c>
      <c r="T708">
        <f t="shared" si="118"/>
        <v>139.76</v>
      </c>
      <c r="U708">
        <f t="shared" si="119"/>
        <v>95.44</v>
      </c>
    </row>
    <row r="709" spans="1:21" x14ac:dyDescent="0.3">
      <c r="A709">
        <v>708</v>
      </c>
      <c r="B709" t="str">
        <f>H709&amp;R709&amp;I709</f>
        <v>2023Walker/Cory10</v>
      </c>
      <c r="C709" t="str">
        <f>H709&amp;S709&amp;I709</f>
        <v>2023Eric/Blake10</v>
      </c>
      <c r="D709">
        <f t="shared" si="110"/>
        <v>350</v>
      </c>
      <c r="E709">
        <f t="shared" si="111"/>
        <v>365</v>
      </c>
      <c r="F709">
        <f t="shared" si="112"/>
        <v>356</v>
      </c>
      <c r="G709">
        <f t="shared" si="113"/>
        <v>368</v>
      </c>
      <c r="H709">
        <v>2023</v>
      </c>
      <c r="I709">
        <v>10</v>
      </c>
      <c r="J709">
        <v>48</v>
      </c>
      <c r="K709" t="s">
        <v>36</v>
      </c>
      <c r="L709">
        <v>124.32</v>
      </c>
      <c r="M709" t="s">
        <v>34</v>
      </c>
      <c r="N709">
        <v>97.78</v>
      </c>
      <c r="O709" t="s">
        <v>20</v>
      </c>
      <c r="P709">
        <f t="shared" si="114"/>
        <v>222.1</v>
      </c>
      <c r="Q709">
        <f t="shared" si="115"/>
        <v>26.539999999999992</v>
      </c>
      <c r="R709" t="str">
        <f t="shared" si="116"/>
        <v>Walker/Cory</v>
      </c>
      <c r="S709" t="str">
        <f t="shared" si="117"/>
        <v>Eric/Blake</v>
      </c>
      <c r="T709">
        <f t="shared" si="118"/>
        <v>124.32</v>
      </c>
      <c r="U709">
        <f t="shared" si="119"/>
        <v>97.78</v>
      </c>
    </row>
    <row r="710" spans="1:21" x14ac:dyDescent="0.3">
      <c r="A710">
        <v>709</v>
      </c>
      <c r="B710" t="str">
        <f>H710&amp;R710&amp;I710</f>
        <v>2023David/Marshall10</v>
      </c>
      <c r="C710" t="str">
        <f>H710&amp;S710&amp;I710</f>
        <v>2023Brian/Travis10</v>
      </c>
      <c r="D710">
        <f t="shared" si="110"/>
        <v>845</v>
      </c>
      <c r="E710">
        <f t="shared" si="111"/>
        <v>284</v>
      </c>
      <c r="F710">
        <f t="shared" si="112"/>
        <v>499</v>
      </c>
      <c r="G710">
        <f t="shared" si="113"/>
        <v>138</v>
      </c>
      <c r="H710">
        <v>2023</v>
      </c>
      <c r="I710">
        <v>10</v>
      </c>
      <c r="J710">
        <v>49</v>
      </c>
      <c r="K710" t="s">
        <v>38</v>
      </c>
      <c r="L710">
        <v>115.52</v>
      </c>
      <c r="M710" t="s">
        <v>32</v>
      </c>
      <c r="N710">
        <v>114.22</v>
      </c>
      <c r="O710" t="s">
        <v>20</v>
      </c>
      <c r="P710">
        <f t="shared" si="114"/>
        <v>229.74</v>
      </c>
      <c r="Q710">
        <f t="shared" si="115"/>
        <v>1.2999999999999972</v>
      </c>
      <c r="R710" t="str">
        <f t="shared" si="116"/>
        <v>David/Marshall</v>
      </c>
      <c r="S710" t="str">
        <f t="shared" si="117"/>
        <v>Brian/Travis</v>
      </c>
      <c r="T710">
        <f t="shared" si="118"/>
        <v>115.52</v>
      </c>
      <c r="U710">
        <f t="shared" si="119"/>
        <v>114.22</v>
      </c>
    </row>
    <row r="711" spans="1:21" x14ac:dyDescent="0.3">
      <c r="A711">
        <v>710</v>
      </c>
      <c r="B711" t="str">
        <f>H711&amp;R711&amp;I711</f>
        <v>2023Clay/Ryan10</v>
      </c>
      <c r="C711" t="str">
        <f>H711&amp;S711&amp;I711</f>
        <v>2023Drew/Cam10</v>
      </c>
      <c r="D711">
        <f t="shared" si="110"/>
        <v>595</v>
      </c>
      <c r="E711">
        <f t="shared" si="111"/>
        <v>265</v>
      </c>
      <c r="F711">
        <f t="shared" si="112"/>
        <v>386</v>
      </c>
      <c r="G711">
        <f t="shared" si="113"/>
        <v>180</v>
      </c>
      <c r="H711">
        <v>2023</v>
      </c>
      <c r="I711">
        <v>10</v>
      </c>
      <c r="J711">
        <v>50</v>
      </c>
      <c r="K711" t="s">
        <v>37</v>
      </c>
      <c r="L711">
        <v>110.18</v>
      </c>
      <c r="M711" t="s">
        <v>35</v>
      </c>
      <c r="N711">
        <v>122.58</v>
      </c>
      <c r="O711" t="s">
        <v>20</v>
      </c>
      <c r="P711">
        <f t="shared" si="114"/>
        <v>232.76</v>
      </c>
      <c r="Q711">
        <f t="shared" si="115"/>
        <v>12.399999999999991</v>
      </c>
      <c r="R711" t="str">
        <f t="shared" si="116"/>
        <v>Clay/Ryan</v>
      </c>
      <c r="S711" t="str">
        <f t="shared" si="117"/>
        <v>Drew/Cam</v>
      </c>
      <c r="T711">
        <f t="shared" si="118"/>
        <v>122.58</v>
      </c>
      <c r="U711">
        <f t="shared" si="119"/>
        <v>110.18</v>
      </c>
    </row>
    <row r="712" spans="1:21" x14ac:dyDescent="0.3">
      <c r="A712">
        <v>711</v>
      </c>
      <c r="B712" t="str">
        <f>H712&amp;R712&amp;I712</f>
        <v>2023Walker/Cory11</v>
      </c>
      <c r="C712" t="str">
        <f>H712&amp;S712&amp;I712</f>
        <v>2023Graham/Michael11</v>
      </c>
      <c r="D712">
        <f t="shared" si="110"/>
        <v>185</v>
      </c>
      <c r="E712">
        <f t="shared" si="111"/>
        <v>380</v>
      </c>
      <c r="F712">
        <f t="shared" si="112"/>
        <v>242</v>
      </c>
      <c r="G712">
        <f t="shared" si="113"/>
        <v>517</v>
      </c>
      <c r="H712">
        <v>2023</v>
      </c>
      <c r="I712">
        <v>11</v>
      </c>
      <c r="J712">
        <v>51</v>
      </c>
      <c r="K712" t="s">
        <v>29</v>
      </c>
      <c r="L712">
        <v>89.6</v>
      </c>
      <c r="M712" t="s">
        <v>36</v>
      </c>
      <c r="N712">
        <v>130.6</v>
      </c>
      <c r="O712" t="s">
        <v>20</v>
      </c>
      <c r="P712">
        <f t="shared" si="114"/>
        <v>220.2</v>
      </c>
      <c r="Q712">
        <f t="shared" si="115"/>
        <v>41</v>
      </c>
      <c r="R712" t="str">
        <f t="shared" si="116"/>
        <v>Walker/Cory</v>
      </c>
      <c r="S712" t="str">
        <f t="shared" si="117"/>
        <v>Graham/Michael</v>
      </c>
      <c r="T712">
        <f t="shared" si="118"/>
        <v>130.6</v>
      </c>
      <c r="U712">
        <f t="shared" si="119"/>
        <v>89.6</v>
      </c>
    </row>
    <row r="713" spans="1:21" x14ac:dyDescent="0.3">
      <c r="A713">
        <v>712</v>
      </c>
      <c r="B713" t="str">
        <f>H713&amp;R713&amp;I713</f>
        <v>2023Eric/Blake11</v>
      </c>
      <c r="C713" t="str">
        <f>H713&amp;S713&amp;I713</f>
        <v>2023David/Marshall11</v>
      </c>
      <c r="D713">
        <f t="shared" si="110"/>
        <v>717</v>
      </c>
      <c r="E713">
        <f t="shared" si="111"/>
        <v>18</v>
      </c>
      <c r="F713">
        <f t="shared" si="112"/>
        <v>97</v>
      </c>
      <c r="G713">
        <f t="shared" si="113"/>
        <v>11</v>
      </c>
      <c r="H713">
        <v>2023</v>
      </c>
      <c r="I713">
        <v>11</v>
      </c>
      <c r="J713">
        <v>52</v>
      </c>
      <c r="K713" t="s">
        <v>38</v>
      </c>
      <c r="L713">
        <v>139.16</v>
      </c>
      <c r="M713" t="s">
        <v>34</v>
      </c>
      <c r="N713">
        <v>146.5</v>
      </c>
      <c r="O713" t="s">
        <v>20</v>
      </c>
      <c r="P713">
        <f t="shared" si="114"/>
        <v>285.65999999999997</v>
      </c>
      <c r="Q713">
        <f t="shared" si="115"/>
        <v>7.3400000000000034</v>
      </c>
      <c r="R713" t="str">
        <f t="shared" si="116"/>
        <v>Eric/Blake</v>
      </c>
      <c r="S713" t="str">
        <f t="shared" si="117"/>
        <v>David/Marshall</v>
      </c>
      <c r="T713">
        <f t="shared" si="118"/>
        <v>146.5</v>
      </c>
      <c r="U713">
        <f t="shared" si="119"/>
        <v>139.16</v>
      </c>
    </row>
    <row r="714" spans="1:21" x14ac:dyDescent="0.3">
      <c r="A714">
        <v>713</v>
      </c>
      <c r="B714" t="str">
        <f>H714&amp;R714&amp;I714</f>
        <v>2023Dave/Nolan11</v>
      </c>
      <c r="C714" t="str">
        <f>H714&amp;S714&amp;I714</f>
        <v>2023Pat/Tucker11</v>
      </c>
      <c r="D714">
        <f t="shared" si="110"/>
        <v>424</v>
      </c>
      <c r="E714">
        <f t="shared" si="111"/>
        <v>812</v>
      </c>
      <c r="F714">
        <f t="shared" si="112"/>
        <v>800</v>
      </c>
      <c r="G714">
        <f t="shared" si="113"/>
        <v>800</v>
      </c>
      <c r="H714">
        <v>2023</v>
      </c>
      <c r="I714">
        <v>11</v>
      </c>
      <c r="J714">
        <v>53</v>
      </c>
      <c r="K714" t="s">
        <v>30</v>
      </c>
      <c r="L714">
        <v>92.16</v>
      </c>
      <c r="M714" t="s">
        <v>31</v>
      </c>
      <c r="N714">
        <v>70.040000000000006</v>
      </c>
      <c r="O714" t="s">
        <v>20</v>
      </c>
      <c r="P714">
        <f t="shared" si="114"/>
        <v>162.19999999999999</v>
      </c>
      <c r="Q714">
        <f t="shared" si="115"/>
        <v>22.11999999999999</v>
      </c>
      <c r="R714" t="str">
        <f t="shared" si="116"/>
        <v>Dave/Nolan</v>
      </c>
      <c r="S714" t="str">
        <f t="shared" si="117"/>
        <v>Pat/Tucker</v>
      </c>
      <c r="T714">
        <f t="shared" si="118"/>
        <v>92.16</v>
      </c>
      <c r="U714">
        <f t="shared" si="119"/>
        <v>70.040000000000006</v>
      </c>
    </row>
    <row r="715" spans="1:21" x14ac:dyDescent="0.3">
      <c r="A715">
        <v>714</v>
      </c>
      <c r="B715" t="str">
        <f>H715&amp;R715&amp;I715</f>
        <v>2023Drew/Cam11</v>
      </c>
      <c r="C715" t="str">
        <f>H715&amp;S715&amp;I715</f>
        <v>2023Trent/Colin11</v>
      </c>
      <c r="D715">
        <f t="shared" si="110"/>
        <v>348</v>
      </c>
      <c r="E715">
        <f t="shared" si="111"/>
        <v>606</v>
      </c>
      <c r="F715">
        <f t="shared" si="112"/>
        <v>579</v>
      </c>
      <c r="G715">
        <f t="shared" si="113"/>
        <v>626</v>
      </c>
      <c r="H715">
        <v>2023</v>
      </c>
      <c r="I715">
        <v>11</v>
      </c>
      <c r="J715">
        <v>54</v>
      </c>
      <c r="K715" t="s">
        <v>33</v>
      </c>
      <c r="L715">
        <v>84.2</v>
      </c>
      <c r="M715" t="s">
        <v>37</v>
      </c>
      <c r="N715">
        <v>110.84</v>
      </c>
      <c r="O715" t="s">
        <v>20</v>
      </c>
      <c r="P715">
        <f t="shared" si="114"/>
        <v>195.04000000000002</v>
      </c>
      <c r="Q715">
        <f t="shared" si="115"/>
        <v>26.64</v>
      </c>
      <c r="R715" t="str">
        <f t="shared" si="116"/>
        <v>Drew/Cam</v>
      </c>
      <c r="S715" t="str">
        <f t="shared" si="117"/>
        <v>Trent/Colin</v>
      </c>
      <c r="T715">
        <f t="shared" si="118"/>
        <v>110.84</v>
      </c>
      <c r="U715">
        <f t="shared" si="119"/>
        <v>84.2</v>
      </c>
    </row>
    <row r="716" spans="1:21" x14ac:dyDescent="0.3">
      <c r="A716">
        <v>715</v>
      </c>
      <c r="B716" t="str">
        <f>H716&amp;R716&amp;I716</f>
        <v>2023Brian/Travis11</v>
      </c>
      <c r="C716" t="str">
        <f>H716&amp;S716&amp;I716</f>
        <v>2023Clay/Ryan11</v>
      </c>
      <c r="D716">
        <f t="shared" si="110"/>
        <v>842</v>
      </c>
      <c r="E716">
        <f t="shared" si="111"/>
        <v>481</v>
      </c>
      <c r="F716">
        <f t="shared" si="112"/>
        <v>653</v>
      </c>
      <c r="G716">
        <f t="shared" si="113"/>
        <v>260</v>
      </c>
      <c r="H716">
        <v>2023</v>
      </c>
      <c r="I716">
        <v>11</v>
      </c>
      <c r="J716">
        <v>55</v>
      </c>
      <c r="K716" t="s">
        <v>32</v>
      </c>
      <c r="L716">
        <v>104.98</v>
      </c>
      <c r="M716" t="s">
        <v>35</v>
      </c>
      <c r="N716">
        <v>103.54</v>
      </c>
      <c r="O716" t="s">
        <v>20</v>
      </c>
      <c r="P716">
        <f t="shared" si="114"/>
        <v>208.52</v>
      </c>
      <c r="Q716">
        <f t="shared" si="115"/>
        <v>1.4399999999999977</v>
      </c>
      <c r="R716" t="str">
        <f t="shared" si="116"/>
        <v>Brian/Travis</v>
      </c>
      <c r="S716" t="str">
        <f t="shared" si="117"/>
        <v>Clay/Ryan</v>
      </c>
      <c r="T716">
        <f t="shared" si="118"/>
        <v>104.98</v>
      </c>
      <c r="U716">
        <f t="shared" si="119"/>
        <v>103.54</v>
      </c>
    </row>
    <row r="717" spans="1:21" x14ac:dyDescent="0.3">
      <c r="A717">
        <v>716</v>
      </c>
      <c r="B717" t="str">
        <f>H717&amp;R717&amp;I717</f>
        <v>2023Eric/Blake12</v>
      </c>
      <c r="C717" t="str">
        <f>H717&amp;S717&amp;I717</f>
        <v>2023Graham/Michael12</v>
      </c>
      <c r="D717">
        <f t="shared" si="110"/>
        <v>156</v>
      </c>
      <c r="E717">
        <f t="shared" si="111"/>
        <v>173</v>
      </c>
      <c r="F717">
        <f t="shared" si="112"/>
        <v>113</v>
      </c>
      <c r="G717">
        <f t="shared" si="113"/>
        <v>314</v>
      </c>
      <c r="H717">
        <v>2023</v>
      </c>
      <c r="I717">
        <v>12</v>
      </c>
      <c r="J717">
        <v>56</v>
      </c>
      <c r="K717" t="s">
        <v>34</v>
      </c>
      <c r="L717">
        <v>143.66</v>
      </c>
      <c r="M717" t="s">
        <v>29</v>
      </c>
      <c r="N717">
        <v>100.52</v>
      </c>
      <c r="O717" t="s">
        <v>20</v>
      </c>
      <c r="P717">
        <f t="shared" si="114"/>
        <v>244.18</v>
      </c>
      <c r="Q717">
        <f t="shared" si="115"/>
        <v>43.14</v>
      </c>
      <c r="R717" t="str">
        <f t="shared" si="116"/>
        <v>Eric/Blake</v>
      </c>
      <c r="S717" t="str">
        <f t="shared" si="117"/>
        <v>Graham/Michael</v>
      </c>
      <c r="T717">
        <f t="shared" si="118"/>
        <v>143.66</v>
      </c>
      <c r="U717">
        <f t="shared" si="119"/>
        <v>100.52</v>
      </c>
    </row>
    <row r="718" spans="1:21" x14ac:dyDescent="0.3">
      <c r="A718">
        <v>717</v>
      </c>
      <c r="B718" t="str">
        <f>H718&amp;R718&amp;I718</f>
        <v>2023Dave/Nolan12</v>
      </c>
      <c r="C718" t="str">
        <f>H718&amp;S718&amp;I718</f>
        <v>2023Drew/Cam12</v>
      </c>
      <c r="D718">
        <f t="shared" si="110"/>
        <v>843</v>
      </c>
      <c r="E718">
        <f t="shared" si="111"/>
        <v>402</v>
      </c>
      <c r="F718">
        <f t="shared" si="112"/>
        <v>595</v>
      </c>
      <c r="G718">
        <f t="shared" si="113"/>
        <v>211</v>
      </c>
      <c r="H718">
        <v>2023</v>
      </c>
      <c r="I718">
        <v>12</v>
      </c>
      <c r="J718">
        <v>57</v>
      </c>
      <c r="K718" t="s">
        <v>37</v>
      </c>
      <c r="L718">
        <v>107.68</v>
      </c>
      <c r="M718" t="s">
        <v>30</v>
      </c>
      <c r="N718">
        <v>109.04</v>
      </c>
      <c r="O718" t="s">
        <v>20</v>
      </c>
      <c r="P718">
        <f t="shared" si="114"/>
        <v>216.72000000000003</v>
      </c>
      <c r="Q718">
        <f t="shared" si="115"/>
        <v>1.3599999999999994</v>
      </c>
      <c r="R718" t="str">
        <f t="shared" si="116"/>
        <v>Dave/Nolan</v>
      </c>
      <c r="S718" t="str">
        <f t="shared" si="117"/>
        <v>Drew/Cam</v>
      </c>
      <c r="T718">
        <f t="shared" si="118"/>
        <v>109.04</v>
      </c>
      <c r="U718">
        <f t="shared" si="119"/>
        <v>107.68</v>
      </c>
    </row>
    <row r="719" spans="1:21" x14ac:dyDescent="0.3">
      <c r="A719">
        <v>718</v>
      </c>
      <c r="B719" t="str">
        <f>H719&amp;R719&amp;I719</f>
        <v>2023David/Marshall12</v>
      </c>
      <c r="C719" t="str">
        <f>H719&amp;S719&amp;I719</f>
        <v>2023Clay/Ryan12</v>
      </c>
      <c r="D719">
        <f t="shared" si="110"/>
        <v>152</v>
      </c>
      <c r="E719">
        <f t="shared" si="111"/>
        <v>593</v>
      </c>
      <c r="F719">
        <f t="shared" si="112"/>
        <v>428</v>
      </c>
      <c r="G719">
        <f t="shared" si="113"/>
        <v>711</v>
      </c>
      <c r="H719">
        <v>2023</v>
      </c>
      <c r="I719">
        <v>12</v>
      </c>
      <c r="J719">
        <v>58</v>
      </c>
      <c r="K719" t="s">
        <v>35</v>
      </c>
      <c r="L719">
        <v>76.599999999999994</v>
      </c>
      <c r="M719" t="s">
        <v>38</v>
      </c>
      <c r="N719">
        <v>120.18</v>
      </c>
      <c r="O719" t="s">
        <v>20</v>
      </c>
      <c r="P719">
        <f t="shared" si="114"/>
        <v>196.78</v>
      </c>
      <c r="Q719">
        <f t="shared" si="115"/>
        <v>43.580000000000013</v>
      </c>
      <c r="R719" t="str">
        <f t="shared" si="116"/>
        <v>David/Marshall</v>
      </c>
      <c r="S719" t="str">
        <f t="shared" si="117"/>
        <v>Clay/Ryan</v>
      </c>
      <c r="T719">
        <f t="shared" si="118"/>
        <v>120.18</v>
      </c>
      <c r="U719">
        <f t="shared" si="119"/>
        <v>76.599999999999994</v>
      </c>
    </row>
    <row r="720" spans="1:21" x14ac:dyDescent="0.3">
      <c r="A720">
        <v>719</v>
      </c>
      <c r="B720" t="str">
        <f>H720&amp;R720&amp;I720</f>
        <v>2023Walker/Cory12</v>
      </c>
      <c r="C720" t="str">
        <f>H720&amp;S720&amp;I720</f>
        <v>2023Pat/Tucker12</v>
      </c>
      <c r="D720">
        <f t="shared" si="110"/>
        <v>540</v>
      </c>
      <c r="E720">
        <f t="shared" si="111"/>
        <v>293</v>
      </c>
      <c r="F720">
        <f t="shared" si="112"/>
        <v>396</v>
      </c>
      <c r="G720">
        <f t="shared" si="113"/>
        <v>224</v>
      </c>
      <c r="H720">
        <v>2023</v>
      </c>
      <c r="I720">
        <v>12</v>
      </c>
      <c r="J720">
        <v>59</v>
      </c>
      <c r="K720" t="s">
        <v>31</v>
      </c>
      <c r="L720">
        <v>106.66</v>
      </c>
      <c r="M720" t="s">
        <v>36</v>
      </c>
      <c r="N720">
        <v>122.08</v>
      </c>
      <c r="O720" t="s">
        <v>20</v>
      </c>
      <c r="P720">
        <f t="shared" si="114"/>
        <v>228.74</v>
      </c>
      <c r="Q720">
        <f t="shared" si="115"/>
        <v>15.420000000000002</v>
      </c>
      <c r="R720" t="str">
        <f t="shared" si="116"/>
        <v>Walker/Cory</v>
      </c>
      <c r="S720" t="str">
        <f t="shared" si="117"/>
        <v>Pat/Tucker</v>
      </c>
      <c r="T720">
        <f t="shared" si="118"/>
        <v>122.08</v>
      </c>
      <c r="U720">
        <f t="shared" si="119"/>
        <v>106.66</v>
      </c>
    </row>
    <row r="721" spans="1:21" x14ac:dyDescent="0.3">
      <c r="A721">
        <v>720</v>
      </c>
      <c r="B721" t="str">
        <f>H721&amp;R721&amp;I721</f>
        <v>2023Brian/Travis12</v>
      </c>
      <c r="C721" t="str">
        <f>H721&amp;S721&amp;I721</f>
        <v>2023Trent/Colin12</v>
      </c>
      <c r="D721">
        <f t="shared" si="110"/>
        <v>602</v>
      </c>
      <c r="E721">
        <f t="shared" si="111"/>
        <v>311</v>
      </c>
      <c r="F721">
        <f t="shared" si="112"/>
        <v>434</v>
      </c>
      <c r="G721">
        <f t="shared" si="113"/>
        <v>215</v>
      </c>
      <c r="H721">
        <v>2023</v>
      </c>
      <c r="I721">
        <v>12</v>
      </c>
      <c r="J721">
        <v>60</v>
      </c>
      <c r="K721" t="s">
        <v>32</v>
      </c>
      <c r="L721">
        <v>119.52</v>
      </c>
      <c r="M721" t="s">
        <v>33</v>
      </c>
      <c r="N721">
        <v>107.5</v>
      </c>
      <c r="O721" t="s">
        <v>20</v>
      </c>
      <c r="P721">
        <f t="shared" si="114"/>
        <v>227.01999999999998</v>
      </c>
      <c r="Q721">
        <f t="shared" si="115"/>
        <v>12.019999999999996</v>
      </c>
      <c r="R721" t="str">
        <f t="shared" si="116"/>
        <v>Brian/Travis</v>
      </c>
      <c r="S721" t="str">
        <f t="shared" si="117"/>
        <v>Trent/Colin</v>
      </c>
      <c r="T721">
        <f t="shared" si="118"/>
        <v>119.52</v>
      </c>
      <c r="U721">
        <f t="shared" si="119"/>
        <v>107.5</v>
      </c>
    </row>
    <row r="722" spans="1:21" x14ac:dyDescent="0.3">
      <c r="A722">
        <v>721</v>
      </c>
      <c r="B722" t="str">
        <f>H722&amp;R722&amp;I722</f>
        <v>2023Graham/Michael13</v>
      </c>
      <c r="C722" t="str">
        <f>H722&amp;S722&amp;I722</f>
        <v>2023Clay/Ryan13</v>
      </c>
      <c r="D722">
        <f t="shared" si="110"/>
        <v>83</v>
      </c>
      <c r="E722">
        <f t="shared" si="111"/>
        <v>527</v>
      </c>
      <c r="F722">
        <f t="shared" si="112"/>
        <v>276</v>
      </c>
      <c r="G722">
        <f t="shared" si="113"/>
        <v>722</v>
      </c>
      <c r="H722">
        <v>2023</v>
      </c>
      <c r="I722">
        <v>13</v>
      </c>
      <c r="J722">
        <v>61</v>
      </c>
      <c r="K722" t="s">
        <v>35</v>
      </c>
      <c r="L722">
        <v>75.58</v>
      </c>
      <c r="M722" t="s">
        <v>29</v>
      </c>
      <c r="N722">
        <v>128.69999999999999</v>
      </c>
      <c r="O722" t="s">
        <v>20</v>
      </c>
      <c r="P722">
        <f t="shared" si="114"/>
        <v>204.27999999999997</v>
      </c>
      <c r="Q722">
        <f t="shared" si="115"/>
        <v>53.11999999999999</v>
      </c>
      <c r="R722" t="str">
        <f t="shared" si="116"/>
        <v>Graham/Michael</v>
      </c>
      <c r="S722" t="str">
        <f t="shared" si="117"/>
        <v>Clay/Ryan</v>
      </c>
      <c r="T722">
        <f t="shared" si="118"/>
        <v>128.69999999999999</v>
      </c>
      <c r="U722">
        <f t="shared" si="119"/>
        <v>75.58</v>
      </c>
    </row>
    <row r="723" spans="1:21" x14ac:dyDescent="0.3">
      <c r="A723">
        <v>722</v>
      </c>
      <c r="B723" t="str">
        <f>H723&amp;R723&amp;I723</f>
        <v>2023Dave/Nolan13</v>
      </c>
      <c r="C723" t="str">
        <f>H723&amp;S723&amp;I723</f>
        <v>2023Walker/Cory13</v>
      </c>
      <c r="D723">
        <f t="shared" si="110"/>
        <v>1</v>
      </c>
      <c r="E723">
        <f t="shared" si="111"/>
        <v>23</v>
      </c>
      <c r="F723">
        <f t="shared" si="112"/>
        <v>1</v>
      </c>
      <c r="G723">
        <f t="shared" si="113"/>
        <v>492</v>
      </c>
      <c r="H723">
        <v>2023</v>
      </c>
      <c r="I723">
        <v>13</v>
      </c>
      <c r="J723">
        <v>62</v>
      </c>
      <c r="K723" t="s">
        <v>36</v>
      </c>
      <c r="L723">
        <v>90.88</v>
      </c>
      <c r="M723" t="s">
        <v>30</v>
      </c>
      <c r="N723">
        <v>190.28</v>
      </c>
      <c r="O723" t="s">
        <v>20</v>
      </c>
      <c r="P723">
        <f t="shared" si="114"/>
        <v>281.15999999999997</v>
      </c>
      <c r="Q723">
        <f t="shared" si="115"/>
        <v>99.4</v>
      </c>
      <c r="R723" t="str">
        <f t="shared" si="116"/>
        <v>Dave/Nolan</v>
      </c>
      <c r="S723" t="str">
        <f t="shared" si="117"/>
        <v>Walker/Cory</v>
      </c>
      <c r="T723">
        <f t="shared" si="118"/>
        <v>190.28</v>
      </c>
      <c r="U723">
        <f t="shared" si="119"/>
        <v>90.88</v>
      </c>
    </row>
    <row r="724" spans="1:21" x14ac:dyDescent="0.3">
      <c r="A724">
        <v>723</v>
      </c>
      <c r="B724" t="str">
        <f>H724&amp;R724&amp;I724</f>
        <v>2023Drew/Cam13</v>
      </c>
      <c r="C724" t="str">
        <f>H724&amp;S724&amp;I724</f>
        <v>2023Brian/Travis13</v>
      </c>
      <c r="D724">
        <f t="shared" si="110"/>
        <v>167</v>
      </c>
      <c r="E724">
        <f t="shared" si="111"/>
        <v>466</v>
      </c>
      <c r="F724">
        <f t="shared" si="112"/>
        <v>320</v>
      </c>
      <c r="G724">
        <f t="shared" si="113"/>
        <v>635</v>
      </c>
      <c r="H724">
        <v>2023</v>
      </c>
      <c r="I724">
        <v>13</v>
      </c>
      <c r="J724">
        <v>63</v>
      </c>
      <c r="K724" t="s">
        <v>37</v>
      </c>
      <c r="L724">
        <v>126.08</v>
      </c>
      <c r="M724" t="s">
        <v>32</v>
      </c>
      <c r="N724">
        <v>83.8</v>
      </c>
      <c r="O724" t="s">
        <v>20</v>
      </c>
      <c r="P724">
        <f t="shared" si="114"/>
        <v>209.88</v>
      </c>
      <c r="Q724">
        <f t="shared" si="115"/>
        <v>42.28</v>
      </c>
      <c r="R724" t="str">
        <f t="shared" si="116"/>
        <v>Drew/Cam</v>
      </c>
      <c r="S724" t="str">
        <f t="shared" si="117"/>
        <v>Brian/Travis</v>
      </c>
      <c r="T724">
        <f t="shared" si="118"/>
        <v>126.08</v>
      </c>
      <c r="U724">
        <f t="shared" si="119"/>
        <v>83.8</v>
      </c>
    </row>
    <row r="725" spans="1:21" x14ac:dyDescent="0.3">
      <c r="A725">
        <v>724</v>
      </c>
      <c r="B725" t="str">
        <f>H725&amp;R725&amp;I725</f>
        <v>2023Eric/Blake13</v>
      </c>
      <c r="C725" t="str">
        <f>H725&amp;S725&amp;I725</f>
        <v>2023Pat/Tucker13</v>
      </c>
      <c r="D725">
        <f t="shared" si="110"/>
        <v>17</v>
      </c>
      <c r="E725">
        <f t="shared" si="111"/>
        <v>144</v>
      </c>
      <c r="F725">
        <f t="shared" si="112"/>
        <v>33</v>
      </c>
      <c r="G725">
        <f t="shared" si="113"/>
        <v>557</v>
      </c>
      <c r="H725">
        <v>2023</v>
      </c>
      <c r="I725">
        <v>13</v>
      </c>
      <c r="J725">
        <v>64</v>
      </c>
      <c r="K725" t="s">
        <v>31</v>
      </c>
      <c r="L725">
        <v>87.56</v>
      </c>
      <c r="M725" t="s">
        <v>34</v>
      </c>
      <c r="N725">
        <v>160.84</v>
      </c>
      <c r="O725" t="s">
        <v>20</v>
      </c>
      <c r="P725">
        <f t="shared" si="114"/>
        <v>248.4</v>
      </c>
      <c r="Q725">
        <f t="shared" si="115"/>
        <v>73.28</v>
      </c>
      <c r="R725" t="str">
        <f t="shared" si="116"/>
        <v>Eric/Blake</v>
      </c>
      <c r="S725" t="str">
        <f t="shared" si="117"/>
        <v>Pat/Tucker</v>
      </c>
      <c r="T725">
        <f t="shared" si="118"/>
        <v>160.84</v>
      </c>
      <c r="U725">
        <f t="shared" si="119"/>
        <v>87.56</v>
      </c>
    </row>
    <row r="726" spans="1:21" x14ac:dyDescent="0.3">
      <c r="A726">
        <v>725</v>
      </c>
      <c r="B726" t="str">
        <f>H726&amp;R726&amp;I726</f>
        <v>2023Trent/Colin13</v>
      </c>
      <c r="C726" t="str">
        <f>H726&amp;S726&amp;I726</f>
        <v>2023David/Marshall13</v>
      </c>
      <c r="D726">
        <f t="shared" si="110"/>
        <v>12</v>
      </c>
      <c r="E726">
        <f t="shared" si="111"/>
        <v>160</v>
      </c>
      <c r="F726">
        <f t="shared" si="112"/>
        <v>32</v>
      </c>
      <c r="G726">
        <f t="shared" si="113"/>
        <v>636</v>
      </c>
      <c r="H726">
        <v>2023</v>
      </c>
      <c r="I726">
        <v>13</v>
      </c>
      <c r="J726">
        <v>65</v>
      </c>
      <c r="K726" t="s">
        <v>38</v>
      </c>
      <c r="L726">
        <v>83.58</v>
      </c>
      <c r="M726" t="s">
        <v>33</v>
      </c>
      <c r="N726">
        <v>162.32</v>
      </c>
      <c r="O726" t="s">
        <v>20</v>
      </c>
      <c r="P726">
        <f t="shared" si="114"/>
        <v>245.89999999999998</v>
      </c>
      <c r="Q726">
        <f t="shared" si="115"/>
        <v>78.739999999999995</v>
      </c>
      <c r="R726" t="str">
        <f t="shared" si="116"/>
        <v>Trent/Colin</v>
      </c>
      <c r="S726" t="str">
        <f t="shared" si="117"/>
        <v>David/Marshall</v>
      </c>
      <c r="T726">
        <f t="shared" si="118"/>
        <v>162.32</v>
      </c>
      <c r="U726">
        <f t="shared" si="119"/>
        <v>83.58</v>
      </c>
    </row>
    <row r="727" spans="1:21" x14ac:dyDescent="0.3">
      <c r="A727">
        <v>726</v>
      </c>
      <c r="B727" t="str">
        <f>H727&amp;R727&amp;I727</f>
        <v>2023Drew/Cam14</v>
      </c>
      <c r="C727" t="str">
        <f>H727&amp;S727&amp;I727</f>
        <v>2023Graham/Michael14</v>
      </c>
      <c r="D727">
        <f t="shared" si="110"/>
        <v>742</v>
      </c>
      <c r="E727">
        <f t="shared" si="111"/>
        <v>397</v>
      </c>
      <c r="F727">
        <f t="shared" si="112"/>
        <v>553</v>
      </c>
      <c r="G727">
        <f t="shared" si="113"/>
        <v>235</v>
      </c>
      <c r="H727">
        <v>2023</v>
      </c>
      <c r="I727">
        <v>14</v>
      </c>
      <c r="J727">
        <v>66</v>
      </c>
      <c r="K727" t="s">
        <v>29</v>
      </c>
      <c r="L727">
        <v>105.5</v>
      </c>
      <c r="M727" t="s">
        <v>37</v>
      </c>
      <c r="N727">
        <v>111.92</v>
      </c>
      <c r="O727" t="s">
        <v>20</v>
      </c>
      <c r="P727">
        <f t="shared" si="114"/>
        <v>217.42000000000002</v>
      </c>
      <c r="Q727">
        <f t="shared" si="115"/>
        <v>6.4200000000000017</v>
      </c>
      <c r="R727" t="str">
        <f t="shared" si="116"/>
        <v>Drew/Cam</v>
      </c>
      <c r="S727" t="str">
        <f t="shared" si="117"/>
        <v>Graham/Michael</v>
      </c>
      <c r="T727">
        <f t="shared" si="118"/>
        <v>111.92</v>
      </c>
      <c r="U727">
        <f t="shared" si="119"/>
        <v>105.5</v>
      </c>
    </row>
    <row r="728" spans="1:21" x14ac:dyDescent="0.3">
      <c r="A728">
        <v>727</v>
      </c>
      <c r="B728" t="str">
        <f>H728&amp;R728&amp;I728</f>
        <v>2023Brian/Travis14</v>
      </c>
      <c r="C728" t="str">
        <f>H728&amp;S728&amp;I728</f>
        <v>2023Pat/Tucker14</v>
      </c>
      <c r="D728">
        <f t="shared" si="110"/>
        <v>602</v>
      </c>
      <c r="E728">
        <f t="shared" si="111"/>
        <v>793</v>
      </c>
      <c r="F728">
        <f t="shared" si="112"/>
        <v>816</v>
      </c>
      <c r="G728">
        <f t="shared" si="113"/>
        <v>695</v>
      </c>
      <c r="H728">
        <v>2023</v>
      </c>
      <c r="I728">
        <v>14</v>
      </c>
      <c r="J728">
        <v>67</v>
      </c>
      <c r="K728" t="s">
        <v>31</v>
      </c>
      <c r="L728">
        <v>78.22</v>
      </c>
      <c r="M728" t="s">
        <v>32</v>
      </c>
      <c r="N728">
        <v>90.24</v>
      </c>
      <c r="O728" t="s">
        <v>20</v>
      </c>
      <c r="P728">
        <f t="shared" si="114"/>
        <v>168.45999999999998</v>
      </c>
      <c r="Q728">
        <f t="shared" si="115"/>
        <v>12.019999999999996</v>
      </c>
      <c r="R728" t="str">
        <f t="shared" si="116"/>
        <v>Brian/Travis</v>
      </c>
      <c r="S728" t="str">
        <f t="shared" si="117"/>
        <v>Pat/Tucker</v>
      </c>
      <c r="T728">
        <f t="shared" si="118"/>
        <v>90.24</v>
      </c>
      <c r="U728">
        <f t="shared" si="119"/>
        <v>78.22</v>
      </c>
    </row>
    <row r="729" spans="1:21" x14ac:dyDescent="0.3">
      <c r="A729">
        <v>728</v>
      </c>
      <c r="B729" t="str">
        <f>H729&amp;R729&amp;I729</f>
        <v>2023Eric/Blake14</v>
      </c>
      <c r="C729" t="str">
        <f>H729&amp;S729&amp;I729</f>
        <v>2023Trent/Colin14</v>
      </c>
      <c r="D729">
        <f t="shared" si="110"/>
        <v>827</v>
      </c>
      <c r="E729">
        <f t="shared" si="111"/>
        <v>644</v>
      </c>
      <c r="F729">
        <f t="shared" si="112"/>
        <v>753</v>
      </c>
      <c r="G729">
        <f t="shared" si="113"/>
        <v>433</v>
      </c>
      <c r="H729">
        <v>2023</v>
      </c>
      <c r="I729">
        <v>14</v>
      </c>
      <c r="J729">
        <v>68</v>
      </c>
      <c r="K729" t="s">
        <v>34</v>
      </c>
      <c r="L729">
        <v>96.52</v>
      </c>
      <c r="M729" t="s">
        <v>33</v>
      </c>
      <c r="N729">
        <v>94.08</v>
      </c>
      <c r="O729" t="s">
        <v>20</v>
      </c>
      <c r="P729">
        <f t="shared" si="114"/>
        <v>190.6</v>
      </c>
      <c r="Q729">
        <f t="shared" si="115"/>
        <v>2.4399999999999977</v>
      </c>
      <c r="R729" t="str">
        <f t="shared" si="116"/>
        <v>Eric/Blake</v>
      </c>
      <c r="S729" t="str">
        <f t="shared" si="117"/>
        <v>Trent/Colin</v>
      </c>
      <c r="T729">
        <f t="shared" si="118"/>
        <v>96.52</v>
      </c>
      <c r="U729">
        <f t="shared" si="119"/>
        <v>94.08</v>
      </c>
    </row>
    <row r="730" spans="1:21" x14ac:dyDescent="0.3">
      <c r="A730">
        <v>729</v>
      </c>
      <c r="B730" t="str">
        <f>H730&amp;R730&amp;I730</f>
        <v>2023David/Marshall14</v>
      </c>
      <c r="C730" t="str">
        <f>H730&amp;S730&amp;I730</f>
        <v>2023Dave/Nolan14</v>
      </c>
      <c r="D730">
        <f t="shared" si="110"/>
        <v>482</v>
      </c>
      <c r="E730">
        <f t="shared" si="111"/>
        <v>103</v>
      </c>
      <c r="F730">
        <f t="shared" si="112"/>
        <v>169</v>
      </c>
      <c r="G730">
        <f t="shared" si="113"/>
        <v>85</v>
      </c>
      <c r="H730">
        <v>2023</v>
      </c>
      <c r="I730">
        <v>14</v>
      </c>
      <c r="J730">
        <v>69</v>
      </c>
      <c r="K730" t="s">
        <v>30</v>
      </c>
      <c r="L730">
        <v>118.64</v>
      </c>
      <c r="M730" t="s">
        <v>38</v>
      </c>
      <c r="N730">
        <v>137.24</v>
      </c>
      <c r="O730" t="s">
        <v>20</v>
      </c>
      <c r="P730">
        <f t="shared" si="114"/>
        <v>255.88</v>
      </c>
      <c r="Q730">
        <f t="shared" si="115"/>
        <v>18.600000000000009</v>
      </c>
      <c r="R730" t="str">
        <f t="shared" si="116"/>
        <v>David/Marshall</v>
      </c>
      <c r="S730" t="str">
        <f t="shared" si="117"/>
        <v>Dave/Nolan</v>
      </c>
      <c r="T730">
        <f t="shared" si="118"/>
        <v>137.24</v>
      </c>
      <c r="U730">
        <f t="shared" si="119"/>
        <v>118.64</v>
      </c>
    </row>
    <row r="731" spans="1:21" x14ac:dyDescent="0.3">
      <c r="A731">
        <v>730</v>
      </c>
      <c r="B731" t="str">
        <f>H731&amp;R731&amp;I731</f>
        <v>2023Clay/Ryan14</v>
      </c>
      <c r="C731" t="str">
        <f>H731&amp;S731&amp;I731</f>
        <v>2023Walker/Cory14</v>
      </c>
      <c r="D731">
        <f t="shared" si="110"/>
        <v>441</v>
      </c>
      <c r="E731">
        <f t="shared" si="111"/>
        <v>587</v>
      </c>
      <c r="F731">
        <f t="shared" si="112"/>
        <v>591</v>
      </c>
      <c r="G731">
        <f t="shared" si="113"/>
        <v>543</v>
      </c>
      <c r="H731">
        <v>2023</v>
      </c>
      <c r="I731">
        <v>14</v>
      </c>
      <c r="J731">
        <v>70</v>
      </c>
      <c r="K731" t="s">
        <v>36</v>
      </c>
      <c r="L731">
        <v>88.04</v>
      </c>
      <c r="M731" t="s">
        <v>35</v>
      </c>
      <c r="N731">
        <v>109.52</v>
      </c>
      <c r="O731" t="s">
        <v>20</v>
      </c>
      <c r="P731">
        <f t="shared" si="114"/>
        <v>197.56</v>
      </c>
      <c r="Q731">
        <f t="shared" si="115"/>
        <v>21.47999999999999</v>
      </c>
      <c r="R731" t="str">
        <f t="shared" si="116"/>
        <v>Clay/Ryan</v>
      </c>
      <c r="S731" t="str">
        <f t="shared" si="117"/>
        <v>Walker/Cory</v>
      </c>
      <c r="T731">
        <f t="shared" si="118"/>
        <v>109.52</v>
      </c>
      <c r="U731">
        <f t="shared" si="119"/>
        <v>88.04</v>
      </c>
    </row>
    <row r="732" spans="1:21" x14ac:dyDescent="0.3">
      <c r="A732">
        <v>731</v>
      </c>
      <c r="B732" t="str">
        <f>H732&amp;R732&amp;I732</f>
        <v>2024Graham/Michael1</v>
      </c>
      <c r="C732" t="str">
        <f>H732&amp;S732&amp;I732</f>
        <v>2024Dave/Nolan1</v>
      </c>
      <c r="D732">
        <f t="shared" si="110"/>
        <v>631</v>
      </c>
      <c r="E732">
        <f t="shared" si="111"/>
        <v>528</v>
      </c>
      <c r="F732">
        <f t="shared" si="112"/>
        <v>612</v>
      </c>
      <c r="G732">
        <f t="shared" si="113"/>
        <v>388</v>
      </c>
      <c r="H732">
        <v>2024</v>
      </c>
      <c r="I732">
        <v>1</v>
      </c>
      <c r="J732">
        <v>1</v>
      </c>
      <c r="K732" t="s">
        <v>30</v>
      </c>
      <c r="L732">
        <v>96.64</v>
      </c>
      <c r="M732" t="s">
        <v>29</v>
      </c>
      <c r="N732">
        <v>107.56</v>
      </c>
      <c r="O732" t="s">
        <v>20</v>
      </c>
      <c r="P732">
        <f t="shared" si="114"/>
        <v>204.2</v>
      </c>
      <c r="Q732">
        <f t="shared" si="115"/>
        <v>10.920000000000002</v>
      </c>
      <c r="R732" t="str">
        <f t="shared" si="116"/>
        <v>Graham/Michael</v>
      </c>
      <c r="S732" t="str">
        <f t="shared" si="117"/>
        <v>Dave/Nolan</v>
      </c>
      <c r="T732">
        <f t="shared" si="118"/>
        <v>107.56</v>
      </c>
      <c r="U732">
        <f t="shared" si="119"/>
        <v>96.64</v>
      </c>
    </row>
    <row r="733" spans="1:21" x14ac:dyDescent="0.3">
      <c r="A733">
        <v>732</v>
      </c>
      <c r="B733" t="str">
        <f>H733&amp;R733&amp;I733</f>
        <v>2024Brian/Travis1</v>
      </c>
      <c r="C733" t="str">
        <f>H733&amp;S733&amp;I733</f>
        <v>2024Pat/Tucker1</v>
      </c>
      <c r="D733">
        <f t="shared" si="110"/>
        <v>596</v>
      </c>
      <c r="E733">
        <f t="shared" si="111"/>
        <v>791</v>
      </c>
      <c r="F733">
        <f t="shared" si="112"/>
        <v>810</v>
      </c>
      <c r="G733">
        <f t="shared" si="113"/>
        <v>690</v>
      </c>
      <c r="H733">
        <v>2024</v>
      </c>
      <c r="I733">
        <v>1</v>
      </c>
      <c r="J733">
        <v>2</v>
      </c>
      <c r="K733" t="s">
        <v>32</v>
      </c>
      <c r="L733">
        <v>90.92</v>
      </c>
      <c r="M733" t="s">
        <v>31</v>
      </c>
      <c r="N733">
        <v>78.56</v>
      </c>
      <c r="O733" t="s">
        <v>20</v>
      </c>
      <c r="P733">
        <f t="shared" si="114"/>
        <v>169.48000000000002</v>
      </c>
      <c r="Q733">
        <f t="shared" si="115"/>
        <v>12.36</v>
      </c>
      <c r="R733" t="str">
        <f t="shared" si="116"/>
        <v>Brian/Travis</v>
      </c>
      <c r="S733" t="str">
        <f t="shared" si="117"/>
        <v>Pat/Tucker</v>
      </c>
      <c r="T733">
        <f t="shared" si="118"/>
        <v>90.92</v>
      </c>
      <c r="U733">
        <f t="shared" si="119"/>
        <v>78.56</v>
      </c>
    </row>
    <row r="734" spans="1:21" x14ac:dyDescent="0.3">
      <c r="A734">
        <v>733</v>
      </c>
      <c r="B734" t="str">
        <f>H734&amp;R734&amp;I734</f>
        <v>2024Eric/Blake1</v>
      </c>
      <c r="C734" t="str">
        <f>H734&amp;S734&amp;I734</f>
        <v>2024Walker/Cory1</v>
      </c>
      <c r="D734">
        <f t="shared" si="110"/>
        <v>401</v>
      </c>
      <c r="E734">
        <f t="shared" si="111"/>
        <v>566</v>
      </c>
      <c r="F734">
        <f t="shared" si="112"/>
        <v>570</v>
      </c>
      <c r="G734">
        <f t="shared" si="113"/>
        <v>537</v>
      </c>
      <c r="H734">
        <v>2024</v>
      </c>
      <c r="I734">
        <v>1</v>
      </c>
      <c r="J734">
        <v>3</v>
      </c>
      <c r="K734" t="s">
        <v>34</v>
      </c>
      <c r="L734">
        <v>111.36</v>
      </c>
      <c r="M734" t="s">
        <v>36</v>
      </c>
      <c r="N734">
        <v>88.34</v>
      </c>
      <c r="O734" t="s">
        <v>20</v>
      </c>
      <c r="P734">
        <f t="shared" si="114"/>
        <v>199.7</v>
      </c>
      <c r="Q734">
        <f t="shared" si="115"/>
        <v>23.019999999999996</v>
      </c>
      <c r="R734" t="str">
        <f t="shared" si="116"/>
        <v>Eric/Blake</v>
      </c>
      <c r="S734" t="str">
        <f t="shared" si="117"/>
        <v>Walker/Cory</v>
      </c>
      <c r="T734">
        <f t="shared" si="118"/>
        <v>111.36</v>
      </c>
      <c r="U734">
        <f t="shared" si="119"/>
        <v>88.34</v>
      </c>
    </row>
    <row r="735" spans="1:21" x14ac:dyDescent="0.3">
      <c r="A735">
        <v>734</v>
      </c>
      <c r="B735" t="str">
        <f>H735&amp;R735&amp;I735</f>
        <v>2024Clay/Ryan1</v>
      </c>
      <c r="C735" t="str">
        <f>H735&amp;S735&amp;I735</f>
        <v>2024Trent/Colin1</v>
      </c>
      <c r="D735">
        <f t="shared" si="110"/>
        <v>63</v>
      </c>
      <c r="E735">
        <f t="shared" si="111"/>
        <v>634</v>
      </c>
      <c r="F735">
        <f t="shared" si="112"/>
        <v>352</v>
      </c>
      <c r="G735">
        <f t="shared" si="113"/>
        <v>808</v>
      </c>
      <c r="H735">
        <v>2024</v>
      </c>
      <c r="I735">
        <v>1</v>
      </c>
      <c r="J735">
        <v>4</v>
      </c>
      <c r="K735" t="s">
        <v>33</v>
      </c>
      <c r="L735">
        <v>67.819999999999993</v>
      </c>
      <c r="M735" t="s">
        <v>35</v>
      </c>
      <c r="N735">
        <v>124.48</v>
      </c>
      <c r="O735" t="s">
        <v>20</v>
      </c>
      <c r="P735">
        <f t="shared" si="114"/>
        <v>192.3</v>
      </c>
      <c r="Q735">
        <f t="shared" si="115"/>
        <v>56.660000000000011</v>
      </c>
      <c r="R735" t="str">
        <f t="shared" si="116"/>
        <v>Clay/Ryan</v>
      </c>
      <c r="S735" t="str">
        <f t="shared" si="117"/>
        <v>Trent/Colin</v>
      </c>
      <c r="T735">
        <f t="shared" si="118"/>
        <v>124.48</v>
      </c>
      <c r="U735">
        <f t="shared" si="119"/>
        <v>67.819999999999993</v>
      </c>
    </row>
    <row r="736" spans="1:21" x14ac:dyDescent="0.3">
      <c r="A736">
        <v>735</v>
      </c>
      <c r="B736" t="str">
        <f>H736&amp;R736&amp;I736</f>
        <v>2024David/Marshall1</v>
      </c>
      <c r="C736" t="str">
        <f>H736&amp;S736&amp;I736</f>
        <v>2024Drew/Cam1</v>
      </c>
      <c r="D736">
        <f t="shared" si="110"/>
        <v>309</v>
      </c>
      <c r="E736">
        <f t="shared" si="111"/>
        <v>268</v>
      </c>
      <c r="F736">
        <f t="shared" si="112"/>
        <v>240</v>
      </c>
      <c r="G736">
        <f t="shared" si="113"/>
        <v>301</v>
      </c>
      <c r="H736">
        <v>2024</v>
      </c>
      <c r="I736">
        <v>1</v>
      </c>
      <c r="J736">
        <v>5</v>
      </c>
      <c r="K736" t="s">
        <v>38</v>
      </c>
      <c r="L736">
        <v>130.68</v>
      </c>
      <c r="M736" t="s">
        <v>37</v>
      </c>
      <c r="N736">
        <v>101.18</v>
      </c>
      <c r="O736" t="s">
        <v>20</v>
      </c>
      <c r="P736">
        <f t="shared" si="114"/>
        <v>231.86</v>
      </c>
      <c r="Q736">
        <f t="shared" si="115"/>
        <v>29.5</v>
      </c>
      <c r="R736" t="str">
        <f t="shared" si="116"/>
        <v>David/Marshall</v>
      </c>
      <c r="S736" t="str">
        <f t="shared" si="117"/>
        <v>Drew/Cam</v>
      </c>
      <c r="T736">
        <f t="shared" si="118"/>
        <v>130.68</v>
      </c>
      <c r="U736">
        <f t="shared" si="119"/>
        <v>101.18</v>
      </c>
    </row>
    <row r="737" spans="1:21" x14ac:dyDescent="0.3">
      <c r="A737">
        <v>736</v>
      </c>
      <c r="B737" t="str">
        <f>H737&amp;R737&amp;I737</f>
        <v>2024Graham/Michael2</v>
      </c>
      <c r="C737" t="str">
        <f>H737&amp;S737&amp;I737</f>
        <v>2024Walker/Cory2</v>
      </c>
      <c r="D737">
        <f t="shared" si="110"/>
        <v>292</v>
      </c>
      <c r="E737">
        <f t="shared" si="111"/>
        <v>137</v>
      </c>
      <c r="F737">
        <f t="shared" si="112"/>
        <v>135</v>
      </c>
      <c r="G737">
        <f t="shared" si="113"/>
        <v>191</v>
      </c>
      <c r="H737">
        <v>2024</v>
      </c>
      <c r="I737">
        <v>2</v>
      </c>
      <c r="J737">
        <v>6</v>
      </c>
      <c r="K737" t="s">
        <v>36</v>
      </c>
      <c r="L737">
        <v>109.24</v>
      </c>
      <c r="M737" t="s">
        <v>29</v>
      </c>
      <c r="N737">
        <v>140.02000000000001</v>
      </c>
      <c r="O737" t="s">
        <v>20</v>
      </c>
      <c r="P737">
        <f t="shared" si="114"/>
        <v>249.26</v>
      </c>
      <c r="Q737">
        <f t="shared" si="115"/>
        <v>30.780000000000015</v>
      </c>
      <c r="R737" t="str">
        <f t="shared" si="116"/>
        <v>Graham/Michael</v>
      </c>
      <c r="S737" t="str">
        <f t="shared" si="117"/>
        <v>Walker/Cory</v>
      </c>
      <c r="T737">
        <f t="shared" si="118"/>
        <v>140.02000000000001</v>
      </c>
      <c r="U737">
        <f t="shared" si="119"/>
        <v>109.24</v>
      </c>
    </row>
    <row r="738" spans="1:21" x14ac:dyDescent="0.3">
      <c r="A738">
        <v>737</v>
      </c>
      <c r="B738" t="str">
        <f>H738&amp;R738&amp;I738</f>
        <v>2024Trent/Colin2</v>
      </c>
      <c r="C738" t="str">
        <f>H738&amp;S738&amp;I738</f>
        <v>2024Eric/Blake2</v>
      </c>
      <c r="D738">
        <f t="shared" si="110"/>
        <v>342</v>
      </c>
      <c r="E738">
        <f t="shared" si="111"/>
        <v>509</v>
      </c>
      <c r="F738">
        <f t="shared" si="112"/>
        <v>481</v>
      </c>
      <c r="G738">
        <f t="shared" si="113"/>
        <v>523</v>
      </c>
      <c r="H738">
        <v>2024</v>
      </c>
      <c r="I738">
        <v>2</v>
      </c>
      <c r="J738">
        <v>7</v>
      </c>
      <c r="K738" t="s">
        <v>33</v>
      </c>
      <c r="L738">
        <v>116.62</v>
      </c>
      <c r="M738" t="s">
        <v>34</v>
      </c>
      <c r="N738">
        <v>89.44</v>
      </c>
      <c r="O738" t="s">
        <v>20</v>
      </c>
      <c r="P738">
        <f t="shared" si="114"/>
        <v>206.06</v>
      </c>
      <c r="Q738">
        <f t="shared" si="115"/>
        <v>27.180000000000007</v>
      </c>
      <c r="R738" t="str">
        <f t="shared" si="116"/>
        <v>Trent/Colin</v>
      </c>
      <c r="S738" t="str">
        <f t="shared" si="117"/>
        <v>Eric/Blake</v>
      </c>
      <c r="T738">
        <f t="shared" si="118"/>
        <v>116.62</v>
      </c>
      <c r="U738">
        <f t="shared" si="119"/>
        <v>89.44</v>
      </c>
    </row>
    <row r="739" spans="1:21" x14ac:dyDescent="0.3">
      <c r="A739">
        <v>738</v>
      </c>
      <c r="B739" t="str">
        <f>H739&amp;R739&amp;I739</f>
        <v>2024Dave/Nolan2</v>
      </c>
      <c r="C739" t="str">
        <f>H739&amp;S739&amp;I739</f>
        <v>2024Pat/Tucker2</v>
      </c>
      <c r="D739">
        <f t="shared" si="110"/>
        <v>501</v>
      </c>
      <c r="E739">
        <f t="shared" si="111"/>
        <v>398</v>
      </c>
      <c r="F739">
        <f t="shared" si="112"/>
        <v>469</v>
      </c>
      <c r="G739">
        <f t="shared" si="113"/>
        <v>334</v>
      </c>
      <c r="H739">
        <v>2024</v>
      </c>
      <c r="I739">
        <v>2</v>
      </c>
      <c r="J739">
        <v>8</v>
      </c>
      <c r="K739" t="s">
        <v>31</v>
      </c>
      <c r="L739">
        <v>99.72</v>
      </c>
      <c r="M739" t="s">
        <v>30</v>
      </c>
      <c r="N739">
        <v>117.46</v>
      </c>
      <c r="O739" t="s">
        <v>20</v>
      </c>
      <c r="P739">
        <f t="shared" si="114"/>
        <v>217.18</v>
      </c>
      <c r="Q739">
        <f t="shared" si="115"/>
        <v>17.739999999999995</v>
      </c>
      <c r="R739" t="str">
        <f t="shared" si="116"/>
        <v>Dave/Nolan</v>
      </c>
      <c r="S739" t="str">
        <f t="shared" si="117"/>
        <v>Pat/Tucker</v>
      </c>
      <c r="T739">
        <f t="shared" si="118"/>
        <v>117.46</v>
      </c>
      <c r="U739">
        <f t="shared" si="119"/>
        <v>99.72</v>
      </c>
    </row>
    <row r="740" spans="1:21" x14ac:dyDescent="0.3">
      <c r="A740">
        <v>739</v>
      </c>
      <c r="B740" t="str">
        <f>H740&amp;R740&amp;I740</f>
        <v>2024David/Marshall2</v>
      </c>
      <c r="C740" t="str">
        <f>H740&amp;S740&amp;I740</f>
        <v>2024Brian/Travis2</v>
      </c>
      <c r="D740">
        <f t="shared" si="110"/>
        <v>719</v>
      </c>
      <c r="E740">
        <f t="shared" si="111"/>
        <v>747</v>
      </c>
      <c r="F740">
        <f t="shared" si="112"/>
        <v>795</v>
      </c>
      <c r="G740">
        <f t="shared" si="113"/>
        <v>606</v>
      </c>
      <c r="H740">
        <v>2024</v>
      </c>
      <c r="I740">
        <v>2</v>
      </c>
      <c r="J740">
        <v>9</v>
      </c>
      <c r="K740" t="s">
        <v>32</v>
      </c>
      <c r="L740">
        <v>85.48</v>
      </c>
      <c r="M740" t="s">
        <v>38</v>
      </c>
      <c r="N740">
        <v>92.76</v>
      </c>
      <c r="O740" t="s">
        <v>20</v>
      </c>
      <c r="P740">
        <f t="shared" si="114"/>
        <v>178.24</v>
      </c>
      <c r="Q740">
        <f t="shared" si="115"/>
        <v>7.2800000000000011</v>
      </c>
      <c r="R740" t="str">
        <f t="shared" si="116"/>
        <v>David/Marshall</v>
      </c>
      <c r="S740" t="str">
        <f t="shared" si="117"/>
        <v>Brian/Travis</v>
      </c>
      <c r="T740">
        <f t="shared" si="118"/>
        <v>92.76</v>
      </c>
      <c r="U740">
        <f t="shared" si="119"/>
        <v>85.48</v>
      </c>
    </row>
    <row r="741" spans="1:21" x14ac:dyDescent="0.3">
      <c r="A741">
        <v>740</v>
      </c>
      <c r="B741" t="str">
        <f>H741&amp;R741&amp;I741</f>
        <v>2024Drew/Cam2</v>
      </c>
      <c r="C741" t="str">
        <f>H741&amp;S741&amp;I741</f>
        <v>2024Clay/Ryan2</v>
      </c>
      <c r="D741">
        <f t="shared" si="110"/>
        <v>574</v>
      </c>
      <c r="E741">
        <f t="shared" si="111"/>
        <v>37</v>
      </c>
      <c r="F741">
        <f t="shared" si="112"/>
        <v>111</v>
      </c>
      <c r="G741">
        <f t="shared" si="113"/>
        <v>20</v>
      </c>
      <c r="H741">
        <v>2024</v>
      </c>
      <c r="I741">
        <v>2</v>
      </c>
      <c r="J741">
        <v>10</v>
      </c>
      <c r="K741" t="s">
        <v>35</v>
      </c>
      <c r="L741">
        <v>131.06</v>
      </c>
      <c r="M741" t="s">
        <v>37</v>
      </c>
      <c r="N741">
        <v>144.44</v>
      </c>
      <c r="O741" t="s">
        <v>20</v>
      </c>
      <c r="P741">
        <f t="shared" si="114"/>
        <v>275.5</v>
      </c>
      <c r="Q741">
        <f t="shared" si="115"/>
        <v>13.379999999999995</v>
      </c>
      <c r="R741" t="str">
        <f t="shared" si="116"/>
        <v>Drew/Cam</v>
      </c>
      <c r="S741" t="str">
        <f t="shared" si="117"/>
        <v>Clay/Ryan</v>
      </c>
      <c r="T741">
        <f t="shared" si="118"/>
        <v>144.44</v>
      </c>
      <c r="U741">
        <f t="shared" si="119"/>
        <v>131.06</v>
      </c>
    </row>
    <row r="742" spans="1:21" x14ac:dyDescent="0.3">
      <c r="A742">
        <v>741</v>
      </c>
      <c r="B742" t="str">
        <f>H742&amp;R742&amp;I742</f>
        <v>2024Eric/Blake3</v>
      </c>
      <c r="C742" t="str">
        <f>H742&amp;S742&amp;I742</f>
        <v>2024Graham/Michael3</v>
      </c>
      <c r="D742">
        <f t="shared" si="110"/>
        <v>533</v>
      </c>
      <c r="E742">
        <f t="shared" si="111"/>
        <v>273</v>
      </c>
      <c r="F742">
        <f t="shared" si="112"/>
        <v>371</v>
      </c>
      <c r="G742">
        <f t="shared" si="113"/>
        <v>212</v>
      </c>
      <c r="H742">
        <v>2024</v>
      </c>
      <c r="I742">
        <v>3</v>
      </c>
      <c r="J742">
        <v>11</v>
      </c>
      <c r="K742" t="s">
        <v>29</v>
      </c>
      <c r="L742">
        <v>107.56</v>
      </c>
      <c r="M742" t="s">
        <v>34</v>
      </c>
      <c r="N742">
        <v>123.4</v>
      </c>
      <c r="O742" t="s">
        <v>20</v>
      </c>
      <c r="P742">
        <f t="shared" si="114"/>
        <v>230.96</v>
      </c>
      <c r="Q742">
        <f t="shared" si="115"/>
        <v>15.840000000000003</v>
      </c>
      <c r="R742" t="str">
        <f t="shared" si="116"/>
        <v>Eric/Blake</v>
      </c>
      <c r="S742" t="str">
        <f t="shared" si="117"/>
        <v>Graham/Michael</v>
      </c>
      <c r="T742">
        <f t="shared" si="118"/>
        <v>123.4</v>
      </c>
      <c r="U742">
        <f t="shared" si="119"/>
        <v>107.56</v>
      </c>
    </row>
    <row r="743" spans="1:21" x14ac:dyDescent="0.3">
      <c r="A743">
        <v>742</v>
      </c>
      <c r="B743" t="str">
        <f>H743&amp;R743&amp;I743</f>
        <v>2024David/Marshall3</v>
      </c>
      <c r="C743" t="str">
        <f>H743&amp;S743&amp;I743</f>
        <v>2024Dave/Nolan3</v>
      </c>
      <c r="D743">
        <f t="shared" si="110"/>
        <v>788</v>
      </c>
      <c r="E743">
        <f t="shared" si="111"/>
        <v>270</v>
      </c>
      <c r="F743">
        <f t="shared" si="112"/>
        <v>461</v>
      </c>
      <c r="G743">
        <f t="shared" si="113"/>
        <v>144</v>
      </c>
      <c r="H743">
        <v>2024</v>
      </c>
      <c r="I743">
        <v>3</v>
      </c>
      <c r="J743">
        <v>12</v>
      </c>
      <c r="K743" t="s">
        <v>38</v>
      </c>
      <c r="L743">
        <v>117.92</v>
      </c>
      <c r="M743" t="s">
        <v>30</v>
      </c>
      <c r="N743">
        <v>113.68</v>
      </c>
      <c r="O743" t="s">
        <v>20</v>
      </c>
      <c r="P743">
        <f t="shared" si="114"/>
        <v>231.60000000000002</v>
      </c>
      <c r="Q743">
        <f t="shared" si="115"/>
        <v>4.2399999999999949</v>
      </c>
      <c r="R743" t="str">
        <f t="shared" si="116"/>
        <v>David/Marshall</v>
      </c>
      <c r="S743" t="str">
        <f t="shared" si="117"/>
        <v>Dave/Nolan</v>
      </c>
      <c r="T743">
        <f t="shared" si="118"/>
        <v>117.92</v>
      </c>
      <c r="U743">
        <f t="shared" si="119"/>
        <v>113.68</v>
      </c>
    </row>
    <row r="744" spans="1:21" x14ac:dyDescent="0.3">
      <c r="A744">
        <v>743</v>
      </c>
      <c r="B744" t="str">
        <f>H744&amp;R744&amp;I744</f>
        <v>2024Trent/Colin3</v>
      </c>
      <c r="C744" t="str">
        <f>H744&amp;S744&amp;I744</f>
        <v>2024Drew/Cam3</v>
      </c>
      <c r="D744">
        <f t="shared" si="110"/>
        <v>769</v>
      </c>
      <c r="E744">
        <f t="shared" si="111"/>
        <v>392</v>
      </c>
      <c r="F744">
        <f t="shared" si="112"/>
        <v>560</v>
      </c>
      <c r="G744">
        <f t="shared" si="113"/>
        <v>222</v>
      </c>
      <c r="H744">
        <v>2024</v>
      </c>
      <c r="I744">
        <v>3</v>
      </c>
      <c r="J744">
        <v>13</v>
      </c>
      <c r="K744" t="s">
        <v>37</v>
      </c>
      <c r="L744">
        <v>106.68</v>
      </c>
      <c r="M744" t="s">
        <v>33</v>
      </c>
      <c r="N744">
        <v>111.74</v>
      </c>
      <c r="O744" t="s">
        <v>20</v>
      </c>
      <c r="P744">
        <f t="shared" si="114"/>
        <v>218.42000000000002</v>
      </c>
      <c r="Q744">
        <f t="shared" si="115"/>
        <v>5.0599999999999881</v>
      </c>
      <c r="R744" t="str">
        <f t="shared" si="116"/>
        <v>Trent/Colin</v>
      </c>
      <c r="S744" t="str">
        <f t="shared" si="117"/>
        <v>Drew/Cam</v>
      </c>
      <c r="T744">
        <f t="shared" si="118"/>
        <v>111.74</v>
      </c>
      <c r="U744">
        <f t="shared" si="119"/>
        <v>106.68</v>
      </c>
    </row>
    <row r="745" spans="1:21" x14ac:dyDescent="0.3">
      <c r="A745">
        <v>744</v>
      </c>
      <c r="B745" t="str">
        <f>H745&amp;R745&amp;I745</f>
        <v>2024Walker/Cory3</v>
      </c>
      <c r="C745" t="str">
        <f>H745&amp;S745&amp;I745</f>
        <v>2024Pat/Tucker3</v>
      </c>
      <c r="D745">
        <f t="shared" si="110"/>
        <v>344</v>
      </c>
      <c r="E745">
        <f t="shared" si="111"/>
        <v>289</v>
      </c>
      <c r="F745">
        <f t="shared" si="112"/>
        <v>285</v>
      </c>
      <c r="G745">
        <f t="shared" si="113"/>
        <v>306</v>
      </c>
      <c r="H745">
        <v>2024</v>
      </c>
      <c r="I745">
        <v>3</v>
      </c>
      <c r="J745">
        <v>14</v>
      </c>
      <c r="K745" t="s">
        <v>36</v>
      </c>
      <c r="L745">
        <v>128.1</v>
      </c>
      <c r="M745" t="s">
        <v>31</v>
      </c>
      <c r="N745">
        <v>100.96</v>
      </c>
      <c r="O745" t="s">
        <v>20</v>
      </c>
      <c r="P745">
        <f t="shared" si="114"/>
        <v>229.06</v>
      </c>
      <c r="Q745">
        <f t="shared" si="115"/>
        <v>27.14</v>
      </c>
      <c r="R745" t="str">
        <f t="shared" si="116"/>
        <v>Walker/Cory</v>
      </c>
      <c r="S745" t="str">
        <f t="shared" si="117"/>
        <v>Pat/Tucker</v>
      </c>
      <c r="T745">
        <f t="shared" si="118"/>
        <v>128.1</v>
      </c>
      <c r="U745">
        <f t="shared" si="119"/>
        <v>100.96</v>
      </c>
    </row>
    <row r="746" spans="1:21" x14ac:dyDescent="0.3">
      <c r="A746">
        <v>745</v>
      </c>
      <c r="B746" t="str">
        <f>H746&amp;R746&amp;I746</f>
        <v>2024Brian/Travis3</v>
      </c>
      <c r="C746" t="str">
        <f>H746&amp;S746&amp;I746</f>
        <v>2024Clay/Ryan3</v>
      </c>
      <c r="D746">
        <f t="shared" si="110"/>
        <v>71</v>
      </c>
      <c r="E746">
        <f t="shared" si="111"/>
        <v>760</v>
      </c>
      <c r="F746">
        <f t="shared" si="112"/>
        <v>504</v>
      </c>
      <c r="G746">
        <f t="shared" si="113"/>
        <v>846</v>
      </c>
      <c r="H746">
        <v>2024</v>
      </c>
      <c r="I746">
        <v>3</v>
      </c>
      <c r="J746">
        <v>15</v>
      </c>
      <c r="K746" t="s">
        <v>35</v>
      </c>
      <c r="L746">
        <v>60.32</v>
      </c>
      <c r="M746" t="s">
        <v>32</v>
      </c>
      <c r="N746">
        <v>115.38</v>
      </c>
      <c r="O746" t="s">
        <v>20</v>
      </c>
      <c r="P746">
        <f t="shared" si="114"/>
        <v>175.7</v>
      </c>
      <c r="Q746">
        <f t="shared" si="115"/>
        <v>55.059999999999995</v>
      </c>
      <c r="R746" t="str">
        <f t="shared" si="116"/>
        <v>Brian/Travis</v>
      </c>
      <c r="S746" t="str">
        <f t="shared" si="117"/>
        <v>Clay/Ryan</v>
      </c>
      <c r="T746">
        <f t="shared" si="118"/>
        <v>115.38</v>
      </c>
      <c r="U746">
        <f t="shared" si="119"/>
        <v>60.32</v>
      </c>
    </row>
    <row r="747" spans="1:21" x14ac:dyDescent="0.3">
      <c r="A747">
        <v>746</v>
      </c>
      <c r="B747" t="str">
        <f>H747&amp;R747&amp;I747</f>
        <v>2024Drew/Cam4</v>
      </c>
      <c r="C747" t="str">
        <f>H747&amp;S747&amp;I747</f>
        <v>2024Graham/Michael4</v>
      </c>
      <c r="D747">
        <f t="shared" si="110"/>
        <v>321</v>
      </c>
      <c r="E747">
        <f t="shared" si="111"/>
        <v>748</v>
      </c>
      <c r="F747">
        <f t="shared" si="112"/>
        <v>674</v>
      </c>
      <c r="G747">
        <f t="shared" si="113"/>
        <v>734</v>
      </c>
      <c r="H747">
        <v>2024</v>
      </c>
      <c r="I747">
        <v>4</v>
      </c>
      <c r="J747">
        <v>16</v>
      </c>
      <c r="K747" t="s">
        <v>37</v>
      </c>
      <c r="L747">
        <v>103.38</v>
      </c>
      <c r="M747" t="s">
        <v>29</v>
      </c>
      <c r="N747">
        <v>74.84</v>
      </c>
      <c r="O747" t="s">
        <v>20</v>
      </c>
      <c r="P747">
        <f t="shared" si="114"/>
        <v>178.22</v>
      </c>
      <c r="Q747">
        <f t="shared" si="115"/>
        <v>28.539999999999992</v>
      </c>
      <c r="R747" t="str">
        <f t="shared" si="116"/>
        <v>Drew/Cam</v>
      </c>
      <c r="S747" t="str">
        <f t="shared" si="117"/>
        <v>Graham/Michael</v>
      </c>
      <c r="T747">
        <f t="shared" si="118"/>
        <v>103.38</v>
      </c>
      <c r="U747">
        <f t="shared" si="119"/>
        <v>74.84</v>
      </c>
    </row>
    <row r="748" spans="1:21" x14ac:dyDescent="0.3">
      <c r="A748">
        <v>747</v>
      </c>
      <c r="B748" t="str">
        <f>H748&amp;R748&amp;I748</f>
        <v>2024Walker/Cory4</v>
      </c>
      <c r="C748" t="str">
        <f>H748&amp;S748&amp;I748</f>
        <v>2024Dave/Nolan4</v>
      </c>
      <c r="D748">
        <f t="shared" si="110"/>
        <v>680</v>
      </c>
      <c r="E748">
        <f t="shared" si="111"/>
        <v>285</v>
      </c>
      <c r="F748">
        <f t="shared" si="112"/>
        <v>439</v>
      </c>
      <c r="G748">
        <f t="shared" si="113"/>
        <v>177</v>
      </c>
      <c r="H748">
        <v>2024</v>
      </c>
      <c r="I748">
        <v>4</v>
      </c>
      <c r="J748">
        <v>17</v>
      </c>
      <c r="K748" t="s">
        <v>30</v>
      </c>
      <c r="L748">
        <v>110.32</v>
      </c>
      <c r="M748" t="s">
        <v>36</v>
      </c>
      <c r="N748">
        <v>119.28</v>
      </c>
      <c r="O748" t="s">
        <v>20</v>
      </c>
      <c r="P748">
        <f t="shared" si="114"/>
        <v>229.6</v>
      </c>
      <c r="Q748">
        <f t="shared" si="115"/>
        <v>8.960000000000008</v>
      </c>
      <c r="R748" t="str">
        <f t="shared" si="116"/>
        <v>Walker/Cory</v>
      </c>
      <c r="S748" t="str">
        <f t="shared" si="117"/>
        <v>Dave/Nolan</v>
      </c>
      <c r="T748">
        <f t="shared" si="118"/>
        <v>119.28</v>
      </c>
      <c r="U748">
        <f t="shared" si="119"/>
        <v>110.32</v>
      </c>
    </row>
    <row r="749" spans="1:21" x14ac:dyDescent="0.3">
      <c r="A749">
        <v>748</v>
      </c>
      <c r="B749" t="str">
        <f>H749&amp;R749&amp;I749</f>
        <v>2024Clay/Ryan4</v>
      </c>
      <c r="C749" t="str">
        <f>H749&amp;S749&amp;I749</f>
        <v>2024David/Marshall4</v>
      </c>
      <c r="D749">
        <f t="shared" si="110"/>
        <v>194</v>
      </c>
      <c r="E749">
        <f t="shared" si="111"/>
        <v>356</v>
      </c>
      <c r="F749">
        <f t="shared" si="112"/>
        <v>234</v>
      </c>
      <c r="G749">
        <f t="shared" si="113"/>
        <v>472</v>
      </c>
      <c r="H749">
        <v>2024</v>
      </c>
      <c r="I749">
        <v>4</v>
      </c>
      <c r="J749">
        <v>18</v>
      </c>
      <c r="K749" t="s">
        <v>38</v>
      </c>
      <c r="L749">
        <v>91.7</v>
      </c>
      <c r="M749" t="s">
        <v>35</v>
      </c>
      <c r="N749">
        <v>131.28</v>
      </c>
      <c r="O749" t="s">
        <v>20</v>
      </c>
      <c r="P749">
        <f t="shared" si="114"/>
        <v>222.98000000000002</v>
      </c>
      <c r="Q749">
        <f t="shared" si="115"/>
        <v>39.58</v>
      </c>
      <c r="R749" t="str">
        <f t="shared" si="116"/>
        <v>Clay/Ryan</v>
      </c>
      <c r="S749" t="str">
        <f t="shared" si="117"/>
        <v>David/Marshall</v>
      </c>
      <c r="T749">
        <f t="shared" si="118"/>
        <v>131.28</v>
      </c>
      <c r="U749">
        <f t="shared" si="119"/>
        <v>91.7</v>
      </c>
    </row>
    <row r="750" spans="1:21" x14ac:dyDescent="0.3">
      <c r="A750">
        <v>749</v>
      </c>
      <c r="B750" t="str">
        <f>H750&amp;R750&amp;I750</f>
        <v>2024Pat/Tucker4</v>
      </c>
      <c r="C750" t="str">
        <f>H750&amp;S750&amp;I750</f>
        <v>2024Eric/Blake4</v>
      </c>
      <c r="D750">
        <f t="shared" si="110"/>
        <v>787</v>
      </c>
      <c r="E750">
        <f t="shared" si="111"/>
        <v>742</v>
      </c>
      <c r="F750">
        <f t="shared" si="112"/>
        <v>806</v>
      </c>
      <c r="G750">
        <f t="shared" si="113"/>
        <v>571</v>
      </c>
      <c r="H750">
        <v>2024</v>
      </c>
      <c r="I750">
        <v>4</v>
      </c>
      <c r="J750">
        <v>19</v>
      </c>
      <c r="K750" t="s">
        <v>34</v>
      </c>
      <c r="L750">
        <v>87.32</v>
      </c>
      <c r="M750" t="s">
        <v>31</v>
      </c>
      <c r="N750">
        <v>91.58</v>
      </c>
      <c r="O750" t="s">
        <v>20</v>
      </c>
      <c r="P750">
        <f t="shared" si="114"/>
        <v>178.89999999999998</v>
      </c>
      <c r="Q750">
        <f t="shared" si="115"/>
        <v>4.2600000000000051</v>
      </c>
      <c r="R750" t="str">
        <f t="shared" si="116"/>
        <v>Pat/Tucker</v>
      </c>
      <c r="S750" t="str">
        <f t="shared" si="117"/>
        <v>Eric/Blake</v>
      </c>
      <c r="T750">
        <f t="shared" si="118"/>
        <v>91.58</v>
      </c>
      <c r="U750">
        <f t="shared" si="119"/>
        <v>87.32</v>
      </c>
    </row>
    <row r="751" spans="1:21" x14ac:dyDescent="0.3">
      <c r="A751">
        <v>750</v>
      </c>
      <c r="B751" t="str">
        <f>H751&amp;R751&amp;I751</f>
        <v>2024Trent/Colin4</v>
      </c>
      <c r="C751" t="str">
        <f>H751&amp;S751&amp;I751</f>
        <v>2024Brian/Travis4</v>
      </c>
      <c r="D751">
        <f t="shared" si="110"/>
        <v>474</v>
      </c>
      <c r="E751">
        <f t="shared" si="111"/>
        <v>126</v>
      </c>
      <c r="F751">
        <f t="shared" si="112"/>
        <v>187</v>
      </c>
      <c r="G751">
        <f t="shared" si="113"/>
        <v>111</v>
      </c>
      <c r="H751">
        <v>2024</v>
      </c>
      <c r="I751">
        <v>4</v>
      </c>
      <c r="J751">
        <v>20</v>
      </c>
      <c r="K751" t="s">
        <v>33</v>
      </c>
      <c r="L751">
        <v>135.41999999999999</v>
      </c>
      <c r="M751" t="s">
        <v>32</v>
      </c>
      <c r="N751">
        <v>116.34</v>
      </c>
      <c r="O751" t="s">
        <v>20</v>
      </c>
      <c r="P751">
        <f t="shared" si="114"/>
        <v>251.76</v>
      </c>
      <c r="Q751">
        <f t="shared" si="115"/>
        <v>19.079999999999984</v>
      </c>
      <c r="R751" t="str">
        <f t="shared" si="116"/>
        <v>Trent/Colin</v>
      </c>
      <c r="S751" t="str">
        <f t="shared" si="117"/>
        <v>Brian/Travis</v>
      </c>
      <c r="T751">
        <f t="shared" si="118"/>
        <v>135.41999999999999</v>
      </c>
      <c r="U751">
        <f t="shared" si="119"/>
        <v>116.34</v>
      </c>
    </row>
    <row r="752" spans="1:21" x14ac:dyDescent="0.3">
      <c r="A752">
        <v>751</v>
      </c>
      <c r="B752" t="str">
        <f>H752&amp;R752&amp;I752</f>
        <v>2024Pat/Tucker5</v>
      </c>
      <c r="C752" t="str">
        <f>H752&amp;S752&amp;I752</f>
        <v>2024Graham/Michael5</v>
      </c>
      <c r="D752">
        <f t="shared" si="110"/>
        <v>503</v>
      </c>
      <c r="E752">
        <f t="shared" si="111"/>
        <v>29</v>
      </c>
      <c r="F752">
        <f t="shared" si="112"/>
        <v>83</v>
      </c>
      <c r="G752">
        <f t="shared" si="113"/>
        <v>23</v>
      </c>
      <c r="H752">
        <v>2024</v>
      </c>
      <c r="I752">
        <v>5</v>
      </c>
      <c r="J752">
        <v>21</v>
      </c>
      <c r="K752" t="s">
        <v>31</v>
      </c>
      <c r="L752">
        <v>148.38</v>
      </c>
      <c r="M752" t="s">
        <v>29</v>
      </c>
      <c r="N752">
        <v>130.78</v>
      </c>
      <c r="O752" t="s">
        <v>20</v>
      </c>
      <c r="P752">
        <f t="shared" si="114"/>
        <v>279.15999999999997</v>
      </c>
      <c r="Q752">
        <f t="shared" si="115"/>
        <v>17.599999999999994</v>
      </c>
      <c r="R752" t="str">
        <f t="shared" si="116"/>
        <v>Pat/Tucker</v>
      </c>
      <c r="S752" t="str">
        <f t="shared" si="117"/>
        <v>Graham/Michael</v>
      </c>
      <c r="T752">
        <f t="shared" si="118"/>
        <v>148.38</v>
      </c>
      <c r="U752">
        <f t="shared" si="119"/>
        <v>130.78</v>
      </c>
    </row>
    <row r="753" spans="1:21" x14ac:dyDescent="0.3">
      <c r="A753">
        <v>752</v>
      </c>
      <c r="B753" t="str">
        <f>H753&amp;R753&amp;I753</f>
        <v>2024Clay/Ryan5</v>
      </c>
      <c r="C753" t="str">
        <f>H753&amp;S753&amp;I753</f>
        <v>2024Walker/Cory5</v>
      </c>
      <c r="D753">
        <f t="shared" si="110"/>
        <v>575</v>
      </c>
      <c r="E753">
        <f t="shared" si="111"/>
        <v>743</v>
      </c>
      <c r="F753">
        <f t="shared" si="112"/>
        <v>758</v>
      </c>
      <c r="G753">
        <f t="shared" si="113"/>
        <v>652</v>
      </c>
      <c r="H753">
        <v>2024</v>
      </c>
      <c r="I753">
        <v>5</v>
      </c>
      <c r="J753">
        <v>22</v>
      </c>
      <c r="K753" t="s">
        <v>35</v>
      </c>
      <c r="L753">
        <v>96.1</v>
      </c>
      <c r="M753" t="s">
        <v>36</v>
      </c>
      <c r="N753">
        <v>82.74</v>
      </c>
      <c r="O753" t="s">
        <v>20</v>
      </c>
      <c r="P753">
        <f t="shared" si="114"/>
        <v>178.83999999999997</v>
      </c>
      <c r="Q753">
        <f t="shared" si="115"/>
        <v>13.36</v>
      </c>
      <c r="R753" t="str">
        <f t="shared" si="116"/>
        <v>Clay/Ryan</v>
      </c>
      <c r="S753" t="str">
        <f t="shared" si="117"/>
        <v>Walker/Cory</v>
      </c>
      <c r="T753">
        <f t="shared" si="118"/>
        <v>96.1</v>
      </c>
      <c r="U753">
        <f t="shared" si="119"/>
        <v>82.74</v>
      </c>
    </row>
    <row r="754" spans="1:21" x14ac:dyDescent="0.3">
      <c r="A754">
        <v>753</v>
      </c>
      <c r="B754" t="str">
        <f>H754&amp;R754&amp;I754</f>
        <v>2024Drew/Cam5</v>
      </c>
      <c r="C754" t="str">
        <f>H754&amp;S754&amp;I754</f>
        <v>2024Brian/Travis5</v>
      </c>
      <c r="D754">
        <f t="shared" si="110"/>
        <v>449</v>
      </c>
      <c r="E754">
        <f t="shared" si="111"/>
        <v>410</v>
      </c>
      <c r="F754">
        <f t="shared" si="112"/>
        <v>453</v>
      </c>
      <c r="G754">
        <f t="shared" si="113"/>
        <v>369</v>
      </c>
      <c r="H754">
        <v>2024</v>
      </c>
      <c r="I754">
        <v>5</v>
      </c>
      <c r="J754">
        <v>23</v>
      </c>
      <c r="K754" t="s">
        <v>32</v>
      </c>
      <c r="L754">
        <v>97.62</v>
      </c>
      <c r="M754" t="s">
        <v>37</v>
      </c>
      <c r="N754">
        <v>118.4</v>
      </c>
      <c r="O754" t="s">
        <v>20</v>
      </c>
      <c r="P754">
        <f t="shared" si="114"/>
        <v>216.02</v>
      </c>
      <c r="Q754">
        <f t="shared" si="115"/>
        <v>20.78</v>
      </c>
      <c r="R754" t="str">
        <f t="shared" si="116"/>
        <v>Drew/Cam</v>
      </c>
      <c r="S754" t="str">
        <f t="shared" si="117"/>
        <v>Brian/Travis</v>
      </c>
      <c r="T754">
        <f t="shared" si="118"/>
        <v>118.4</v>
      </c>
      <c r="U754">
        <f t="shared" si="119"/>
        <v>97.62</v>
      </c>
    </row>
    <row r="755" spans="1:21" x14ac:dyDescent="0.3">
      <c r="A755">
        <v>754</v>
      </c>
      <c r="B755" t="str">
        <f>H755&amp;R755&amp;I755</f>
        <v>2024Eric/Blake5</v>
      </c>
      <c r="C755" t="str">
        <f>H755&amp;S755&amp;I755</f>
        <v>2024Dave/Nolan5</v>
      </c>
      <c r="D755">
        <f t="shared" si="110"/>
        <v>13</v>
      </c>
      <c r="E755">
        <f t="shared" si="111"/>
        <v>608</v>
      </c>
      <c r="F755">
        <f t="shared" si="112"/>
        <v>178</v>
      </c>
      <c r="G755">
        <f t="shared" si="113"/>
        <v>852</v>
      </c>
      <c r="H755">
        <v>2024</v>
      </c>
      <c r="I755">
        <v>5</v>
      </c>
      <c r="J755">
        <v>24</v>
      </c>
      <c r="K755" t="s">
        <v>34</v>
      </c>
      <c r="L755">
        <v>136.32</v>
      </c>
      <c r="M755" t="s">
        <v>30</v>
      </c>
      <c r="N755">
        <v>58.56</v>
      </c>
      <c r="O755" t="s">
        <v>20</v>
      </c>
      <c r="P755">
        <f t="shared" si="114"/>
        <v>194.88</v>
      </c>
      <c r="Q755">
        <f t="shared" si="115"/>
        <v>77.759999999999991</v>
      </c>
      <c r="R755" t="str">
        <f t="shared" si="116"/>
        <v>Eric/Blake</v>
      </c>
      <c r="S755" t="str">
        <f t="shared" si="117"/>
        <v>Dave/Nolan</v>
      </c>
      <c r="T755">
        <f t="shared" si="118"/>
        <v>136.32</v>
      </c>
      <c r="U755">
        <f t="shared" si="119"/>
        <v>58.56</v>
      </c>
    </row>
    <row r="756" spans="1:21" x14ac:dyDescent="0.3">
      <c r="A756">
        <v>755</v>
      </c>
      <c r="B756" t="str">
        <f>H756&amp;R756&amp;I756</f>
        <v>2024David/Marshall5</v>
      </c>
      <c r="C756" t="str">
        <f>H756&amp;S756&amp;I756</f>
        <v>2024Trent/Colin5</v>
      </c>
      <c r="D756">
        <f t="shared" si="110"/>
        <v>212</v>
      </c>
      <c r="E756">
        <f t="shared" si="111"/>
        <v>637</v>
      </c>
      <c r="F756">
        <f t="shared" si="112"/>
        <v>512</v>
      </c>
      <c r="G756">
        <f t="shared" si="113"/>
        <v>709</v>
      </c>
      <c r="H756">
        <v>2024</v>
      </c>
      <c r="I756">
        <v>5</v>
      </c>
      <c r="J756">
        <v>25</v>
      </c>
      <c r="K756" t="s">
        <v>33</v>
      </c>
      <c r="L756">
        <v>76.959999999999994</v>
      </c>
      <c r="M756" t="s">
        <v>38</v>
      </c>
      <c r="N756">
        <v>114.94</v>
      </c>
      <c r="O756" t="s">
        <v>20</v>
      </c>
      <c r="P756">
        <f t="shared" si="114"/>
        <v>191.89999999999998</v>
      </c>
      <c r="Q756">
        <f t="shared" si="115"/>
        <v>37.980000000000004</v>
      </c>
      <c r="R756" t="str">
        <f t="shared" si="116"/>
        <v>David/Marshall</v>
      </c>
      <c r="S756" t="str">
        <f t="shared" si="117"/>
        <v>Trent/Colin</v>
      </c>
      <c r="T756">
        <f t="shared" si="118"/>
        <v>114.94</v>
      </c>
      <c r="U756">
        <f t="shared" si="119"/>
        <v>76.959999999999994</v>
      </c>
    </row>
    <row r="757" spans="1:21" x14ac:dyDescent="0.3">
      <c r="A757">
        <v>756</v>
      </c>
      <c r="B757" t="str">
        <f>H757&amp;R757&amp;I757</f>
        <v>2024David/Marshall6</v>
      </c>
      <c r="C757" t="str">
        <f>H757&amp;S757&amp;I757</f>
        <v>2024Graham/Michael6</v>
      </c>
      <c r="D757">
        <f t="shared" si="110"/>
        <v>240</v>
      </c>
      <c r="E757">
        <f t="shared" si="111"/>
        <v>553</v>
      </c>
      <c r="F757">
        <f t="shared" si="112"/>
        <v>449</v>
      </c>
      <c r="G757">
        <f t="shared" si="113"/>
        <v>645</v>
      </c>
      <c r="H757">
        <v>2024</v>
      </c>
      <c r="I757">
        <v>6</v>
      </c>
      <c r="J757">
        <v>26</v>
      </c>
      <c r="K757" t="s">
        <v>29</v>
      </c>
      <c r="L757">
        <v>83.12</v>
      </c>
      <c r="M757" t="s">
        <v>38</v>
      </c>
      <c r="N757">
        <v>118.5</v>
      </c>
      <c r="O757" t="s">
        <v>20</v>
      </c>
      <c r="P757">
        <f t="shared" si="114"/>
        <v>201.62</v>
      </c>
      <c r="Q757">
        <f t="shared" si="115"/>
        <v>35.379999999999995</v>
      </c>
      <c r="R757" t="str">
        <f t="shared" si="116"/>
        <v>David/Marshall</v>
      </c>
      <c r="S757" t="str">
        <f t="shared" si="117"/>
        <v>Graham/Michael</v>
      </c>
      <c r="T757">
        <f t="shared" si="118"/>
        <v>118.5</v>
      </c>
      <c r="U757">
        <f t="shared" si="119"/>
        <v>83.12</v>
      </c>
    </row>
    <row r="758" spans="1:21" x14ac:dyDescent="0.3">
      <c r="A758">
        <v>757</v>
      </c>
      <c r="B758" t="str">
        <f>H758&amp;R758&amp;I758</f>
        <v>2024Eric/Blake6</v>
      </c>
      <c r="C758" t="str">
        <f>H758&amp;S758&amp;I758</f>
        <v>2024Brian/Travis6</v>
      </c>
      <c r="D758">
        <f t="shared" si="110"/>
        <v>367</v>
      </c>
      <c r="E758">
        <f t="shared" si="111"/>
        <v>368</v>
      </c>
      <c r="F758">
        <f t="shared" si="112"/>
        <v>360</v>
      </c>
      <c r="G758">
        <f t="shared" si="113"/>
        <v>359</v>
      </c>
      <c r="H758">
        <v>2024</v>
      </c>
      <c r="I758">
        <v>6</v>
      </c>
      <c r="J758">
        <v>27</v>
      </c>
      <c r="K758" t="s">
        <v>34</v>
      </c>
      <c r="L758">
        <v>123.66</v>
      </c>
      <c r="M758" t="s">
        <v>32</v>
      </c>
      <c r="N758">
        <v>98.32</v>
      </c>
      <c r="O758" t="s">
        <v>20</v>
      </c>
      <c r="P758">
        <f t="shared" si="114"/>
        <v>221.98</v>
      </c>
      <c r="Q758">
        <f t="shared" si="115"/>
        <v>25.340000000000003</v>
      </c>
      <c r="R758" t="str">
        <f t="shared" si="116"/>
        <v>Eric/Blake</v>
      </c>
      <c r="S758" t="str">
        <f t="shared" si="117"/>
        <v>Brian/Travis</v>
      </c>
      <c r="T758">
        <f t="shared" si="118"/>
        <v>123.66</v>
      </c>
      <c r="U758">
        <f t="shared" si="119"/>
        <v>98.32</v>
      </c>
    </row>
    <row r="759" spans="1:21" x14ac:dyDescent="0.3">
      <c r="A759">
        <v>758</v>
      </c>
      <c r="B759" t="str">
        <f>H759&amp;R759&amp;I759</f>
        <v>2024Trent/Colin6</v>
      </c>
      <c r="C759" t="str">
        <f>H759&amp;S759&amp;I759</f>
        <v>2024David/Marshall6</v>
      </c>
      <c r="D759">
        <f t="shared" si="110"/>
        <v>263</v>
      </c>
      <c r="E759">
        <f t="shared" si="111"/>
        <v>166</v>
      </c>
      <c r="F759">
        <f t="shared" si="112"/>
        <v>146</v>
      </c>
      <c r="G759">
        <f t="shared" si="113"/>
        <v>229</v>
      </c>
      <c r="H759">
        <v>2024</v>
      </c>
      <c r="I759">
        <v>6</v>
      </c>
      <c r="J759">
        <v>28</v>
      </c>
      <c r="K759" t="s">
        <v>38</v>
      </c>
      <c r="L759">
        <v>106</v>
      </c>
      <c r="M759" t="s">
        <v>33</v>
      </c>
      <c r="N759">
        <v>139.06</v>
      </c>
      <c r="O759" t="s">
        <v>20</v>
      </c>
      <c r="P759">
        <f t="shared" si="114"/>
        <v>245.06</v>
      </c>
      <c r="Q759">
        <f t="shared" si="115"/>
        <v>33.06</v>
      </c>
      <c r="R759" t="str">
        <f t="shared" si="116"/>
        <v>Trent/Colin</v>
      </c>
      <c r="S759" t="str">
        <f t="shared" si="117"/>
        <v>David/Marshall</v>
      </c>
      <c r="T759">
        <f t="shared" si="118"/>
        <v>139.06</v>
      </c>
      <c r="U759">
        <f t="shared" si="119"/>
        <v>106</v>
      </c>
    </row>
    <row r="760" spans="1:21" x14ac:dyDescent="0.3">
      <c r="A760">
        <v>759</v>
      </c>
      <c r="B760" t="str">
        <f>H760&amp;R760&amp;I760</f>
        <v>2024Walker/Cory6</v>
      </c>
      <c r="C760" t="str">
        <f>H760&amp;S760&amp;I760</f>
        <v>2024Drew/Cam6</v>
      </c>
      <c r="D760">
        <f t="shared" si="110"/>
        <v>741</v>
      </c>
      <c r="E760">
        <f t="shared" si="111"/>
        <v>614</v>
      </c>
      <c r="F760">
        <f t="shared" si="112"/>
        <v>703</v>
      </c>
      <c r="G760">
        <f t="shared" si="113"/>
        <v>442</v>
      </c>
      <c r="H760">
        <v>2024</v>
      </c>
      <c r="I760">
        <v>6</v>
      </c>
      <c r="J760">
        <v>29</v>
      </c>
      <c r="K760" t="s">
        <v>36</v>
      </c>
      <c r="L760">
        <v>100.3</v>
      </c>
      <c r="M760" t="s">
        <v>37</v>
      </c>
      <c r="N760">
        <v>93.86</v>
      </c>
      <c r="O760" t="s">
        <v>20</v>
      </c>
      <c r="P760">
        <f t="shared" si="114"/>
        <v>194.16</v>
      </c>
      <c r="Q760">
        <f t="shared" si="115"/>
        <v>6.4399999999999977</v>
      </c>
      <c r="R760" t="str">
        <f t="shared" si="116"/>
        <v>Walker/Cory</v>
      </c>
      <c r="S760" t="str">
        <f t="shared" si="117"/>
        <v>Drew/Cam</v>
      </c>
      <c r="T760">
        <f t="shared" si="118"/>
        <v>100.3</v>
      </c>
      <c r="U760">
        <f t="shared" si="119"/>
        <v>93.86</v>
      </c>
    </row>
    <row r="761" spans="1:21" x14ac:dyDescent="0.3">
      <c r="A761">
        <v>760</v>
      </c>
      <c r="B761" t="str">
        <f>H761&amp;R761&amp;I761</f>
        <v>2024Clay/Ryan6</v>
      </c>
      <c r="C761" t="str">
        <f>H761&amp;S761&amp;I761</f>
        <v>2024Pat/Tucker6</v>
      </c>
      <c r="D761">
        <f t="shared" si="110"/>
        <v>228</v>
      </c>
      <c r="E761">
        <f t="shared" si="111"/>
        <v>74</v>
      </c>
      <c r="F761">
        <f t="shared" si="112"/>
        <v>73</v>
      </c>
      <c r="G761">
        <f t="shared" si="113"/>
        <v>152</v>
      </c>
      <c r="H761">
        <v>2024</v>
      </c>
      <c r="I761">
        <v>6</v>
      </c>
      <c r="J761">
        <v>30</v>
      </c>
      <c r="K761" t="s">
        <v>31</v>
      </c>
      <c r="L761">
        <v>112.72</v>
      </c>
      <c r="M761" t="s">
        <v>35</v>
      </c>
      <c r="N761">
        <v>149.5</v>
      </c>
      <c r="O761" t="s">
        <v>20</v>
      </c>
      <c r="P761">
        <f t="shared" si="114"/>
        <v>262.22000000000003</v>
      </c>
      <c r="Q761">
        <f t="shared" si="115"/>
        <v>36.78</v>
      </c>
      <c r="R761" t="str">
        <f t="shared" si="116"/>
        <v>Clay/Ryan</v>
      </c>
      <c r="S761" t="str">
        <f t="shared" si="117"/>
        <v>Pat/Tucker</v>
      </c>
      <c r="T761">
        <f t="shared" si="118"/>
        <v>149.5</v>
      </c>
      <c r="U761">
        <f t="shared" si="119"/>
        <v>112.72</v>
      </c>
    </row>
    <row r="762" spans="1:21" x14ac:dyDescent="0.3">
      <c r="A762">
        <v>761</v>
      </c>
      <c r="B762" t="str">
        <f>H762&amp;R762&amp;I762</f>
        <v>2024Graham/Michael7</v>
      </c>
      <c r="C762" t="str">
        <f>H762&amp;S762&amp;I762</f>
        <v>2024Trent/Colin7</v>
      </c>
      <c r="D762">
        <f t="shared" si="110"/>
        <v>657</v>
      </c>
      <c r="E762">
        <f t="shared" si="111"/>
        <v>717</v>
      </c>
      <c r="F762">
        <f t="shared" si="112"/>
        <v>757</v>
      </c>
      <c r="G762">
        <f t="shared" si="113"/>
        <v>595</v>
      </c>
      <c r="H762">
        <v>2024</v>
      </c>
      <c r="I762">
        <v>7</v>
      </c>
      <c r="J762">
        <v>31</v>
      </c>
      <c r="K762" t="s">
        <v>33</v>
      </c>
      <c r="L762">
        <v>86.36</v>
      </c>
      <c r="M762" t="s">
        <v>29</v>
      </c>
      <c r="N762">
        <v>96.3</v>
      </c>
      <c r="O762" t="s">
        <v>20</v>
      </c>
      <c r="P762">
        <f t="shared" si="114"/>
        <v>182.66</v>
      </c>
      <c r="Q762">
        <f t="shared" si="115"/>
        <v>9.9399999999999977</v>
      </c>
      <c r="R762" t="str">
        <f t="shared" si="116"/>
        <v>Graham/Michael</v>
      </c>
      <c r="S762" t="str">
        <f t="shared" si="117"/>
        <v>Trent/Colin</v>
      </c>
      <c r="T762">
        <f t="shared" si="118"/>
        <v>96.3</v>
      </c>
      <c r="U762">
        <f t="shared" si="119"/>
        <v>86.36</v>
      </c>
    </row>
    <row r="763" spans="1:21" x14ac:dyDescent="0.3">
      <c r="A763">
        <v>762</v>
      </c>
      <c r="B763" t="str">
        <f>H763&amp;R763&amp;I763</f>
        <v>2024Brian/Travis7</v>
      </c>
      <c r="C763" t="str">
        <f>H763&amp;S763&amp;I763</f>
        <v>2024Dave/Nolan7</v>
      </c>
      <c r="D763">
        <f t="shared" si="110"/>
        <v>24</v>
      </c>
      <c r="E763">
        <f t="shared" si="111"/>
        <v>437</v>
      </c>
      <c r="F763">
        <f t="shared" si="112"/>
        <v>128</v>
      </c>
      <c r="G763">
        <f t="shared" si="113"/>
        <v>781</v>
      </c>
      <c r="H763">
        <v>2024</v>
      </c>
      <c r="I763">
        <v>7</v>
      </c>
      <c r="J763">
        <v>32</v>
      </c>
      <c r="K763" t="s">
        <v>32</v>
      </c>
      <c r="L763">
        <v>141.04</v>
      </c>
      <c r="M763" t="s">
        <v>30</v>
      </c>
      <c r="N763">
        <v>71.48</v>
      </c>
      <c r="O763" t="s">
        <v>20</v>
      </c>
      <c r="P763">
        <f t="shared" si="114"/>
        <v>212.51999999999998</v>
      </c>
      <c r="Q763">
        <f t="shared" si="115"/>
        <v>69.559999999999988</v>
      </c>
      <c r="R763" t="str">
        <f t="shared" si="116"/>
        <v>Brian/Travis</v>
      </c>
      <c r="S763" t="str">
        <f t="shared" si="117"/>
        <v>Dave/Nolan</v>
      </c>
      <c r="T763">
        <f t="shared" si="118"/>
        <v>141.04</v>
      </c>
      <c r="U763">
        <f t="shared" si="119"/>
        <v>71.48</v>
      </c>
    </row>
    <row r="764" spans="1:21" x14ac:dyDescent="0.3">
      <c r="A764">
        <v>763</v>
      </c>
      <c r="B764" t="str">
        <f>H764&amp;R764&amp;I764</f>
        <v>2024Walker/Cory7</v>
      </c>
      <c r="C764" t="str">
        <f>H764&amp;S764&amp;I764</f>
        <v>2024David/Marshall7</v>
      </c>
      <c r="D764">
        <f t="shared" si="110"/>
        <v>458</v>
      </c>
      <c r="E764">
        <f t="shared" si="111"/>
        <v>239</v>
      </c>
      <c r="F764">
        <f t="shared" si="112"/>
        <v>290</v>
      </c>
      <c r="G764">
        <f t="shared" si="113"/>
        <v>213</v>
      </c>
      <c r="H764">
        <v>2024</v>
      </c>
      <c r="I764">
        <v>7</v>
      </c>
      <c r="J764">
        <v>33</v>
      </c>
      <c r="K764" t="s">
        <v>38</v>
      </c>
      <c r="L764">
        <v>107.52</v>
      </c>
      <c r="M764" t="s">
        <v>36</v>
      </c>
      <c r="N764">
        <v>127.96</v>
      </c>
      <c r="O764" t="s">
        <v>20</v>
      </c>
      <c r="P764">
        <f t="shared" si="114"/>
        <v>235.48</v>
      </c>
      <c r="Q764">
        <f t="shared" si="115"/>
        <v>20.439999999999998</v>
      </c>
      <c r="R764" t="str">
        <f t="shared" si="116"/>
        <v>Walker/Cory</v>
      </c>
      <c r="S764" t="str">
        <f t="shared" si="117"/>
        <v>David/Marshall</v>
      </c>
      <c r="T764">
        <f t="shared" si="118"/>
        <v>127.96</v>
      </c>
      <c r="U764">
        <f t="shared" si="119"/>
        <v>107.52</v>
      </c>
    </row>
    <row r="765" spans="1:21" x14ac:dyDescent="0.3">
      <c r="A765">
        <v>764</v>
      </c>
      <c r="B765" t="str">
        <f>H765&amp;R765&amp;I765</f>
        <v>2024Drew/Cam7</v>
      </c>
      <c r="C765" t="str">
        <f>H765&amp;S765&amp;I765</f>
        <v>2024Pat/Tucker7</v>
      </c>
      <c r="D765">
        <f t="shared" si="110"/>
        <v>669</v>
      </c>
      <c r="E765">
        <f t="shared" si="111"/>
        <v>223</v>
      </c>
      <c r="F765">
        <f t="shared" si="112"/>
        <v>363</v>
      </c>
      <c r="G765">
        <f t="shared" si="113"/>
        <v>140</v>
      </c>
      <c r="H765">
        <v>2024</v>
      </c>
      <c r="I765">
        <v>7</v>
      </c>
      <c r="J765">
        <v>34</v>
      </c>
      <c r="K765" t="s">
        <v>37</v>
      </c>
      <c r="L765">
        <v>123.5</v>
      </c>
      <c r="M765" t="s">
        <v>31</v>
      </c>
      <c r="N765">
        <v>114.14</v>
      </c>
      <c r="O765" t="s">
        <v>20</v>
      </c>
      <c r="P765">
        <f t="shared" si="114"/>
        <v>237.64</v>
      </c>
      <c r="Q765">
        <f t="shared" si="115"/>
        <v>9.36</v>
      </c>
      <c r="R765" t="str">
        <f t="shared" si="116"/>
        <v>Drew/Cam</v>
      </c>
      <c r="S765" t="str">
        <f t="shared" si="117"/>
        <v>Pat/Tucker</v>
      </c>
      <c r="T765">
        <f t="shared" si="118"/>
        <v>123.5</v>
      </c>
      <c r="U765">
        <f t="shared" si="119"/>
        <v>114.14</v>
      </c>
    </row>
    <row r="766" spans="1:21" x14ac:dyDescent="0.3">
      <c r="A766">
        <v>765</v>
      </c>
      <c r="B766" t="str">
        <f>H766&amp;R766&amp;I766</f>
        <v>2024Clay/Ryan7</v>
      </c>
      <c r="C766" t="str">
        <f>H766&amp;S766&amp;I766</f>
        <v>2024Eric/Blake7</v>
      </c>
      <c r="D766">
        <f t="shared" si="110"/>
        <v>854</v>
      </c>
      <c r="E766">
        <f t="shared" si="111"/>
        <v>716</v>
      </c>
      <c r="F766">
        <f t="shared" si="112"/>
        <v>805</v>
      </c>
      <c r="G766">
        <f t="shared" si="113"/>
        <v>491</v>
      </c>
      <c r="H766">
        <v>2024</v>
      </c>
      <c r="I766">
        <v>7</v>
      </c>
      <c r="J766">
        <v>35</v>
      </c>
      <c r="K766" t="s">
        <v>35</v>
      </c>
      <c r="L766">
        <v>91.8</v>
      </c>
      <c r="M766" t="s">
        <v>34</v>
      </c>
      <c r="N766">
        <v>90.94</v>
      </c>
      <c r="O766" t="s">
        <v>20</v>
      </c>
      <c r="P766">
        <f t="shared" si="114"/>
        <v>182.74</v>
      </c>
      <c r="Q766">
        <f t="shared" si="115"/>
        <v>0.85999999999999943</v>
      </c>
      <c r="R766" t="str">
        <f t="shared" si="116"/>
        <v>Clay/Ryan</v>
      </c>
      <c r="S766" t="str">
        <f t="shared" si="117"/>
        <v>Eric/Blake</v>
      </c>
      <c r="T766">
        <f t="shared" si="118"/>
        <v>91.8</v>
      </c>
      <c r="U766">
        <f t="shared" si="119"/>
        <v>90.94</v>
      </c>
    </row>
    <row r="767" spans="1:21" x14ac:dyDescent="0.3">
      <c r="A767">
        <v>766</v>
      </c>
      <c r="B767" t="str">
        <f>H767&amp;R767&amp;I767</f>
        <v>2024Brian/Travis8</v>
      </c>
      <c r="C767" t="str">
        <f>H767&amp;S767&amp;I767</f>
        <v>2024Graham/Michael8</v>
      </c>
      <c r="D767">
        <f t="shared" si="110"/>
        <v>520</v>
      </c>
      <c r="E767">
        <f t="shared" si="111"/>
        <v>514</v>
      </c>
      <c r="F767">
        <f t="shared" si="112"/>
        <v>573</v>
      </c>
      <c r="G767">
        <f t="shared" si="113"/>
        <v>420</v>
      </c>
      <c r="H767">
        <v>2024</v>
      </c>
      <c r="I767">
        <v>8</v>
      </c>
      <c r="J767">
        <v>36</v>
      </c>
      <c r="K767" t="s">
        <v>29</v>
      </c>
      <c r="L767">
        <v>94.54</v>
      </c>
      <c r="M767" t="s">
        <v>32</v>
      </c>
      <c r="N767">
        <v>111.16</v>
      </c>
      <c r="O767" t="s">
        <v>20</v>
      </c>
      <c r="P767">
        <f t="shared" si="114"/>
        <v>205.7</v>
      </c>
      <c r="Q767">
        <f t="shared" si="115"/>
        <v>16.61999999999999</v>
      </c>
      <c r="R767" t="str">
        <f t="shared" si="116"/>
        <v>Brian/Travis</v>
      </c>
      <c r="S767" t="str">
        <f t="shared" si="117"/>
        <v>Graham/Michael</v>
      </c>
      <c r="T767">
        <f t="shared" si="118"/>
        <v>111.16</v>
      </c>
      <c r="U767">
        <f t="shared" si="119"/>
        <v>94.54</v>
      </c>
    </row>
    <row r="768" spans="1:21" x14ac:dyDescent="0.3">
      <c r="A768">
        <v>767</v>
      </c>
      <c r="B768" t="str">
        <f>H768&amp;R768&amp;I768</f>
        <v>2024Trent/Colin8</v>
      </c>
      <c r="C768" t="str">
        <f>H768&amp;S768&amp;I768</f>
        <v>2024Walker/Cory8</v>
      </c>
      <c r="D768">
        <f t="shared" si="110"/>
        <v>730</v>
      </c>
      <c r="E768">
        <f t="shared" si="111"/>
        <v>168</v>
      </c>
      <c r="F768">
        <f t="shared" si="112"/>
        <v>327</v>
      </c>
      <c r="G768">
        <f t="shared" si="113"/>
        <v>83</v>
      </c>
      <c r="H768">
        <v>2024</v>
      </c>
      <c r="I768">
        <v>8</v>
      </c>
      <c r="J768">
        <v>37</v>
      </c>
      <c r="K768" t="s">
        <v>36</v>
      </c>
      <c r="L768">
        <v>118.92</v>
      </c>
      <c r="M768" t="s">
        <v>33</v>
      </c>
      <c r="N768">
        <v>125.74</v>
      </c>
      <c r="O768" t="s">
        <v>20</v>
      </c>
      <c r="P768">
        <f t="shared" si="114"/>
        <v>244.66</v>
      </c>
      <c r="Q768">
        <f t="shared" si="115"/>
        <v>6.8199999999999932</v>
      </c>
      <c r="R768" t="str">
        <f t="shared" si="116"/>
        <v>Trent/Colin</v>
      </c>
      <c r="S768" t="str">
        <f t="shared" si="117"/>
        <v>Walker/Cory</v>
      </c>
      <c r="T768">
        <f t="shared" si="118"/>
        <v>125.74</v>
      </c>
      <c r="U768">
        <f t="shared" si="119"/>
        <v>118.92</v>
      </c>
    </row>
    <row r="769" spans="1:21" x14ac:dyDescent="0.3">
      <c r="A769">
        <v>768</v>
      </c>
      <c r="B769" t="str">
        <f>H769&amp;R769&amp;I769</f>
        <v>2024David/Marshall8</v>
      </c>
      <c r="C769" t="str">
        <f>H769&amp;S769&amp;I769</f>
        <v>2024Pat/Tucker8</v>
      </c>
      <c r="D769">
        <f t="shared" si="110"/>
        <v>109</v>
      </c>
      <c r="E769">
        <f t="shared" si="111"/>
        <v>357</v>
      </c>
      <c r="F769">
        <f t="shared" si="112"/>
        <v>184</v>
      </c>
      <c r="G769">
        <f t="shared" si="113"/>
        <v>573</v>
      </c>
      <c r="H769">
        <v>2024</v>
      </c>
      <c r="I769">
        <v>8</v>
      </c>
      <c r="J769">
        <v>38</v>
      </c>
      <c r="K769" t="s">
        <v>31</v>
      </c>
      <c r="L769">
        <v>87.06</v>
      </c>
      <c r="M769" t="s">
        <v>38</v>
      </c>
      <c r="N769">
        <v>135.74</v>
      </c>
      <c r="O769" t="s">
        <v>20</v>
      </c>
      <c r="P769">
        <f t="shared" si="114"/>
        <v>222.8</v>
      </c>
      <c r="Q769">
        <f t="shared" si="115"/>
        <v>48.680000000000007</v>
      </c>
      <c r="R769" t="str">
        <f t="shared" si="116"/>
        <v>David/Marshall</v>
      </c>
      <c r="S769" t="str">
        <f t="shared" si="117"/>
        <v>Pat/Tucker</v>
      </c>
      <c r="T769">
        <f t="shared" si="118"/>
        <v>135.74</v>
      </c>
      <c r="U769">
        <f t="shared" si="119"/>
        <v>87.06</v>
      </c>
    </row>
    <row r="770" spans="1:21" x14ac:dyDescent="0.3">
      <c r="A770">
        <v>769</v>
      </c>
      <c r="B770" t="str">
        <f>H770&amp;R770&amp;I770</f>
        <v>2024Eric/Blake8</v>
      </c>
      <c r="C770" t="str">
        <f>H770&amp;S770&amp;I770</f>
        <v>2024Drew/Cam8</v>
      </c>
      <c r="D770">
        <f t="shared" ref="D770:D866" si="120">RANK(Q770,Q:Q)</f>
        <v>835</v>
      </c>
      <c r="E770">
        <f t="shared" ref="E770:E866" si="121">RANK(P770,P:P)</f>
        <v>20</v>
      </c>
      <c r="F770">
        <f t="shared" ref="F770:F866" si="122">RANK(T770,T:T)</f>
        <v>122</v>
      </c>
      <c r="G770">
        <f t="shared" ref="G770:G866" si="123">RANK(U770,U:U)</f>
        <v>8</v>
      </c>
      <c r="H770">
        <v>2024</v>
      </c>
      <c r="I770">
        <v>8</v>
      </c>
      <c r="J770">
        <v>39</v>
      </c>
      <c r="K770" t="s">
        <v>34</v>
      </c>
      <c r="L770">
        <v>141.66</v>
      </c>
      <c r="M770" t="s">
        <v>37</v>
      </c>
      <c r="N770">
        <v>139.97999999999999</v>
      </c>
      <c r="O770" t="s">
        <v>20</v>
      </c>
      <c r="P770">
        <f t="shared" ref="P770:P871" si="124">SUM(L770,N770)</f>
        <v>281.64</v>
      </c>
      <c r="Q770">
        <f t="shared" ref="Q770:Q871" si="125">ABS(L770-N770)</f>
        <v>1.6800000000000068</v>
      </c>
      <c r="R770" t="str">
        <f t="shared" ref="R770:R871" si="126">IF(L770&gt;N770,K770,M770)</f>
        <v>Eric/Blake</v>
      </c>
      <c r="S770" t="str">
        <f t="shared" ref="S770:S871" si="127">IF(L770&gt;N770,M770,K770)</f>
        <v>Drew/Cam</v>
      </c>
      <c r="T770">
        <f t="shared" ref="T770:T871" si="128">IF(L770&gt;N770,L770,N770)</f>
        <v>141.66</v>
      </c>
      <c r="U770">
        <f t="shared" ref="U770:U871" si="129">IF(L770&gt;N770,N770,L770)</f>
        <v>139.97999999999999</v>
      </c>
    </row>
    <row r="771" spans="1:21" x14ac:dyDescent="0.3">
      <c r="A771">
        <v>770</v>
      </c>
      <c r="B771" t="str">
        <f>H771&amp;R771&amp;I771</f>
        <v>2024Clay/Ryan8</v>
      </c>
      <c r="C771" t="str">
        <f>H771&amp;S771&amp;I771</f>
        <v>2024Dave/Nolan8</v>
      </c>
      <c r="D771">
        <f t="shared" si="120"/>
        <v>340</v>
      </c>
      <c r="E771">
        <f t="shared" si="121"/>
        <v>175</v>
      </c>
      <c r="F771">
        <f t="shared" si="122"/>
        <v>186</v>
      </c>
      <c r="G771">
        <f t="shared" si="123"/>
        <v>201</v>
      </c>
      <c r="H771">
        <v>2024</v>
      </c>
      <c r="I771">
        <v>8</v>
      </c>
      <c r="J771">
        <v>40</v>
      </c>
      <c r="K771" t="s">
        <v>30</v>
      </c>
      <c r="L771">
        <v>108.32</v>
      </c>
      <c r="M771" t="s">
        <v>35</v>
      </c>
      <c r="N771">
        <v>135.6</v>
      </c>
      <c r="O771" t="s">
        <v>20</v>
      </c>
      <c r="P771">
        <f t="shared" si="124"/>
        <v>243.92</v>
      </c>
      <c r="Q771">
        <f t="shared" si="125"/>
        <v>27.28</v>
      </c>
      <c r="R771" t="str">
        <f t="shared" si="126"/>
        <v>Clay/Ryan</v>
      </c>
      <c r="S771" t="str">
        <f t="shared" si="127"/>
        <v>Dave/Nolan</v>
      </c>
      <c r="T771">
        <f t="shared" si="128"/>
        <v>135.6</v>
      </c>
      <c r="U771">
        <f t="shared" si="129"/>
        <v>108.32</v>
      </c>
    </row>
    <row r="772" spans="1:21" x14ac:dyDescent="0.3">
      <c r="A772">
        <v>771</v>
      </c>
      <c r="B772" t="str">
        <f>H772&amp;R772&amp;I772</f>
        <v>2024Walker/Cory9</v>
      </c>
      <c r="C772" t="str">
        <f>H772&amp;S772&amp;I772</f>
        <v>2024Brian/Travis9</v>
      </c>
      <c r="D772">
        <f t="shared" si="120"/>
        <v>327</v>
      </c>
      <c r="E772">
        <f t="shared" si="121"/>
        <v>759</v>
      </c>
      <c r="F772">
        <f t="shared" si="122"/>
        <v>691</v>
      </c>
      <c r="G772">
        <f t="shared" si="123"/>
        <v>754</v>
      </c>
      <c r="H772">
        <v>2024</v>
      </c>
      <c r="I772">
        <v>9</v>
      </c>
      <c r="J772">
        <v>41</v>
      </c>
      <c r="K772" t="s">
        <v>32</v>
      </c>
      <c r="L772">
        <v>73.8</v>
      </c>
      <c r="M772" t="s">
        <v>36</v>
      </c>
      <c r="N772">
        <v>102.02</v>
      </c>
      <c r="O772" t="s">
        <v>20</v>
      </c>
      <c r="P772">
        <f t="shared" si="124"/>
        <v>175.82</v>
      </c>
      <c r="Q772">
        <f t="shared" si="125"/>
        <v>28.22</v>
      </c>
      <c r="R772" t="str">
        <f t="shared" si="126"/>
        <v>Walker/Cory</v>
      </c>
      <c r="S772" t="str">
        <f t="shared" si="127"/>
        <v>Brian/Travis</v>
      </c>
      <c r="T772">
        <f t="shared" si="128"/>
        <v>102.02</v>
      </c>
      <c r="U772">
        <f t="shared" si="129"/>
        <v>73.8</v>
      </c>
    </row>
    <row r="773" spans="1:21" x14ac:dyDescent="0.3">
      <c r="A773">
        <v>772</v>
      </c>
      <c r="B773" t="str">
        <f>H773&amp;R773&amp;I773</f>
        <v>2024Graham/Michael9</v>
      </c>
      <c r="C773" t="str">
        <f>H773&amp;S773&amp;I773</f>
        <v>2024Pat/Tucker9</v>
      </c>
      <c r="D773">
        <f t="shared" si="120"/>
        <v>443</v>
      </c>
      <c r="E773">
        <f t="shared" si="121"/>
        <v>122</v>
      </c>
      <c r="F773">
        <f t="shared" si="122"/>
        <v>174</v>
      </c>
      <c r="G773">
        <f t="shared" si="123"/>
        <v>121</v>
      </c>
      <c r="H773">
        <v>2024</v>
      </c>
      <c r="I773">
        <v>9</v>
      </c>
      <c r="J773">
        <v>42</v>
      </c>
      <c r="K773" t="s">
        <v>29</v>
      </c>
      <c r="L773">
        <v>136.80000000000001</v>
      </c>
      <c r="M773" t="s">
        <v>31</v>
      </c>
      <c r="N773">
        <v>115.44</v>
      </c>
      <c r="O773" t="s">
        <v>20</v>
      </c>
      <c r="P773">
        <f t="shared" si="124"/>
        <v>252.24</v>
      </c>
      <c r="Q773">
        <f t="shared" si="125"/>
        <v>21.360000000000014</v>
      </c>
      <c r="R773" t="str">
        <f t="shared" si="126"/>
        <v>Graham/Michael</v>
      </c>
      <c r="S773" t="str">
        <f t="shared" si="127"/>
        <v>Pat/Tucker</v>
      </c>
      <c r="T773">
        <f t="shared" si="128"/>
        <v>136.80000000000001</v>
      </c>
      <c r="U773">
        <f t="shared" si="129"/>
        <v>115.44</v>
      </c>
    </row>
    <row r="774" spans="1:21" x14ac:dyDescent="0.3">
      <c r="A774">
        <v>773</v>
      </c>
      <c r="B774" t="str">
        <f>H774&amp;R774&amp;I774</f>
        <v>2024Clay/Ryan9</v>
      </c>
      <c r="C774" t="str">
        <f>H774&amp;S774&amp;I774</f>
        <v>2024Trent/Colin9</v>
      </c>
      <c r="D774">
        <f t="shared" si="120"/>
        <v>802</v>
      </c>
      <c r="E774">
        <f t="shared" si="121"/>
        <v>50</v>
      </c>
      <c r="F774">
        <f t="shared" si="122"/>
        <v>160</v>
      </c>
      <c r="G774">
        <f t="shared" si="123"/>
        <v>16</v>
      </c>
      <c r="H774">
        <v>2024</v>
      </c>
      <c r="I774">
        <v>9</v>
      </c>
      <c r="J774">
        <v>43</v>
      </c>
      <c r="K774" t="s">
        <v>35</v>
      </c>
      <c r="L774">
        <v>137.6</v>
      </c>
      <c r="M774" t="s">
        <v>33</v>
      </c>
      <c r="N774">
        <v>134.1</v>
      </c>
      <c r="O774" t="s">
        <v>20</v>
      </c>
      <c r="P774">
        <f t="shared" si="124"/>
        <v>271.7</v>
      </c>
      <c r="Q774">
        <f t="shared" si="125"/>
        <v>3.5</v>
      </c>
      <c r="R774" t="str">
        <f t="shared" si="126"/>
        <v>Clay/Ryan</v>
      </c>
      <c r="S774" t="str">
        <f t="shared" si="127"/>
        <v>Trent/Colin</v>
      </c>
      <c r="T774">
        <f t="shared" si="128"/>
        <v>137.6</v>
      </c>
      <c r="U774">
        <f t="shared" si="129"/>
        <v>134.1</v>
      </c>
    </row>
    <row r="775" spans="1:21" x14ac:dyDescent="0.3">
      <c r="A775">
        <v>774</v>
      </c>
      <c r="B775" t="str">
        <f>H775&amp;R775&amp;I775</f>
        <v>2024Eric/Blake9</v>
      </c>
      <c r="C775" t="str">
        <f>H775&amp;S775&amp;I775</f>
        <v>2024Dave/Nolan9</v>
      </c>
      <c r="D775">
        <f t="shared" si="120"/>
        <v>237</v>
      </c>
      <c r="E775">
        <f t="shared" si="121"/>
        <v>127</v>
      </c>
      <c r="F775">
        <f t="shared" si="122"/>
        <v>112</v>
      </c>
      <c r="G775">
        <f t="shared" si="123"/>
        <v>209</v>
      </c>
      <c r="H775">
        <v>2024</v>
      </c>
      <c r="I775">
        <v>9</v>
      </c>
      <c r="J775">
        <v>44</v>
      </c>
      <c r="K775" t="s">
        <v>30</v>
      </c>
      <c r="L775">
        <v>107.92</v>
      </c>
      <c r="M775" t="s">
        <v>34</v>
      </c>
      <c r="N775">
        <v>143.76</v>
      </c>
      <c r="O775" t="s">
        <v>20</v>
      </c>
      <c r="P775">
        <f t="shared" si="124"/>
        <v>251.68</v>
      </c>
      <c r="Q775">
        <f t="shared" si="125"/>
        <v>35.839999999999989</v>
      </c>
      <c r="R775" t="str">
        <f t="shared" si="126"/>
        <v>Eric/Blake</v>
      </c>
      <c r="S775" t="str">
        <f t="shared" si="127"/>
        <v>Dave/Nolan</v>
      </c>
      <c r="T775">
        <f t="shared" si="128"/>
        <v>143.76</v>
      </c>
      <c r="U775">
        <f t="shared" si="129"/>
        <v>107.92</v>
      </c>
    </row>
    <row r="776" spans="1:21" x14ac:dyDescent="0.3">
      <c r="A776">
        <v>775</v>
      </c>
      <c r="B776" t="str">
        <f>H776&amp;R776&amp;I776</f>
        <v>2024David/Marshall9</v>
      </c>
      <c r="C776" t="str">
        <f>H776&amp;S776&amp;I776</f>
        <v>2024Drew/Cam9</v>
      </c>
      <c r="D776">
        <f t="shared" si="120"/>
        <v>737</v>
      </c>
      <c r="E776">
        <f t="shared" si="121"/>
        <v>633</v>
      </c>
      <c r="F776">
        <f t="shared" si="122"/>
        <v>711</v>
      </c>
      <c r="G776">
        <f t="shared" si="123"/>
        <v>450</v>
      </c>
      <c r="H776">
        <v>2024</v>
      </c>
      <c r="I776">
        <v>9</v>
      </c>
      <c r="J776">
        <v>45</v>
      </c>
      <c r="K776" t="s">
        <v>37</v>
      </c>
      <c r="L776">
        <v>93.04</v>
      </c>
      <c r="M776" t="s">
        <v>38</v>
      </c>
      <c r="N776">
        <v>99.6</v>
      </c>
      <c r="O776" t="s">
        <v>20</v>
      </c>
      <c r="P776">
        <f t="shared" si="124"/>
        <v>192.64</v>
      </c>
      <c r="Q776">
        <f t="shared" si="125"/>
        <v>6.5599999999999881</v>
      </c>
      <c r="R776" t="str">
        <f t="shared" si="126"/>
        <v>David/Marshall</v>
      </c>
      <c r="S776" t="str">
        <f t="shared" si="127"/>
        <v>Drew/Cam</v>
      </c>
      <c r="T776">
        <f t="shared" si="128"/>
        <v>99.6</v>
      </c>
      <c r="U776">
        <f t="shared" si="129"/>
        <v>93.04</v>
      </c>
    </row>
    <row r="777" spans="1:21" x14ac:dyDescent="0.3">
      <c r="A777">
        <v>776</v>
      </c>
      <c r="B777" t="str">
        <f>H777&amp;R777&amp;I777</f>
        <v>2024Trent/Colin10</v>
      </c>
      <c r="C777" t="str">
        <f>H777&amp;S777&amp;I777</f>
        <v>2024Pat/Tucker10</v>
      </c>
      <c r="D777">
        <f t="shared" si="120"/>
        <v>593</v>
      </c>
      <c r="E777">
        <f t="shared" si="121"/>
        <v>335</v>
      </c>
      <c r="F777">
        <f t="shared" si="122"/>
        <v>447</v>
      </c>
      <c r="G777">
        <f t="shared" si="123"/>
        <v>228</v>
      </c>
      <c r="H777">
        <v>2024</v>
      </c>
      <c r="I777">
        <v>10</v>
      </c>
      <c r="J777">
        <v>46</v>
      </c>
      <c r="K777" t="s">
        <v>33</v>
      </c>
      <c r="L777">
        <v>118.58</v>
      </c>
      <c r="M777" t="s">
        <v>31</v>
      </c>
      <c r="N777">
        <v>106.02</v>
      </c>
      <c r="O777" t="s">
        <v>20</v>
      </c>
      <c r="P777">
        <f t="shared" si="124"/>
        <v>224.6</v>
      </c>
      <c r="Q777">
        <f t="shared" si="125"/>
        <v>12.560000000000002</v>
      </c>
      <c r="R777" t="str">
        <f t="shared" si="126"/>
        <v>Trent/Colin</v>
      </c>
      <c r="S777" t="str">
        <f t="shared" si="127"/>
        <v>Pat/Tucker</v>
      </c>
      <c r="T777">
        <f t="shared" si="128"/>
        <v>118.58</v>
      </c>
      <c r="U777">
        <f t="shared" si="129"/>
        <v>106.02</v>
      </c>
    </row>
    <row r="778" spans="1:21" x14ac:dyDescent="0.3">
      <c r="A778">
        <v>777</v>
      </c>
      <c r="B778" t="str">
        <f>H778&amp;R778&amp;I778</f>
        <v>2024Eric/Blake10</v>
      </c>
      <c r="C778" t="str">
        <f>H778&amp;S778&amp;I778</f>
        <v>2024Walker/Cory10</v>
      </c>
      <c r="D778">
        <f t="shared" si="120"/>
        <v>792</v>
      </c>
      <c r="E778">
        <f t="shared" si="121"/>
        <v>659</v>
      </c>
      <c r="F778">
        <f t="shared" si="122"/>
        <v>750</v>
      </c>
      <c r="G778">
        <f t="shared" si="123"/>
        <v>456</v>
      </c>
      <c r="H778">
        <v>2024</v>
      </c>
      <c r="I778">
        <v>10</v>
      </c>
      <c r="J778">
        <v>47</v>
      </c>
      <c r="K778" t="s">
        <v>36</v>
      </c>
      <c r="L778">
        <v>92.54</v>
      </c>
      <c r="M778" t="s">
        <v>34</v>
      </c>
      <c r="N778">
        <v>96.58</v>
      </c>
      <c r="O778" t="s">
        <v>20</v>
      </c>
      <c r="P778">
        <f t="shared" si="124"/>
        <v>189.12</v>
      </c>
      <c r="Q778">
        <f t="shared" si="125"/>
        <v>4.039999999999992</v>
      </c>
      <c r="R778" t="str">
        <f t="shared" si="126"/>
        <v>Eric/Blake</v>
      </c>
      <c r="S778" t="str">
        <f t="shared" si="127"/>
        <v>Walker/Cory</v>
      </c>
      <c r="T778">
        <f t="shared" si="128"/>
        <v>96.58</v>
      </c>
      <c r="U778">
        <f t="shared" si="129"/>
        <v>92.54</v>
      </c>
    </row>
    <row r="779" spans="1:21" x14ac:dyDescent="0.3">
      <c r="A779">
        <v>778</v>
      </c>
      <c r="B779" t="str">
        <f>H779&amp;R779&amp;I779</f>
        <v>2024David/Marshall10</v>
      </c>
      <c r="C779" t="str">
        <f>H779&amp;S779&amp;I779</f>
        <v>2024Brian/Travis10</v>
      </c>
      <c r="D779">
        <f t="shared" si="120"/>
        <v>125</v>
      </c>
      <c r="E779">
        <f t="shared" si="121"/>
        <v>17</v>
      </c>
      <c r="F779">
        <f t="shared" si="122"/>
        <v>19</v>
      </c>
      <c r="G779">
        <f t="shared" si="123"/>
        <v>75</v>
      </c>
      <c r="H779">
        <v>2024</v>
      </c>
      <c r="I779">
        <v>10</v>
      </c>
      <c r="J779">
        <v>48</v>
      </c>
      <c r="K779" t="s">
        <v>38</v>
      </c>
      <c r="L779">
        <v>166.5</v>
      </c>
      <c r="M779" t="s">
        <v>32</v>
      </c>
      <c r="N779">
        <v>119.8</v>
      </c>
      <c r="O779" t="s">
        <v>20</v>
      </c>
      <c r="P779">
        <f t="shared" si="124"/>
        <v>286.3</v>
      </c>
      <c r="Q779">
        <f t="shared" si="125"/>
        <v>46.7</v>
      </c>
      <c r="R779" t="str">
        <f t="shared" si="126"/>
        <v>David/Marshall</v>
      </c>
      <c r="S779" t="str">
        <f t="shared" si="127"/>
        <v>Brian/Travis</v>
      </c>
      <c r="T779">
        <f t="shared" si="128"/>
        <v>166.5</v>
      </c>
      <c r="U779">
        <f t="shared" si="129"/>
        <v>119.8</v>
      </c>
    </row>
    <row r="780" spans="1:21" x14ac:dyDescent="0.3">
      <c r="A780">
        <v>779</v>
      </c>
      <c r="B780" t="str">
        <f>H780&amp;R780&amp;I780</f>
        <v>2024Dave/Nolan10</v>
      </c>
      <c r="C780" t="str">
        <f>H780&amp;S780&amp;I780</f>
        <v>2024Graham/Michael10</v>
      </c>
      <c r="D780">
        <f t="shared" si="120"/>
        <v>578</v>
      </c>
      <c r="E780">
        <f t="shared" si="121"/>
        <v>737</v>
      </c>
      <c r="F780">
        <f t="shared" si="122"/>
        <v>753</v>
      </c>
      <c r="G780">
        <f t="shared" si="123"/>
        <v>640</v>
      </c>
      <c r="H780">
        <v>2024</v>
      </c>
      <c r="I780">
        <v>10</v>
      </c>
      <c r="J780">
        <v>49</v>
      </c>
      <c r="K780" t="s">
        <v>29</v>
      </c>
      <c r="L780">
        <v>83.44</v>
      </c>
      <c r="M780" t="s">
        <v>30</v>
      </c>
      <c r="N780">
        <v>96.52</v>
      </c>
      <c r="O780" t="s">
        <v>20</v>
      </c>
      <c r="P780">
        <f t="shared" si="124"/>
        <v>179.95999999999998</v>
      </c>
      <c r="Q780">
        <f t="shared" si="125"/>
        <v>13.079999999999998</v>
      </c>
      <c r="R780" t="str">
        <f t="shared" si="126"/>
        <v>Dave/Nolan</v>
      </c>
      <c r="S780" t="str">
        <f t="shared" si="127"/>
        <v>Graham/Michael</v>
      </c>
      <c r="T780">
        <f t="shared" si="128"/>
        <v>96.52</v>
      </c>
      <c r="U780">
        <f t="shared" si="129"/>
        <v>83.44</v>
      </c>
    </row>
    <row r="781" spans="1:21" x14ac:dyDescent="0.3">
      <c r="A781">
        <v>780</v>
      </c>
      <c r="B781" t="str">
        <f>H781&amp;R781&amp;I781</f>
        <v>2024Drew/Cam10</v>
      </c>
      <c r="C781" t="str">
        <f>H781&amp;S781&amp;I781</f>
        <v>2024Clay/Ryan10</v>
      </c>
      <c r="D781">
        <f t="shared" si="120"/>
        <v>597</v>
      </c>
      <c r="E781">
        <f t="shared" si="121"/>
        <v>765</v>
      </c>
      <c r="F781">
        <f t="shared" si="122"/>
        <v>791</v>
      </c>
      <c r="G781">
        <f t="shared" si="123"/>
        <v>666</v>
      </c>
      <c r="H781">
        <v>2024</v>
      </c>
      <c r="I781">
        <v>10</v>
      </c>
      <c r="J781">
        <v>50</v>
      </c>
      <c r="K781" t="s">
        <v>37</v>
      </c>
      <c r="L781">
        <v>93.34</v>
      </c>
      <c r="M781" t="s">
        <v>35</v>
      </c>
      <c r="N781">
        <v>81.14</v>
      </c>
      <c r="O781" t="s">
        <v>20</v>
      </c>
      <c r="P781">
        <f t="shared" si="124"/>
        <v>174.48000000000002</v>
      </c>
      <c r="Q781">
        <f t="shared" si="125"/>
        <v>12.200000000000003</v>
      </c>
      <c r="R781" t="str">
        <f t="shared" si="126"/>
        <v>Drew/Cam</v>
      </c>
      <c r="S781" t="str">
        <f t="shared" si="127"/>
        <v>Clay/Ryan</v>
      </c>
      <c r="T781">
        <f t="shared" si="128"/>
        <v>93.34</v>
      </c>
      <c r="U781">
        <f t="shared" si="129"/>
        <v>81.14</v>
      </c>
    </row>
    <row r="782" spans="1:21" x14ac:dyDescent="0.3">
      <c r="A782">
        <v>781</v>
      </c>
      <c r="B782" t="str">
        <f>H782&amp;R782&amp;I782</f>
        <v>2024David/Marshall11</v>
      </c>
      <c r="C782" t="str">
        <f>H782&amp;S782&amp;I782</f>
        <v>2024Eric/Blake11</v>
      </c>
      <c r="D782">
        <f t="shared" si="120"/>
        <v>158</v>
      </c>
      <c r="E782">
        <f t="shared" si="121"/>
        <v>652</v>
      </c>
      <c r="F782">
        <f t="shared" si="122"/>
        <v>482</v>
      </c>
      <c r="G782">
        <f t="shared" si="123"/>
        <v>755</v>
      </c>
      <c r="H782">
        <v>2024</v>
      </c>
      <c r="I782">
        <v>11</v>
      </c>
      <c r="J782">
        <v>51</v>
      </c>
      <c r="K782" t="s">
        <v>38</v>
      </c>
      <c r="L782">
        <v>116.58</v>
      </c>
      <c r="M782" t="s">
        <v>34</v>
      </c>
      <c r="N782">
        <v>73.540000000000006</v>
      </c>
      <c r="O782" t="s">
        <v>20</v>
      </c>
      <c r="P782">
        <f t="shared" si="124"/>
        <v>190.12</v>
      </c>
      <c r="Q782">
        <f t="shared" si="125"/>
        <v>43.039999999999992</v>
      </c>
      <c r="R782" t="str">
        <f t="shared" si="126"/>
        <v>David/Marshall</v>
      </c>
      <c r="S782" t="str">
        <f t="shared" si="127"/>
        <v>Eric/Blake</v>
      </c>
      <c r="T782">
        <f t="shared" si="128"/>
        <v>116.58</v>
      </c>
      <c r="U782">
        <f t="shared" si="129"/>
        <v>73.540000000000006</v>
      </c>
    </row>
    <row r="783" spans="1:21" x14ac:dyDescent="0.3">
      <c r="A783">
        <v>782</v>
      </c>
      <c r="B783" t="str">
        <f>H783&amp;R783&amp;I783</f>
        <v>2024Pat/Tucker11</v>
      </c>
      <c r="C783" t="str">
        <f>H783&amp;S783&amp;I783</f>
        <v>2024Dave/Nolan11</v>
      </c>
      <c r="D783">
        <f t="shared" si="120"/>
        <v>257</v>
      </c>
      <c r="E783">
        <f t="shared" si="121"/>
        <v>234</v>
      </c>
      <c r="F783">
        <f t="shared" si="122"/>
        <v>191</v>
      </c>
      <c r="G783">
        <f t="shared" si="123"/>
        <v>299</v>
      </c>
      <c r="H783">
        <v>2024</v>
      </c>
      <c r="I783">
        <v>11</v>
      </c>
      <c r="J783">
        <v>52</v>
      </c>
      <c r="K783" t="s">
        <v>30</v>
      </c>
      <c r="L783">
        <v>101.26</v>
      </c>
      <c r="M783" t="s">
        <v>31</v>
      </c>
      <c r="N783">
        <v>134.84</v>
      </c>
      <c r="O783" t="s">
        <v>20</v>
      </c>
      <c r="P783">
        <f t="shared" si="124"/>
        <v>236.10000000000002</v>
      </c>
      <c r="Q783">
        <f t="shared" si="125"/>
        <v>33.58</v>
      </c>
      <c r="R783" t="str">
        <f t="shared" si="126"/>
        <v>Pat/Tucker</v>
      </c>
      <c r="S783" t="str">
        <f t="shared" si="127"/>
        <v>Dave/Nolan</v>
      </c>
      <c r="T783">
        <f t="shared" si="128"/>
        <v>134.84</v>
      </c>
      <c r="U783">
        <f t="shared" si="129"/>
        <v>101.26</v>
      </c>
    </row>
    <row r="784" spans="1:21" x14ac:dyDescent="0.3">
      <c r="A784">
        <v>783</v>
      </c>
      <c r="B784" t="str">
        <f>H784&amp;R784&amp;I784</f>
        <v>2024Drew/Cam11</v>
      </c>
      <c r="C784" t="str">
        <f>H784&amp;S784&amp;I784</f>
        <v>2024Trent/Colin11</v>
      </c>
      <c r="D784">
        <f t="shared" si="120"/>
        <v>500</v>
      </c>
      <c r="E784">
        <f t="shared" si="121"/>
        <v>172</v>
      </c>
      <c r="F784">
        <f t="shared" si="122"/>
        <v>235</v>
      </c>
      <c r="G784">
        <f t="shared" si="123"/>
        <v>146</v>
      </c>
      <c r="H784">
        <v>2024</v>
      </c>
      <c r="I784">
        <v>11</v>
      </c>
      <c r="J784">
        <v>53</v>
      </c>
      <c r="K784" t="s">
        <v>33</v>
      </c>
      <c r="L784">
        <v>113.14</v>
      </c>
      <c r="M784" t="s">
        <v>37</v>
      </c>
      <c r="N784">
        <v>131.08000000000001</v>
      </c>
      <c r="O784" t="s">
        <v>20</v>
      </c>
      <c r="P784">
        <f t="shared" si="124"/>
        <v>244.22000000000003</v>
      </c>
      <c r="Q784">
        <f t="shared" si="125"/>
        <v>17.940000000000012</v>
      </c>
      <c r="R784" t="str">
        <f t="shared" si="126"/>
        <v>Drew/Cam</v>
      </c>
      <c r="S784" t="str">
        <f t="shared" si="127"/>
        <v>Trent/Colin</v>
      </c>
      <c r="T784">
        <f t="shared" si="128"/>
        <v>131.08000000000001</v>
      </c>
      <c r="U784">
        <f t="shared" si="129"/>
        <v>113.14</v>
      </c>
    </row>
    <row r="785" spans="1:21" x14ac:dyDescent="0.3">
      <c r="A785">
        <v>784</v>
      </c>
      <c r="B785" t="str">
        <f>H785&amp;R785&amp;I785</f>
        <v>2024Graham/Michael11</v>
      </c>
      <c r="C785" t="str">
        <f>H785&amp;S785&amp;I785</f>
        <v>2024Walker/Cory11</v>
      </c>
      <c r="D785">
        <f t="shared" si="120"/>
        <v>822</v>
      </c>
      <c r="E785">
        <f t="shared" si="121"/>
        <v>41</v>
      </c>
      <c r="F785">
        <f t="shared" si="122"/>
        <v>155</v>
      </c>
      <c r="G785">
        <f t="shared" si="123"/>
        <v>14</v>
      </c>
      <c r="H785">
        <v>2024</v>
      </c>
      <c r="I785">
        <v>11</v>
      </c>
      <c r="J785">
        <v>54</v>
      </c>
      <c r="K785" t="s">
        <v>29</v>
      </c>
      <c r="L785">
        <v>138.18</v>
      </c>
      <c r="M785" t="s">
        <v>36</v>
      </c>
      <c r="N785">
        <v>135.46</v>
      </c>
      <c r="O785" t="s">
        <v>20</v>
      </c>
      <c r="P785">
        <f t="shared" si="124"/>
        <v>273.64</v>
      </c>
      <c r="Q785">
        <f t="shared" si="125"/>
        <v>2.7199999999999989</v>
      </c>
      <c r="R785" t="str">
        <f t="shared" si="126"/>
        <v>Graham/Michael</v>
      </c>
      <c r="S785" t="str">
        <f t="shared" si="127"/>
        <v>Walker/Cory</v>
      </c>
      <c r="T785">
        <f t="shared" si="128"/>
        <v>138.18</v>
      </c>
      <c r="U785">
        <f t="shared" si="129"/>
        <v>135.46</v>
      </c>
    </row>
    <row r="786" spans="1:21" x14ac:dyDescent="0.3">
      <c r="A786">
        <v>785</v>
      </c>
      <c r="B786" t="str">
        <f>H786&amp;R786&amp;I786</f>
        <v>2024Clay/Ryan11</v>
      </c>
      <c r="C786" t="str">
        <f>H786&amp;S786&amp;I786</f>
        <v>2024Brian/Travis11</v>
      </c>
      <c r="D786">
        <f t="shared" si="120"/>
        <v>146</v>
      </c>
      <c r="E786">
        <f t="shared" si="121"/>
        <v>161</v>
      </c>
      <c r="F786">
        <f t="shared" si="122"/>
        <v>107</v>
      </c>
      <c r="G786">
        <f t="shared" si="123"/>
        <v>309</v>
      </c>
      <c r="H786">
        <v>2024</v>
      </c>
      <c r="I786">
        <v>11</v>
      </c>
      <c r="J786">
        <v>55</v>
      </c>
      <c r="K786" t="s">
        <v>32</v>
      </c>
      <c r="L786">
        <v>100.88</v>
      </c>
      <c r="M786" t="s">
        <v>35</v>
      </c>
      <c r="N786">
        <v>144.88</v>
      </c>
      <c r="O786" t="s">
        <v>20</v>
      </c>
      <c r="P786">
        <f t="shared" si="124"/>
        <v>245.76</v>
      </c>
      <c r="Q786">
        <f t="shared" si="125"/>
        <v>44</v>
      </c>
      <c r="R786" t="str">
        <f t="shared" si="126"/>
        <v>Clay/Ryan</v>
      </c>
      <c r="S786" t="str">
        <f t="shared" si="127"/>
        <v>Brian/Travis</v>
      </c>
      <c r="T786">
        <f t="shared" si="128"/>
        <v>144.88</v>
      </c>
      <c r="U786">
        <f t="shared" si="129"/>
        <v>100.88</v>
      </c>
    </row>
    <row r="787" spans="1:21" x14ac:dyDescent="0.3">
      <c r="A787">
        <v>786</v>
      </c>
      <c r="B787" t="str">
        <f>H787&amp;R787&amp;I787</f>
        <v>2024Dave/Nolan12</v>
      </c>
      <c r="C787" t="str">
        <f>H787&amp;S787&amp;I787</f>
        <v>2024Drew/Cam12</v>
      </c>
      <c r="D787">
        <f t="shared" si="120"/>
        <v>436</v>
      </c>
      <c r="E787">
        <f t="shared" si="121"/>
        <v>445</v>
      </c>
      <c r="F787">
        <f t="shared" si="122"/>
        <v>480</v>
      </c>
      <c r="G787">
        <f t="shared" si="123"/>
        <v>415</v>
      </c>
      <c r="H787">
        <v>2024</v>
      </c>
      <c r="I787">
        <v>12</v>
      </c>
      <c r="J787">
        <v>56</v>
      </c>
      <c r="K787" t="s">
        <v>37</v>
      </c>
      <c r="L787">
        <v>95.1</v>
      </c>
      <c r="M787" t="s">
        <v>30</v>
      </c>
      <c r="N787">
        <v>116.7</v>
      </c>
      <c r="O787" t="s">
        <v>20</v>
      </c>
      <c r="P787">
        <f t="shared" si="124"/>
        <v>211.8</v>
      </c>
      <c r="Q787">
        <f t="shared" si="125"/>
        <v>21.600000000000009</v>
      </c>
      <c r="R787" t="str">
        <f t="shared" si="126"/>
        <v>Dave/Nolan</v>
      </c>
      <c r="S787" t="str">
        <f t="shared" si="127"/>
        <v>Drew/Cam</v>
      </c>
      <c r="T787">
        <f t="shared" si="128"/>
        <v>116.7</v>
      </c>
      <c r="U787">
        <f t="shared" si="129"/>
        <v>95.1</v>
      </c>
    </row>
    <row r="788" spans="1:21" x14ac:dyDescent="0.3">
      <c r="A788">
        <v>787</v>
      </c>
      <c r="B788" t="str">
        <f>H788&amp;R788&amp;I788</f>
        <v>2024Eric/Blake12</v>
      </c>
      <c r="C788" t="str">
        <f>H788&amp;S788&amp;I788</f>
        <v>2024Graham/Michael12</v>
      </c>
      <c r="D788">
        <f t="shared" si="120"/>
        <v>526</v>
      </c>
      <c r="E788">
        <f t="shared" si="121"/>
        <v>288</v>
      </c>
      <c r="F788">
        <f t="shared" si="122"/>
        <v>385</v>
      </c>
      <c r="G788">
        <f t="shared" si="123"/>
        <v>226</v>
      </c>
      <c r="H788">
        <v>2024</v>
      </c>
      <c r="I788">
        <v>12</v>
      </c>
      <c r="J788">
        <v>57</v>
      </c>
      <c r="K788" t="s">
        <v>34</v>
      </c>
      <c r="L788">
        <v>122.6</v>
      </c>
      <c r="M788" t="s">
        <v>29</v>
      </c>
      <c r="N788">
        <v>106.56</v>
      </c>
      <c r="O788" t="s">
        <v>20</v>
      </c>
      <c r="P788">
        <f t="shared" si="124"/>
        <v>229.16</v>
      </c>
      <c r="Q788">
        <f t="shared" si="125"/>
        <v>16.039999999999992</v>
      </c>
      <c r="R788" t="str">
        <f t="shared" si="126"/>
        <v>Eric/Blake</v>
      </c>
      <c r="S788" t="str">
        <f t="shared" si="127"/>
        <v>Graham/Michael</v>
      </c>
      <c r="T788">
        <f t="shared" si="128"/>
        <v>122.6</v>
      </c>
      <c r="U788">
        <f t="shared" si="129"/>
        <v>106.56</v>
      </c>
    </row>
    <row r="789" spans="1:21" x14ac:dyDescent="0.3">
      <c r="A789">
        <v>788</v>
      </c>
      <c r="B789" t="str">
        <f>H789&amp;R789&amp;I789</f>
        <v>2024David/Marshall12</v>
      </c>
      <c r="C789" t="str">
        <f>H789&amp;S789&amp;I789</f>
        <v>2024Clay/Ryan12</v>
      </c>
      <c r="D789">
        <f t="shared" si="120"/>
        <v>599</v>
      </c>
      <c r="E789">
        <f t="shared" si="121"/>
        <v>455</v>
      </c>
      <c r="F789">
        <f t="shared" si="122"/>
        <v>563</v>
      </c>
      <c r="G789">
        <f t="shared" si="123"/>
        <v>340</v>
      </c>
      <c r="H789">
        <v>2024</v>
      </c>
      <c r="I789">
        <v>12</v>
      </c>
      <c r="J789">
        <v>58</v>
      </c>
      <c r="K789" t="s">
        <v>35</v>
      </c>
      <c r="L789">
        <v>99.42</v>
      </c>
      <c r="M789" t="s">
        <v>38</v>
      </c>
      <c r="N789">
        <v>111.5</v>
      </c>
      <c r="O789" t="s">
        <v>20</v>
      </c>
      <c r="P789">
        <f t="shared" si="124"/>
        <v>210.92000000000002</v>
      </c>
      <c r="Q789">
        <f t="shared" si="125"/>
        <v>12.079999999999998</v>
      </c>
      <c r="R789" t="str">
        <f t="shared" si="126"/>
        <v>David/Marshall</v>
      </c>
      <c r="S789" t="str">
        <f t="shared" si="127"/>
        <v>Clay/Ryan</v>
      </c>
      <c r="T789">
        <f t="shared" si="128"/>
        <v>111.5</v>
      </c>
      <c r="U789">
        <f t="shared" si="129"/>
        <v>99.42</v>
      </c>
    </row>
    <row r="790" spans="1:21" x14ac:dyDescent="0.3">
      <c r="A790">
        <v>789</v>
      </c>
      <c r="B790" t="str">
        <f>H790&amp;R790&amp;I790</f>
        <v>2024Walker/Cory12</v>
      </c>
      <c r="C790" t="str">
        <f>H790&amp;S790&amp;I790</f>
        <v>2024Pat/Tucker12</v>
      </c>
      <c r="D790">
        <f t="shared" si="120"/>
        <v>625</v>
      </c>
      <c r="E790">
        <f t="shared" si="121"/>
        <v>245</v>
      </c>
      <c r="F790">
        <f t="shared" si="122"/>
        <v>377</v>
      </c>
      <c r="G790">
        <f t="shared" si="123"/>
        <v>159</v>
      </c>
      <c r="H790">
        <v>2024</v>
      </c>
      <c r="I790">
        <v>12</v>
      </c>
      <c r="J790">
        <v>59</v>
      </c>
      <c r="K790" t="s">
        <v>31</v>
      </c>
      <c r="L790">
        <v>111.98</v>
      </c>
      <c r="M790" t="s">
        <v>36</v>
      </c>
      <c r="N790">
        <v>123.06</v>
      </c>
      <c r="O790" t="s">
        <v>20</v>
      </c>
      <c r="P790">
        <f t="shared" si="124"/>
        <v>235.04000000000002</v>
      </c>
      <c r="Q790">
        <f t="shared" si="125"/>
        <v>11.079999999999998</v>
      </c>
      <c r="R790" t="str">
        <f t="shared" si="126"/>
        <v>Walker/Cory</v>
      </c>
      <c r="S790" t="str">
        <f t="shared" si="127"/>
        <v>Pat/Tucker</v>
      </c>
      <c r="T790">
        <f t="shared" si="128"/>
        <v>123.06</v>
      </c>
      <c r="U790">
        <f t="shared" si="129"/>
        <v>111.98</v>
      </c>
    </row>
    <row r="791" spans="1:21" x14ac:dyDescent="0.3">
      <c r="A791">
        <v>790</v>
      </c>
      <c r="B791" t="str">
        <f>H791&amp;R791&amp;I791</f>
        <v>2024Brian/Travis12</v>
      </c>
      <c r="C791" t="str">
        <f>H791&amp;S791&amp;I791</f>
        <v>2024Trent/Colin12</v>
      </c>
      <c r="D791">
        <f t="shared" si="120"/>
        <v>475</v>
      </c>
      <c r="E791">
        <f t="shared" si="121"/>
        <v>388</v>
      </c>
      <c r="F791">
        <f t="shared" si="122"/>
        <v>443</v>
      </c>
      <c r="G791">
        <f t="shared" si="123"/>
        <v>323</v>
      </c>
      <c r="H791">
        <v>2024</v>
      </c>
      <c r="I791">
        <v>12</v>
      </c>
      <c r="J791">
        <v>60</v>
      </c>
      <c r="K791" t="s">
        <v>32</v>
      </c>
      <c r="L791">
        <v>119.08</v>
      </c>
      <c r="M791" t="s">
        <v>33</v>
      </c>
      <c r="N791">
        <v>100.06</v>
      </c>
      <c r="O791" t="s">
        <v>20</v>
      </c>
      <c r="P791">
        <f t="shared" si="124"/>
        <v>219.14</v>
      </c>
      <c r="Q791">
        <f t="shared" si="125"/>
        <v>19.019999999999996</v>
      </c>
      <c r="R791" t="str">
        <f t="shared" si="126"/>
        <v>Brian/Travis</v>
      </c>
      <c r="S791" t="str">
        <f t="shared" si="127"/>
        <v>Trent/Colin</v>
      </c>
      <c r="T791">
        <f t="shared" si="128"/>
        <v>119.08</v>
      </c>
      <c r="U791">
        <f t="shared" si="129"/>
        <v>100.06</v>
      </c>
    </row>
    <row r="792" spans="1:21" x14ac:dyDescent="0.3">
      <c r="A792">
        <v>791</v>
      </c>
      <c r="B792" t="str">
        <f>H792&amp;R792&amp;I792</f>
        <v>2024Graham/Michael13</v>
      </c>
      <c r="C792" t="str">
        <f>H792&amp;S792&amp;I792</f>
        <v>2024Clay/Ryan13</v>
      </c>
      <c r="D792">
        <f t="shared" si="120"/>
        <v>484</v>
      </c>
      <c r="E792">
        <f t="shared" si="121"/>
        <v>261</v>
      </c>
      <c r="F792">
        <f t="shared" si="122"/>
        <v>327</v>
      </c>
      <c r="G792">
        <f t="shared" si="123"/>
        <v>218</v>
      </c>
      <c r="H792">
        <v>2024</v>
      </c>
      <c r="I792">
        <v>13</v>
      </c>
      <c r="J792">
        <v>61</v>
      </c>
      <c r="K792" t="s">
        <v>35</v>
      </c>
      <c r="L792">
        <v>107.2</v>
      </c>
      <c r="M792" t="s">
        <v>29</v>
      </c>
      <c r="N792">
        <v>125.74</v>
      </c>
      <c r="O792" t="s">
        <v>20</v>
      </c>
      <c r="P792">
        <f t="shared" si="124"/>
        <v>232.94</v>
      </c>
      <c r="Q792">
        <f t="shared" si="125"/>
        <v>18.539999999999992</v>
      </c>
      <c r="R792" t="str">
        <f t="shared" si="126"/>
        <v>Graham/Michael</v>
      </c>
      <c r="S792" t="str">
        <f t="shared" si="127"/>
        <v>Clay/Ryan</v>
      </c>
      <c r="T792">
        <f t="shared" si="128"/>
        <v>125.74</v>
      </c>
      <c r="U792">
        <f t="shared" si="129"/>
        <v>107.2</v>
      </c>
    </row>
    <row r="793" spans="1:21" x14ac:dyDescent="0.3">
      <c r="A793">
        <v>792</v>
      </c>
      <c r="B793" t="str">
        <f>H793&amp;R793&amp;I793</f>
        <v>2024Walker/Cory13</v>
      </c>
      <c r="C793" t="str">
        <f>H793&amp;S793&amp;I793</f>
        <v>2024Dave/Nolan13</v>
      </c>
      <c r="D793">
        <f t="shared" si="120"/>
        <v>679</v>
      </c>
      <c r="E793">
        <f t="shared" si="121"/>
        <v>477</v>
      </c>
      <c r="F793">
        <f t="shared" si="122"/>
        <v>598</v>
      </c>
      <c r="G793">
        <f t="shared" si="123"/>
        <v>328</v>
      </c>
      <c r="H793">
        <v>2024</v>
      </c>
      <c r="I793">
        <v>13</v>
      </c>
      <c r="J793">
        <v>62</v>
      </c>
      <c r="K793" t="s">
        <v>36</v>
      </c>
      <c r="L793">
        <v>108.94</v>
      </c>
      <c r="M793" t="s">
        <v>30</v>
      </c>
      <c r="N793">
        <v>99.96</v>
      </c>
      <c r="O793" t="s">
        <v>20</v>
      </c>
      <c r="P793">
        <f t="shared" si="124"/>
        <v>208.89999999999998</v>
      </c>
      <c r="Q793">
        <f t="shared" si="125"/>
        <v>8.980000000000004</v>
      </c>
      <c r="R793" t="str">
        <f t="shared" si="126"/>
        <v>Walker/Cory</v>
      </c>
      <c r="S793" t="str">
        <f t="shared" si="127"/>
        <v>Dave/Nolan</v>
      </c>
      <c r="T793">
        <f t="shared" si="128"/>
        <v>108.94</v>
      </c>
      <c r="U793">
        <f t="shared" si="129"/>
        <v>99.96</v>
      </c>
    </row>
    <row r="794" spans="1:21" x14ac:dyDescent="0.3">
      <c r="A794">
        <v>793</v>
      </c>
      <c r="B794" t="str">
        <f>H794&amp;R794&amp;I794</f>
        <v>2024Brian/Travis13</v>
      </c>
      <c r="C794" t="str">
        <f>H794&amp;S794&amp;I794</f>
        <v>2024Drew/Cam13</v>
      </c>
      <c r="D794">
        <f t="shared" si="120"/>
        <v>20</v>
      </c>
      <c r="E794">
        <f t="shared" si="121"/>
        <v>51</v>
      </c>
      <c r="F794">
        <f t="shared" si="122"/>
        <v>10</v>
      </c>
      <c r="G794">
        <f t="shared" si="123"/>
        <v>332</v>
      </c>
      <c r="H794">
        <v>2024</v>
      </c>
      <c r="I794">
        <v>13</v>
      </c>
      <c r="J794">
        <v>63</v>
      </c>
      <c r="K794" t="s">
        <v>37</v>
      </c>
      <c r="L794">
        <v>99.76</v>
      </c>
      <c r="M794" t="s">
        <v>32</v>
      </c>
      <c r="N794">
        <v>171.38</v>
      </c>
      <c r="O794" t="s">
        <v>20</v>
      </c>
      <c r="P794">
        <f t="shared" si="124"/>
        <v>271.14</v>
      </c>
      <c r="Q794">
        <f t="shared" si="125"/>
        <v>71.61999999999999</v>
      </c>
      <c r="R794" t="str">
        <f t="shared" si="126"/>
        <v>Brian/Travis</v>
      </c>
      <c r="S794" t="str">
        <f t="shared" si="127"/>
        <v>Drew/Cam</v>
      </c>
      <c r="T794">
        <f t="shared" si="128"/>
        <v>171.38</v>
      </c>
      <c r="U794">
        <f t="shared" si="129"/>
        <v>99.76</v>
      </c>
    </row>
    <row r="795" spans="1:21" x14ac:dyDescent="0.3">
      <c r="A795">
        <v>794</v>
      </c>
      <c r="B795" t="str">
        <f>H795&amp;R795&amp;I795</f>
        <v>2024Pat/Tucker13</v>
      </c>
      <c r="C795" t="str">
        <f>H795&amp;S795&amp;I795</f>
        <v>2024Eric/Blake13</v>
      </c>
      <c r="D795">
        <f t="shared" si="120"/>
        <v>790</v>
      </c>
      <c r="E795">
        <f t="shared" si="121"/>
        <v>591</v>
      </c>
      <c r="F795">
        <f t="shared" si="122"/>
        <v>701</v>
      </c>
      <c r="G795">
        <f t="shared" si="123"/>
        <v>394</v>
      </c>
      <c r="H795">
        <v>2024</v>
      </c>
      <c r="I795">
        <v>13</v>
      </c>
      <c r="J795">
        <v>64</v>
      </c>
      <c r="K795" t="s">
        <v>31</v>
      </c>
      <c r="L795">
        <v>100.56</v>
      </c>
      <c r="M795" t="s">
        <v>34</v>
      </c>
      <c r="N795">
        <v>96.44</v>
      </c>
      <c r="O795" t="s">
        <v>20</v>
      </c>
      <c r="P795">
        <f t="shared" si="124"/>
        <v>197</v>
      </c>
      <c r="Q795">
        <f t="shared" si="125"/>
        <v>4.1200000000000045</v>
      </c>
      <c r="R795" t="str">
        <f t="shared" si="126"/>
        <v>Pat/Tucker</v>
      </c>
      <c r="S795" t="str">
        <f t="shared" si="127"/>
        <v>Eric/Blake</v>
      </c>
      <c r="T795">
        <f t="shared" si="128"/>
        <v>100.56</v>
      </c>
      <c r="U795">
        <f t="shared" si="129"/>
        <v>96.44</v>
      </c>
    </row>
    <row r="796" spans="1:21" x14ac:dyDescent="0.3">
      <c r="A796">
        <v>795</v>
      </c>
      <c r="B796" t="str">
        <f>H796&amp;R796&amp;I796</f>
        <v>2024David/Marshall13</v>
      </c>
      <c r="C796" t="str">
        <f>H796&amp;S796&amp;I796</f>
        <v>2024Trent/Colin13</v>
      </c>
      <c r="D796">
        <f t="shared" si="120"/>
        <v>150</v>
      </c>
      <c r="E796">
        <f t="shared" si="121"/>
        <v>422</v>
      </c>
      <c r="F796">
        <f t="shared" si="122"/>
        <v>273</v>
      </c>
      <c r="G796">
        <f t="shared" si="123"/>
        <v>609</v>
      </c>
      <c r="H796">
        <v>2024</v>
      </c>
      <c r="I796">
        <v>13</v>
      </c>
      <c r="J796">
        <v>65</v>
      </c>
      <c r="K796" t="s">
        <v>38</v>
      </c>
      <c r="L796">
        <v>128.91999999999999</v>
      </c>
      <c r="M796" t="s">
        <v>33</v>
      </c>
      <c r="N796">
        <v>85.22</v>
      </c>
      <c r="O796" t="s">
        <v>20</v>
      </c>
      <c r="P796">
        <f t="shared" si="124"/>
        <v>214.14</v>
      </c>
      <c r="Q796">
        <f t="shared" si="125"/>
        <v>43.699999999999989</v>
      </c>
      <c r="R796" t="str">
        <f t="shared" si="126"/>
        <v>David/Marshall</v>
      </c>
      <c r="S796" t="str">
        <f t="shared" si="127"/>
        <v>Trent/Colin</v>
      </c>
      <c r="T796">
        <f t="shared" si="128"/>
        <v>128.91999999999999</v>
      </c>
      <c r="U796">
        <f t="shared" si="129"/>
        <v>85.22</v>
      </c>
    </row>
    <row r="797" spans="1:21" x14ac:dyDescent="0.3">
      <c r="A797">
        <v>796</v>
      </c>
      <c r="B797" t="str">
        <f>H797&amp;R797&amp;I797</f>
        <v>2024Pat/Tucker14</v>
      </c>
      <c r="C797" t="str">
        <f>H797&amp;S797&amp;I797</f>
        <v>2024Brian/Travis14</v>
      </c>
      <c r="D797">
        <f t="shared" si="120"/>
        <v>567</v>
      </c>
      <c r="E797">
        <f t="shared" si="121"/>
        <v>387</v>
      </c>
      <c r="F797">
        <f t="shared" si="122"/>
        <v>484</v>
      </c>
      <c r="G797">
        <f t="shared" si="123"/>
        <v>279</v>
      </c>
      <c r="H797">
        <v>2024</v>
      </c>
      <c r="I797">
        <v>14</v>
      </c>
      <c r="J797">
        <v>66</v>
      </c>
      <c r="K797" t="s">
        <v>31</v>
      </c>
      <c r="L797">
        <v>116.56</v>
      </c>
      <c r="M797" t="s">
        <v>32</v>
      </c>
      <c r="N797">
        <v>102.62</v>
      </c>
      <c r="O797" t="s">
        <v>20</v>
      </c>
      <c r="P797">
        <f t="shared" si="124"/>
        <v>219.18</v>
      </c>
      <c r="Q797">
        <f t="shared" si="125"/>
        <v>13.939999999999998</v>
      </c>
      <c r="R797" t="str">
        <f t="shared" si="126"/>
        <v>Pat/Tucker</v>
      </c>
      <c r="S797" t="str">
        <f t="shared" si="127"/>
        <v>Brian/Travis</v>
      </c>
      <c r="T797">
        <f t="shared" si="128"/>
        <v>116.56</v>
      </c>
      <c r="U797">
        <f t="shared" si="129"/>
        <v>102.62</v>
      </c>
    </row>
    <row r="798" spans="1:21" x14ac:dyDescent="0.3">
      <c r="A798">
        <v>797</v>
      </c>
      <c r="B798" t="str">
        <f>H798&amp;R798&amp;I798</f>
        <v>2024Eric/Blake14</v>
      </c>
      <c r="C798" t="str">
        <f>H798&amp;S798&amp;I798</f>
        <v>2024Trent/Colin14</v>
      </c>
      <c r="D798">
        <f t="shared" si="120"/>
        <v>690</v>
      </c>
      <c r="E798">
        <f t="shared" si="121"/>
        <v>64</v>
      </c>
      <c r="F798">
        <f t="shared" si="122"/>
        <v>161</v>
      </c>
      <c r="G798">
        <f t="shared" si="123"/>
        <v>29</v>
      </c>
      <c r="H798">
        <v>2024</v>
      </c>
      <c r="I798">
        <v>14</v>
      </c>
      <c r="J798">
        <v>67</v>
      </c>
      <c r="K798" t="s">
        <v>34</v>
      </c>
      <c r="L798">
        <v>137.56</v>
      </c>
      <c r="M798" t="s">
        <v>33</v>
      </c>
      <c r="N798">
        <v>129.32</v>
      </c>
      <c r="O798" t="s">
        <v>20</v>
      </c>
      <c r="P798">
        <f t="shared" si="124"/>
        <v>266.88</v>
      </c>
      <c r="Q798">
        <f t="shared" si="125"/>
        <v>8.2400000000000091</v>
      </c>
      <c r="R798" t="str">
        <f t="shared" si="126"/>
        <v>Eric/Blake</v>
      </c>
      <c r="S798" t="str">
        <f t="shared" si="127"/>
        <v>Trent/Colin</v>
      </c>
      <c r="T798">
        <f t="shared" si="128"/>
        <v>137.56</v>
      </c>
      <c r="U798">
        <f t="shared" si="129"/>
        <v>129.32</v>
      </c>
    </row>
    <row r="799" spans="1:21" x14ac:dyDescent="0.3">
      <c r="A799">
        <v>798</v>
      </c>
      <c r="B799" t="str">
        <f>H799&amp;R799&amp;I799</f>
        <v>2024David/Marshall14</v>
      </c>
      <c r="C799" t="str">
        <f>H799&amp;S799&amp;I799</f>
        <v>2024Dave/Nolan14</v>
      </c>
      <c r="D799">
        <f t="shared" si="120"/>
        <v>78</v>
      </c>
      <c r="E799">
        <f t="shared" si="121"/>
        <v>121</v>
      </c>
      <c r="F799">
        <f t="shared" si="122"/>
        <v>52</v>
      </c>
      <c r="G799">
        <f t="shared" si="123"/>
        <v>342</v>
      </c>
      <c r="H799">
        <v>2024</v>
      </c>
      <c r="I799">
        <v>14</v>
      </c>
      <c r="J799">
        <v>68</v>
      </c>
      <c r="K799" t="s">
        <v>30</v>
      </c>
      <c r="L799">
        <v>99.2</v>
      </c>
      <c r="M799" t="s">
        <v>38</v>
      </c>
      <c r="N799">
        <v>153.18</v>
      </c>
      <c r="O799" t="s">
        <v>20</v>
      </c>
      <c r="P799">
        <f t="shared" si="124"/>
        <v>252.38</v>
      </c>
      <c r="Q799">
        <f t="shared" si="125"/>
        <v>53.980000000000004</v>
      </c>
      <c r="R799" t="str">
        <f t="shared" si="126"/>
        <v>David/Marshall</v>
      </c>
      <c r="S799" t="str">
        <f t="shared" si="127"/>
        <v>Dave/Nolan</v>
      </c>
      <c r="T799">
        <f t="shared" si="128"/>
        <v>153.18</v>
      </c>
      <c r="U799">
        <f t="shared" si="129"/>
        <v>99.2</v>
      </c>
    </row>
    <row r="800" spans="1:21" x14ac:dyDescent="0.3">
      <c r="A800">
        <v>799</v>
      </c>
      <c r="B800" t="str">
        <f>H800&amp;R800&amp;I800</f>
        <v>2024Graham/Michael14</v>
      </c>
      <c r="C800" t="str">
        <f>H800&amp;S800&amp;I800</f>
        <v>2024Drew/Cam14</v>
      </c>
      <c r="D800">
        <f t="shared" si="120"/>
        <v>326</v>
      </c>
      <c r="E800">
        <f t="shared" si="121"/>
        <v>33</v>
      </c>
      <c r="F800">
        <f t="shared" si="122"/>
        <v>55</v>
      </c>
      <c r="G800">
        <f t="shared" si="123"/>
        <v>46</v>
      </c>
      <c r="H800">
        <v>2024</v>
      </c>
      <c r="I800">
        <v>14</v>
      </c>
      <c r="J800">
        <v>69</v>
      </c>
      <c r="K800" t="s">
        <v>29</v>
      </c>
      <c r="L800">
        <v>152.82</v>
      </c>
      <c r="M800" t="s">
        <v>37</v>
      </c>
      <c r="N800">
        <v>124.56</v>
      </c>
      <c r="O800" t="s">
        <v>20</v>
      </c>
      <c r="P800">
        <f t="shared" si="124"/>
        <v>277.38</v>
      </c>
      <c r="Q800">
        <f t="shared" si="125"/>
        <v>28.259999999999991</v>
      </c>
      <c r="R800" t="str">
        <f t="shared" si="126"/>
        <v>Graham/Michael</v>
      </c>
      <c r="S800" t="str">
        <f t="shared" si="127"/>
        <v>Drew/Cam</v>
      </c>
      <c r="T800">
        <f t="shared" si="128"/>
        <v>152.82</v>
      </c>
      <c r="U800">
        <f t="shared" si="129"/>
        <v>124.56</v>
      </c>
    </row>
    <row r="801" spans="1:21" x14ac:dyDescent="0.3">
      <c r="A801">
        <v>800</v>
      </c>
      <c r="B801" t="str">
        <f>H801&amp;R801&amp;I801</f>
        <v>2024Walker/Cory14</v>
      </c>
      <c r="C801" t="str">
        <f>H801&amp;S801&amp;I801</f>
        <v>2024Clay/Ryan14</v>
      </c>
      <c r="D801">
        <f t="shared" si="120"/>
        <v>592</v>
      </c>
      <c r="E801">
        <f t="shared" si="121"/>
        <v>589</v>
      </c>
      <c r="F801">
        <f t="shared" si="122"/>
        <v>648</v>
      </c>
      <c r="G801">
        <f t="shared" si="123"/>
        <v>462</v>
      </c>
      <c r="H801">
        <v>2024</v>
      </c>
      <c r="I801">
        <v>14</v>
      </c>
      <c r="J801">
        <v>70</v>
      </c>
      <c r="K801" t="s">
        <v>36</v>
      </c>
      <c r="L801">
        <v>105</v>
      </c>
      <c r="M801" t="s">
        <v>35</v>
      </c>
      <c r="N801">
        <v>92.32</v>
      </c>
      <c r="O801" t="s">
        <v>20</v>
      </c>
      <c r="P801">
        <f t="shared" si="124"/>
        <v>197.32</v>
      </c>
      <c r="Q801">
        <f t="shared" si="125"/>
        <v>12.680000000000007</v>
      </c>
      <c r="R801" t="str">
        <f t="shared" si="126"/>
        <v>Walker/Cory</v>
      </c>
      <c r="S801" t="str">
        <f t="shared" si="127"/>
        <v>Clay/Ryan</v>
      </c>
      <c r="T801">
        <f t="shared" si="128"/>
        <v>105</v>
      </c>
      <c r="U801">
        <f t="shared" si="129"/>
        <v>92.32</v>
      </c>
    </row>
    <row r="802" spans="1:21" x14ac:dyDescent="0.3">
      <c r="A802">
        <v>801</v>
      </c>
      <c r="B802" t="str">
        <f>H802&amp;R802&amp;I802</f>
        <v>2025Graham/Michael1</v>
      </c>
      <c r="C802" t="str">
        <f>H802&amp;S802&amp;I802</f>
        <v>2025Dave/Nolan1</v>
      </c>
      <c r="D802">
        <f t="shared" si="120"/>
        <v>209</v>
      </c>
      <c r="E802">
        <f t="shared" si="121"/>
        <v>428</v>
      </c>
      <c r="F802">
        <f t="shared" si="122"/>
        <v>324</v>
      </c>
      <c r="G802">
        <f t="shared" si="123"/>
        <v>556</v>
      </c>
      <c r="H802">
        <v>2025</v>
      </c>
      <c r="I802">
        <v>1</v>
      </c>
      <c r="J802">
        <v>1</v>
      </c>
      <c r="K802" t="s">
        <v>30</v>
      </c>
      <c r="L802">
        <v>87.62</v>
      </c>
      <c r="M802" t="s">
        <v>29</v>
      </c>
      <c r="N802">
        <v>125.86</v>
      </c>
      <c r="P802">
        <f t="shared" si="124"/>
        <v>213.48000000000002</v>
      </c>
      <c r="Q802">
        <f t="shared" si="125"/>
        <v>38.239999999999995</v>
      </c>
      <c r="R802" t="str">
        <f t="shared" si="126"/>
        <v>Graham/Michael</v>
      </c>
      <c r="S802" t="str">
        <f t="shared" si="127"/>
        <v>Dave/Nolan</v>
      </c>
      <c r="T802">
        <f t="shared" si="128"/>
        <v>125.86</v>
      </c>
      <c r="U802">
        <f t="shared" si="129"/>
        <v>87.62</v>
      </c>
    </row>
    <row r="803" spans="1:21" x14ac:dyDescent="0.3">
      <c r="A803">
        <v>802</v>
      </c>
      <c r="B803" t="str">
        <f>H803&amp;R803&amp;I803</f>
        <v>2025Brian/Travis1</v>
      </c>
      <c r="C803" t="str">
        <f>H803&amp;S803&amp;I803</f>
        <v>2025Pat/Tucker1</v>
      </c>
      <c r="D803">
        <f t="shared" si="120"/>
        <v>64</v>
      </c>
      <c r="E803">
        <f t="shared" si="121"/>
        <v>639</v>
      </c>
      <c r="F803">
        <f t="shared" si="122"/>
        <v>359</v>
      </c>
      <c r="G803">
        <f t="shared" si="123"/>
        <v>810</v>
      </c>
      <c r="H803">
        <v>2025</v>
      </c>
      <c r="I803">
        <v>1</v>
      </c>
      <c r="J803">
        <v>2</v>
      </c>
      <c r="K803" t="s">
        <v>32</v>
      </c>
      <c r="L803">
        <v>123.88</v>
      </c>
      <c r="M803" t="s">
        <v>31</v>
      </c>
      <c r="N803">
        <v>67.319999999999993</v>
      </c>
      <c r="P803">
        <f t="shared" si="124"/>
        <v>191.2</v>
      </c>
      <c r="Q803">
        <f t="shared" si="125"/>
        <v>56.56</v>
      </c>
      <c r="R803" t="str">
        <f t="shared" si="126"/>
        <v>Brian/Travis</v>
      </c>
      <c r="S803" t="str">
        <f t="shared" si="127"/>
        <v>Pat/Tucker</v>
      </c>
      <c r="T803">
        <f t="shared" si="128"/>
        <v>123.88</v>
      </c>
      <c r="U803">
        <f t="shared" si="129"/>
        <v>67.319999999999993</v>
      </c>
    </row>
    <row r="804" spans="1:21" x14ac:dyDescent="0.3">
      <c r="A804">
        <v>803</v>
      </c>
      <c r="B804" t="str">
        <f>H804&amp;R804&amp;I804</f>
        <v>2025Eric/Blake1</v>
      </c>
      <c r="C804" t="str">
        <f>H804&amp;S804&amp;I804</f>
        <v>2025Walker/Cory1</v>
      </c>
      <c r="D804">
        <f t="shared" si="120"/>
        <v>831</v>
      </c>
      <c r="E804">
        <f t="shared" si="121"/>
        <v>360</v>
      </c>
      <c r="F804">
        <f t="shared" si="122"/>
        <v>549</v>
      </c>
      <c r="G804">
        <f t="shared" si="123"/>
        <v>177</v>
      </c>
      <c r="H804">
        <v>2025</v>
      </c>
      <c r="I804">
        <v>1</v>
      </c>
      <c r="J804">
        <v>3</v>
      </c>
      <c r="K804" t="s">
        <v>34</v>
      </c>
      <c r="L804">
        <v>112.28</v>
      </c>
      <c r="M804" t="s">
        <v>36</v>
      </c>
      <c r="N804">
        <v>110.32</v>
      </c>
      <c r="P804">
        <f t="shared" si="124"/>
        <v>222.6</v>
      </c>
      <c r="Q804">
        <f t="shared" si="125"/>
        <v>1.960000000000008</v>
      </c>
      <c r="R804" t="str">
        <f t="shared" si="126"/>
        <v>Eric/Blake</v>
      </c>
      <c r="S804" t="str">
        <f t="shared" si="127"/>
        <v>Walker/Cory</v>
      </c>
      <c r="T804">
        <f t="shared" si="128"/>
        <v>112.28</v>
      </c>
      <c r="U804">
        <f t="shared" si="129"/>
        <v>110.32</v>
      </c>
    </row>
    <row r="805" spans="1:21" x14ac:dyDescent="0.3">
      <c r="A805">
        <v>804</v>
      </c>
      <c r="B805" t="str">
        <f>H805&amp;R805&amp;I805</f>
        <v>2025Trent/Colin1</v>
      </c>
      <c r="C805" t="str">
        <f>H805&amp;S805&amp;I805</f>
        <v>2025Clay/Ryan1</v>
      </c>
      <c r="D805">
        <f t="shared" si="120"/>
        <v>867</v>
      </c>
      <c r="E805">
        <f t="shared" si="121"/>
        <v>741</v>
      </c>
      <c r="F805">
        <f t="shared" si="122"/>
        <v>826</v>
      </c>
      <c r="G805">
        <f t="shared" si="123"/>
        <v>516</v>
      </c>
      <c r="H805">
        <v>2025</v>
      </c>
      <c r="I805">
        <v>1</v>
      </c>
      <c r="J805">
        <v>4</v>
      </c>
      <c r="K805" t="s">
        <v>33</v>
      </c>
      <c r="L805">
        <v>89.66</v>
      </c>
      <c r="M805" t="s">
        <v>35</v>
      </c>
      <c r="N805">
        <v>89.62</v>
      </c>
      <c r="P805">
        <f t="shared" si="124"/>
        <v>179.28</v>
      </c>
      <c r="Q805">
        <f t="shared" si="125"/>
        <v>3.9999999999992042E-2</v>
      </c>
      <c r="R805" t="str">
        <f t="shared" si="126"/>
        <v>Trent/Colin</v>
      </c>
      <c r="S805" t="str">
        <f t="shared" si="127"/>
        <v>Clay/Ryan</v>
      </c>
      <c r="T805">
        <f t="shared" si="128"/>
        <v>89.66</v>
      </c>
      <c r="U805">
        <f t="shared" si="129"/>
        <v>89.62</v>
      </c>
    </row>
    <row r="806" spans="1:21" x14ac:dyDescent="0.3">
      <c r="A806">
        <v>805</v>
      </c>
      <c r="B806" t="str">
        <f>H806&amp;R806&amp;I806</f>
        <v>2025Drew/Cam1</v>
      </c>
      <c r="C806" t="str">
        <f>H806&amp;S806&amp;I806</f>
        <v>2025David/Marshall1</v>
      </c>
      <c r="D806">
        <f t="shared" si="120"/>
        <v>785</v>
      </c>
      <c r="E806">
        <f t="shared" si="121"/>
        <v>645</v>
      </c>
      <c r="F806">
        <f t="shared" si="122"/>
        <v>743</v>
      </c>
      <c r="G806">
        <f t="shared" si="123"/>
        <v>449</v>
      </c>
      <c r="H806">
        <v>2025</v>
      </c>
      <c r="I806">
        <v>1</v>
      </c>
      <c r="J806">
        <v>5</v>
      </c>
      <c r="K806" t="s">
        <v>38</v>
      </c>
      <c r="L806">
        <v>93.12</v>
      </c>
      <c r="M806" t="s">
        <v>37</v>
      </c>
      <c r="N806">
        <v>97.44</v>
      </c>
      <c r="P806">
        <f t="shared" si="124"/>
        <v>190.56</v>
      </c>
      <c r="Q806">
        <f t="shared" si="125"/>
        <v>4.3199999999999932</v>
      </c>
      <c r="R806" t="str">
        <f t="shared" si="126"/>
        <v>Drew/Cam</v>
      </c>
      <c r="S806" t="str">
        <f t="shared" si="127"/>
        <v>David/Marshall</v>
      </c>
      <c r="T806">
        <f t="shared" si="128"/>
        <v>97.44</v>
      </c>
      <c r="U806">
        <f t="shared" si="129"/>
        <v>93.12</v>
      </c>
    </row>
    <row r="807" spans="1:21" x14ac:dyDescent="0.3">
      <c r="A807">
        <v>806</v>
      </c>
      <c r="B807" t="str">
        <f>H807&amp;R807&amp;I807</f>
        <v>2025Graham/Michael2</v>
      </c>
      <c r="C807" t="str">
        <f>H807&amp;S807&amp;I807</f>
        <v>2025Walker/Cory2</v>
      </c>
      <c r="D807">
        <f t="shared" si="120"/>
        <v>356</v>
      </c>
      <c r="E807">
        <f t="shared" si="121"/>
        <v>238</v>
      </c>
      <c r="F807">
        <f t="shared" si="122"/>
        <v>238</v>
      </c>
      <c r="G807">
        <f t="shared" si="123"/>
        <v>244</v>
      </c>
      <c r="H807">
        <v>2025</v>
      </c>
      <c r="I807">
        <v>2</v>
      </c>
      <c r="J807">
        <v>6</v>
      </c>
      <c r="K807" t="s">
        <v>36</v>
      </c>
      <c r="L807">
        <v>104.7</v>
      </c>
      <c r="M807" t="s">
        <v>29</v>
      </c>
      <c r="N807">
        <v>130.91999999999999</v>
      </c>
      <c r="P807">
        <f t="shared" si="124"/>
        <v>235.62</v>
      </c>
      <c r="Q807">
        <f t="shared" si="125"/>
        <v>26.219999999999985</v>
      </c>
      <c r="R807" t="str">
        <f t="shared" si="126"/>
        <v>Graham/Michael</v>
      </c>
      <c r="S807" t="str">
        <f t="shared" si="127"/>
        <v>Walker/Cory</v>
      </c>
      <c r="T807">
        <f t="shared" si="128"/>
        <v>130.91999999999999</v>
      </c>
      <c r="U807">
        <f t="shared" si="129"/>
        <v>104.7</v>
      </c>
    </row>
    <row r="808" spans="1:21" x14ac:dyDescent="0.3">
      <c r="A808">
        <v>807</v>
      </c>
      <c r="B808" t="str">
        <f>H808&amp;R808&amp;I808</f>
        <v>2025Eric/Blake2</v>
      </c>
      <c r="C808" t="str">
        <f>H808&amp;S808&amp;I808</f>
        <v>2025Trent/Colin2</v>
      </c>
      <c r="D808">
        <f t="shared" si="120"/>
        <v>551</v>
      </c>
      <c r="E808">
        <f t="shared" si="121"/>
        <v>697</v>
      </c>
      <c r="F808">
        <f t="shared" si="122"/>
        <v>709</v>
      </c>
      <c r="G808">
        <f t="shared" si="123"/>
        <v>610</v>
      </c>
      <c r="H808">
        <v>2025</v>
      </c>
      <c r="I808">
        <v>2</v>
      </c>
      <c r="J808">
        <v>7</v>
      </c>
      <c r="K808" t="s">
        <v>33</v>
      </c>
      <c r="L808">
        <v>85.2</v>
      </c>
      <c r="M808" t="s">
        <v>34</v>
      </c>
      <c r="N808">
        <v>99.7</v>
      </c>
      <c r="P808">
        <f t="shared" si="124"/>
        <v>184.9</v>
      </c>
      <c r="Q808">
        <f t="shared" si="125"/>
        <v>14.5</v>
      </c>
      <c r="R808" t="str">
        <f t="shared" si="126"/>
        <v>Eric/Blake</v>
      </c>
      <c r="S808" t="str">
        <f t="shared" si="127"/>
        <v>Trent/Colin</v>
      </c>
      <c r="T808">
        <f t="shared" si="128"/>
        <v>99.7</v>
      </c>
      <c r="U808">
        <f t="shared" si="129"/>
        <v>85.2</v>
      </c>
    </row>
    <row r="809" spans="1:21" x14ac:dyDescent="0.3">
      <c r="A809">
        <v>808</v>
      </c>
      <c r="B809" t="str">
        <f>H809&amp;R809&amp;I809</f>
        <v>2025Pat/Tucker2</v>
      </c>
      <c r="C809" t="str">
        <f>H809&amp;S809&amp;I809</f>
        <v>2025Dave/Nolan2</v>
      </c>
      <c r="D809">
        <f t="shared" si="120"/>
        <v>817</v>
      </c>
      <c r="E809">
        <f t="shared" si="121"/>
        <v>583</v>
      </c>
      <c r="F809">
        <f t="shared" si="122"/>
        <v>700</v>
      </c>
      <c r="G809">
        <f t="shared" si="123"/>
        <v>367</v>
      </c>
      <c r="H809">
        <v>2025</v>
      </c>
      <c r="I809">
        <v>2</v>
      </c>
      <c r="J809">
        <v>8</v>
      </c>
      <c r="K809" t="s">
        <v>31</v>
      </c>
      <c r="L809">
        <v>100.68</v>
      </c>
      <c r="M809" t="s">
        <v>30</v>
      </c>
      <c r="N809">
        <v>97.8</v>
      </c>
      <c r="P809">
        <f t="shared" si="124"/>
        <v>198.48000000000002</v>
      </c>
      <c r="Q809">
        <f t="shared" si="125"/>
        <v>2.8800000000000097</v>
      </c>
      <c r="R809" t="str">
        <f t="shared" si="126"/>
        <v>Pat/Tucker</v>
      </c>
      <c r="S809" t="str">
        <f t="shared" si="127"/>
        <v>Dave/Nolan</v>
      </c>
      <c r="T809">
        <f t="shared" si="128"/>
        <v>100.68</v>
      </c>
      <c r="U809">
        <f t="shared" si="129"/>
        <v>97.8</v>
      </c>
    </row>
    <row r="810" spans="1:21" x14ac:dyDescent="0.3">
      <c r="A810">
        <v>809</v>
      </c>
      <c r="B810" t="str">
        <f>H810&amp;R810&amp;I810</f>
        <v>2025Brian/Travis2</v>
      </c>
      <c r="C810" t="str">
        <f>H810&amp;S810&amp;I810</f>
        <v>2025David/Marshall2</v>
      </c>
      <c r="D810">
        <f t="shared" si="120"/>
        <v>621</v>
      </c>
      <c r="E810">
        <f t="shared" si="121"/>
        <v>643</v>
      </c>
      <c r="F810">
        <f t="shared" si="122"/>
        <v>699</v>
      </c>
      <c r="G810">
        <f t="shared" si="123"/>
        <v>514</v>
      </c>
      <c r="H810">
        <v>2025</v>
      </c>
      <c r="I810">
        <v>2</v>
      </c>
      <c r="J810">
        <v>9</v>
      </c>
      <c r="K810" t="s">
        <v>32</v>
      </c>
      <c r="L810">
        <v>101.04</v>
      </c>
      <c r="M810" t="s">
        <v>38</v>
      </c>
      <c r="N810">
        <v>89.78</v>
      </c>
      <c r="P810">
        <f t="shared" si="124"/>
        <v>190.82</v>
      </c>
      <c r="Q810">
        <f t="shared" si="125"/>
        <v>11.260000000000005</v>
      </c>
      <c r="R810" t="str">
        <f t="shared" si="126"/>
        <v>Brian/Travis</v>
      </c>
      <c r="S810" t="str">
        <f t="shared" si="127"/>
        <v>David/Marshall</v>
      </c>
      <c r="T810">
        <f t="shared" si="128"/>
        <v>101.04</v>
      </c>
      <c r="U810">
        <f t="shared" si="129"/>
        <v>89.78</v>
      </c>
    </row>
    <row r="811" spans="1:21" x14ac:dyDescent="0.3">
      <c r="A811">
        <v>810</v>
      </c>
      <c r="B811" t="str">
        <f>H811&amp;R811&amp;I811</f>
        <v>2025Clay/Ryan2</v>
      </c>
      <c r="C811" t="str">
        <f>H811&amp;S811&amp;I811</f>
        <v>2025Drew/Cam2</v>
      </c>
      <c r="D811">
        <f t="shared" si="120"/>
        <v>518</v>
      </c>
      <c r="E811">
        <f t="shared" si="121"/>
        <v>220</v>
      </c>
      <c r="F811">
        <f t="shared" si="122"/>
        <v>300</v>
      </c>
      <c r="G811">
        <f t="shared" si="123"/>
        <v>172</v>
      </c>
      <c r="H811">
        <v>2025</v>
      </c>
      <c r="I811">
        <v>2</v>
      </c>
      <c r="J811">
        <v>10</v>
      </c>
      <c r="K811" t="s">
        <v>35</v>
      </c>
      <c r="L811">
        <v>127.24</v>
      </c>
      <c r="M811" t="s">
        <v>37</v>
      </c>
      <c r="N811">
        <v>110.54</v>
      </c>
      <c r="P811">
        <f t="shared" si="124"/>
        <v>237.78</v>
      </c>
      <c r="Q811">
        <f t="shared" si="125"/>
        <v>16.699999999999989</v>
      </c>
      <c r="R811" t="str">
        <f t="shared" si="126"/>
        <v>Clay/Ryan</v>
      </c>
      <c r="S811" t="str">
        <f t="shared" si="127"/>
        <v>Drew/Cam</v>
      </c>
      <c r="T811">
        <f t="shared" si="128"/>
        <v>127.24</v>
      </c>
      <c r="U811">
        <f t="shared" si="129"/>
        <v>110.54</v>
      </c>
    </row>
    <row r="812" spans="1:21" x14ac:dyDescent="0.3">
      <c r="A812">
        <v>811</v>
      </c>
      <c r="B812" t="str">
        <f>H812&amp;R812&amp;I812</f>
        <v>2025Graham/Michael3</v>
      </c>
      <c r="C812" t="str">
        <f>H812&amp;S812&amp;I812</f>
        <v>2025Eric/Blake3</v>
      </c>
      <c r="D812">
        <f t="shared" si="120"/>
        <v>67</v>
      </c>
      <c r="E812">
        <f t="shared" si="121"/>
        <v>628</v>
      </c>
      <c r="F812">
        <f t="shared" si="122"/>
        <v>345</v>
      </c>
      <c r="G812">
        <f t="shared" si="123"/>
        <v>805</v>
      </c>
      <c r="H812">
        <v>2025</v>
      </c>
      <c r="I812">
        <v>3</v>
      </c>
      <c r="J812">
        <v>11</v>
      </c>
      <c r="K812" t="s">
        <v>29</v>
      </c>
      <c r="L812">
        <v>124.62</v>
      </c>
      <c r="M812" t="s">
        <v>34</v>
      </c>
      <c r="N812">
        <v>68.52</v>
      </c>
      <c r="P812">
        <f t="shared" si="124"/>
        <v>193.14</v>
      </c>
      <c r="Q812">
        <f t="shared" si="125"/>
        <v>56.100000000000009</v>
      </c>
      <c r="R812" t="str">
        <f t="shared" si="126"/>
        <v>Graham/Michael</v>
      </c>
      <c r="S812" t="str">
        <f t="shared" si="127"/>
        <v>Eric/Blake</v>
      </c>
      <c r="T812">
        <f t="shared" si="128"/>
        <v>124.62</v>
      </c>
      <c r="U812">
        <f t="shared" si="129"/>
        <v>68.52</v>
      </c>
    </row>
    <row r="813" spans="1:21" x14ac:dyDescent="0.3">
      <c r="A813">
        <v>812</v>
      </c>
      <c r="B813" t="str">
        <f>H813&amp;R813&amp;I813</f>
        <v>2025Dave/Nolan3</v>
      </c>
      <c r="C813" t="str">
        <f>H813&amp;S813&amp;I813</f>
        <v>2025David/Marshall3</v>
      </c>
      <c r="D813">
        <f t="shared" si="120"/>
        <v>791</v>
      </c>
      <c r="E813">
        <f t="shared" si="121"/>
        <v>345</v>
      </c>
      <c r="F813">
        <f t="shared" si="122"/>
        <v>522</v>
      </c>
      <c r="G813">
        <f t="shared" si="123"/>
        <v>185</v>
      </c>
      <c r="H813">
        <v>2025</v>
      </c>
      <c r="I813">
        <v>3</v>
      </c>
      <c r="J813">
        <v>12</v>
      </c>
      <c r="K813" t="s">
        <v>38</v>
      </c>
      <c r="L813">
        <v>109.74</v>
      </c>
      <c r="M813" t="s">
        <v>30</v>
      </c>
      <c r="N813">
        <v>113.8</v>
      </c>
      <c r="P813">
        <f t="shared" si="124"/>
        <v>223.54</v>
      </c>
      <c r="Q813">
        <f t="shared" si="125"/>
        <v>4.0600000000000023</v>
      </c>
      <c r="R813" t="str">
        <f t="shared" si="126"/>
        <v>Dave/Nolan</v>
      </c>
      <c r="S813" t="str">
        <f t="shared" si="127"/>
        <v>David/Marshall</v>
      </c>
      <c r="T813">
        <f t="shared" si="128"/>
        <v>113.8</v>
      </c>
      <c r="U813">
        <f t="shared" si="129"/>
        <v>109.74</v>
      </c>
    </row>
    <row r="814" spans="1:21" x14ac:dyDescent="0.3">
      <c r="A814">
        <v>813</v>
      </c>
      <c r="B814" t="str">
        <f>H814&amp;R814&amp;I814</f>
        <v>2025Trent/Colin3</v>
      </c>
      <c r="C814" t="str">
        <f>H814&amp;S814&amp;I814</f>
        <v>2025Drew/Cam3</v>
      </c>
      <c r="D814">
        <f t="shared" si="120"/>
        <v>134</v>
      </c>
      <c r="E814">
        <f t="shared" si="121"/>
        <v>134</v>
      </c>
      <c r="F814">
        <f t="shared" si="122"/>
        <v>88</v>
      </c>
      <c r="G814">
        <f t="shared" si="123"/>
        <v>290</v>
      </c>
      <c r="H814">
        <v>2025</v>
      </c>
      <c r="I814">
        <v>3</v>
      </c>
      <c r="J814">
        <v>13</v>
      </c>
      <c r="K814" t="s">
        <v>37</v>
      </c>
      <c r="L814">
        <v>101.92</v>
      </c>
      <c r="M814" t="s">
        <v>33</v>
      </c>
      <c r="N814">
        <v>147.62</v>
      </c>
      <c r="P814">
        <f t="shared" si="124"/>
        <v>249.54000000000002</v>
      </c>
      <c r="Q814">
        <f t="shared" si="125"/>
        <v>45.7</v>
      </c>
      <c r="R814" t="str">
        <f t="shared" si="126"/>
        <v>Trent/Colin</v>
      </c>
      <c r="S814" t="str">
        <f t="shared" si="127"/>
        <v>Drew/Cam</v>
      </c>
      <c r="T814">
        <f t="shared" si="128"/>
        <v>147.62</v>
      </c>
      <c r="U814">
        <f t="shared" si="129"/>
        <v>101.92</v>
      </c>
    </row>
    <row r="815" spans="1:21" x14ac:dyDescent="0.3">
      <c r="A815">
        <v>814</v>
      </c>
      <c r="B815" t="str">
        <f>H815&amp;R815&amp;I815</f>
        <v>2025Walker/Cory3</v>
      </c>
      <c r="C815" t="str">
        <f>H815&amp;S815&amp;I815</f>
        <v>2025Pat/Tucker3</v>
      </c>
      <c r="D815">
        <f t="shared" si="120"/>
        <v>568</v>
      </c>
      <c r="E815">
        <f t="shared" si="121"/>
        <v>740</v>
      </c>
      <c r="F815">
        <f t="shared" si="122"/>
        <v>750</v>
      </c>
      <c r="G815">
        <f t="shared" si="123"/>
        <v>651</v>
      </c>
      <c r="H815">
        <v>2025</v>
      </c>
      <c r="I815">
        <v>3</v>
      </c>
      <c r="J815">
        <v>14</v>
      </c>
      <c r="K815" t="s">
        <v>36</v>
      </c>
      <c r="L815">
        <v>96.58</v>
      </c>
      <c r="M815" t="s">
        <v>31</v>
      </c>
      <c r="N815">
        <v>82.76</v>
      </c>
      <c r="P815">
        <f t="shared" si="124"/>
        <v>179.34</v>
      </c>
      <c r="Q815">
        <f t="shared" si="125"/>
        <v>13.819999999999993</v>
      </c>
      <c r="R815" t="str">
        <f t="shared" si="126"/>
        <v>Walker/Cory</v>
      </c>
      <c r="S815" t="str">
        <f t="shared" si="127"/>
        <v>Pat/Tucker</v>
      </c>
      <c r="T815">
        <f t="shared" si="128"/>
        <v>96.58</v>
      </c>
      <c r="U815">
        <f t="shared" si="129"/>
        <v>82.76</v>
      </c>
    </row>
    <row r="816" spans="1:21" x14ac:dyDescent="0.3">
      <c r="A816">
        <v>815</v>
      </c>
      <c r="B816" t="str">
        <f>H816&amp;R816&amp;I816</f>
        <v>2025Brian/Travis3</v>
      </c>
      <c r="C816" t="str">
        <f>H816&amp;S816&amp;I816</f>
        <v>2025Clay/Ryan3</v>
      </c>
      <c r="D816">
        <f t="shared" si="120"/>
        <v>602</v>
      </c>
      <c r="E816">
        <f t="shared" si="121"/>
        <v>353</v>
      </c>
      <c r="F816">
        <f t="shared" si="122"/>
        <v>464</v>
      </c>
      <c r="G816">
        <f t="shared" si="123"/>
        <v>233</v>
      </c>
      <c r="H816">
        <v>2025</v>
      </c>
      <c r="I816">
        <v>3</v>
      </c>
      <c r="J816">
        <v>15</v>
      </c>
      <c r="K816" t="s">
        <v>35</v>
      </c>
      <c r="L816">
        <v>105.62</v>
      </c>
      <c r="M816" t="s">
        <v>32</v>
      </c>
      <c r="N816">
        <v>117.64</v>
      </c>
      <c r="P816">
        <f t="shared" si="124"/>
        <v>223.26</v>
      </c>
      <c r="Q816">
        <f t="shared" si="125"/>
        <v>12.019999999999996</v>
      </c>
      <c r="R816" t="str">
        <f t="shared" si="126"/>
        <v>Brian/Travis</v>
      </c>
      <c r="S816" t="str">
        <f t="shared" si="127"/>
        <v>Clay/Ryan</v>
      </c>
      <c r="T816">
        <f t="shared" si="128"/>
        <v>117.64</v>
      </c>
      <c r="U816">
        <f t="shared" si="129"/>
        <v>105.62</v>
      </c>
    </row>
    <row r="817" spans="1:21" x14ac:dyDescent="0.3">
      <c r="A817">
        <v>816</v>
      </c>
      <c r="B817" t="str">
        <f>H817&amp;R817&amp;I817</f>
        <v>2025Drew/Cam4</v>
      </c>
      <c r="C817" t="str">
        <f>H817&amp;S817&amp;I817</f>
        <v>2025Graham/Michael4</v>
      </c>
      <c r="D817">
        <f t="shared" si="120"/>
        <v>420</v>
      </c>
      <c r="E817">
        <f t="shared" si="121"/>
        <v>6</v>
      </c>
      <c r="F817">
        <f t="shared" si="122"/>
        <v>34</v>
      </c>
      <c r="G817">
        <f t="shared" si="123"/>
        <v>12</v>
      </c>
      <c r="H817">
        <v>2025</v>
      </c>
      <c r="I817">
        <v>4</v>
      </c>
      <c r="J817">
        <v>16</v>
      </c>
      <c r="K817" t="s">
        <v>37</v>
      </c>
      <c r="L817">
        <v>160.44</v>
      </c>
      <c r="M817" t="s">
        <v>29</v>
      </c>
      <c r="N817">
        <v>138.16</v>
      </c>
      <c r="P817">
        <f t="shared" si="124"/>
        <v>298.60000000000002</v>
      </c>
      <c r="Q817">
        <f t="shared" si="125"/>
        <v>22.28</v>
      </c>
      <c r="R817" t="str">
        <f t="shared" si="126"/>
        <v>Drew/Cam</v>
      </c>
      <c r="S817" t="str">
        <f t="shared" si="127"/>
        <v>Graham/Michael</v>
      </c>
      <c r="T817">
        <f t="shared" si="128"/>
        <v>160.44</v>
      </c>
      <c r="U817">
        <f t="shared" si="129"/>
        <v>138.16</v>
      </c>
    </row>
    <row r="818" spans="1:21" x14ac:dyDescent="0.3">
      <c r="A818">
        <v>817</v>
      </c>
      <c r="B818" t="str">
        <f>H818&amp;R818&amp;I818</f>
        <v>2025Dave/Nolan4</v>
      </c>
      <c r="C818" t="str">
        <f>H818&amp;S818&amp;I818</f>
        <v>2025Walker/Cory4</v>
      </c>
      <c r="D818">
        <f t="shared" si="120"/>
        <v>573</v>
      </c>
      <c r="E818">
        <f t="shared" si="121"/>
        <v>544</v>
      </c>
      <c r="F818">
        <f t="shared" si="122"/>
        <v>608</v>
      </c>
      <c r="G818">
        <f t="shared" si="123"/>
        <v>419</v>
      </c>
      <c r="H818">
        <v>2025</v>
      </c>
      <c r="I818">
        <v>4</v>
      </c>
      <c r="J818">
        <v>17</v>
      </c>
      <c r="K818" t="s">
        <v>30</v>
      </c>
      <c r="L818">
        <v>108.02</v>
      </c>
      <c r="M818" t="s">
        <v>36</v>
      </c>
      <c r="N818">
        <v>94.58</v>
      </c>
      <c r="P818">
        <f t="shared" si="124"/>
        <v>202.6</v>
      </c>
      <c r="Q818">
        <f t="shared" si="125"/>
        <v>13.439999999999998</v>
      </c>
      <c r="R818" t="str">
        <f t="shared" si="126"/>
        <v>Dave/Nolan</v>
      </c>
      <c r="S818" t="str">
        <f t="shared" si="127"/>
        <v>Walker/Cory</v>
      </c>
      <c r="T818">
        <f t="shared" si="128"/>
        <v>108.02</v>
      </c>
      <c r="U818">
        <f t="shared" si="129"/>
        <v>94.58</v>
      </c>
    </row>
    <row r="819" spans="1:21" x14ac:dyDescent="0.3">
      <c r="A819">
        <v>818</v>
      </c>
      <c r="B819" t="str">
        <f>H819&amp;R819&amp;I819</f>
        <v>2025David/Marshall4</v>
      </c>
      <c r="C819" t="str">
        <f>H819&amp;S819&amp;I819</f>
        <v>2025Clay/Ryan4</v>
      </c>
      <c r="D819">
        <f t="shared" si="120"/>
        <v>729</v>
      </c>
      <c r="E819">
        <f t="shared" si="121"/>
        <v>228</v>
      </c>
      <c r="F819">
        <f t="shared" si="122"/>
        <v>397</v>
      </c>
      <c r="G819">
        <f t="shared" si="123"/>
        <v>124</v>
      </c>
      <c r="H819">
        <v>2025</v>
      </c>
      <c r="I819">
        <v>4</v>
      </c>
      <c r="J819">
        <v>18</v>
      </c>
      <c r="K819" t="s">
        <v>38</v>
      </c>
      <c r="L819">
        <v>122.04</v>
      </c>
      <c r="M819" t="s">
        <v>35</v>
      </c>
      <c r="N819">
        <v>115.18</v>
      </c>
      <c r="P819">
        <f t="shared" si="124"/>
        <v>237.22000000000003</v>
      </c>
      <c r="Q819">
        <f t="shared" si="125"/>
        <v>6.8599999999999994</v>
      </c>
      <c r="R819" t="str">
        <f t="shared" si="126"/>
        <v>David/Marshall</v>
      </c>
      <c r="S819" t="str">
        <f t="shared" si="127"/>
        <v>Clay/Ryan</v>
      </c>
      <c r="T819">
        <f t="shared" si="128"/>
        <v>122.04</v>
      </c>
      <c r="U819">
        <f t="shared" si="129"/>
        <v>115.18</v>
      </c>
    </row>
    <row r="820" spans="1:21" x14ac:dyDescent="0.3">
      <c r="A820">
        <v>819</v>
      </c>
      <c r="B820" t="str">
        <f>H820&amp;R820&amp;I820</f>
        <v>2025Pat/Tucker4</v>
      </c>
      <c r="C820" t="str">
        <f>H820&amp;S820&amp;I820</f>
        <v>2025Eric/Blake4</v>
      </c>
      <c r="D820">
        <f t="shared" si="120"/>
        <v>169</v>
      </c>
      <c r="E820">
        <f t="shared" si="121"/>
        <v>718</v>
      </c>
      <c r="F820">
        <f t="shared" si="122"/>
        <v>546</v>
      </c>
      <c r="G820">
        <f t="shared" si="123"/>
        <v>798</v>
      </c>
      <c r="H820">
        <v>2025</v>
      </c>
      <c r="I820">
        <v>4</v>
      </c>
      <c r="J820">
        <v>19</v>
      </c>
      <c r="K820" t="s">
        <v>34</v>
      </c>
      <c r="L820">
        <v>70.16</v>
      </c>
      <c r="M820" t="s">
        <v>31</v>
      </c>
      <c r="N820">
        <v>112.4</v>
      </c>
      <c r="P820">
        <f t="shared" si="124"/>
        <v>182.56</v>
      </c>
      <c r="Q820">
        <f t="shared" si="125"/>
        <v>42.240000000000009</v>
      </c>
      <c r="R820" t="str">
        <f t="shared" si="126"/>
        <v>Pat/Tucker</v>
      </c>
      <c r="S820" t="str">
        <f t="shared" si="127"/>
        <v>Eric/Blake</v>
      </c>
      <c r="T820">
        <f t="shared" si="128"/>
        <v>112.4</v>
      </c>
      <c r="U820">
        <f t="shared" si="129"/>
        <v>70.16</v>
      </c>
    </row>
    <row r="821" spans="1:21" x14ac:dyDescent="0.3">
      <c r="A821">
        <v>820</v>
      </c>
      <c r="B821" t="str">
        <f>H821&amp;R821&amp;I821</f>
        <v>2025Brian/Travis4</v>
      </c>
      <c r="C821" t="str">
        <f>H821&amp;S821&amp;I821</f>
        <v>2025Trent/Colin4</v>
      </c>
      <c r="D821">
        <f t="shared" si="120"/>
        <v>355</v>
      </c>
      <c r="E821">
        <f t="shared" si="121"/>
        <v>305</v>
      </c>
      <c r="F821">
        <f t="shared" si="122"/>
        <v>308</v>
      </c>
      <c r="G821">
        <f t="shared" si="123"/>
        <v>312</v>
      </c>
      <c r="H821">
        <v>2025</v>
      </c>
      <c r="I821">
        <v>4</v>
      </c>
      <c r="J821">
        <v>20</v>
      </c>
      <c r="K821" t="s">
        <v>33</v>
      </c>
      <c r="L821">
        <v>100.68</v>
      </c>
      <c r="M821" t="s">
        <v>32</v>
      </c>
      <c r="N821">
        <v>126.9</v>
      </c>
      <c r="P821">
        <f t="shared" si="124"/>
        <v>227.58</v>
      </c>
      <c r="Q821">
        <f t="shared" si="125"/>
        <v>26.22</v>
      </c>
      <c r="R821" t="str">
        <f t="shared" si="126"/>
        <v>Brian/Travis</v>
      </c>
      <c r="S821" t="str">
        <f t="shared" si="127"/>
        <v>Trent/Colin</v>
      </c>
      <c r="T821">
        <f t="shared" si="128"/>
        <v>126.9</v>
      </c>
      <c r="U821">
        <f t="shared" si="129"/>
        <v>100.68</v>
      </c>
    </row>
    <row r="822" spans="1:21" x14ac:dyDescent="0.3">
      <c r="A822">
        <v>821</v>
      </c>
      <c r="B822" t="str">
        <f>H822&amp;R822&amp;I822</f>
        <v>2025Graham/Michael5</v>
      </c>
      <c r="C822" t="str">
        <f>H822&amp;S822&amp;I822</f>
        <v>2025Pat/Tucker5</v>
      </c>
      <c r="D822">
        <f t="shared" si="120"/>
        <v>57</v>
      </c>
      <c r="E822">
        <f t="shared" si="121"/>
        <v>42</v>
      </c>
      <c r="F822">
        <f t="shared" si="122"/>
        <v>23</v>
      </c>
      <c r="G822">
        <f t="shared" si="123"/>
        <v>205</v>
      </c>
      <c r="H822">
        <v>2025</v>
      </c>
      <c r="I822">
        <v>5</v>
      </c>
      <c r="J822">
        <v>21</v>
      </c>
      <c r="K822" t="s">
        <v>31</v>
      </c>
      <c r="L822">
        <v>108.02</v>
      </c>
      <c r="M822" t="s">
        <v>29</v>
      </c>
      <c r="N822">
        <v>165.42</v>
      </c>
      <c r="P822">
        <f t="shared" si="124"/>
        <v>273.44</v>
      </c>
      <c r="Q822">
        <f t="shared" si="125"/>
        <v>57.399999999999991</v>
      </c>
      <c r="R822" t="str">
        <f t="shared" si="126"/>
        <v>Graham/Michael</v>
      </c>
      <c r="S822" t="str">
        <f t="shared" si="127"/>
        <v>Pat/Tucker</v>
      </c>
      <c r="T822">
        <f t="shared" si="128"/>
        <v>165.42</v>
      </c>
      <c r="U822">
        <f t="shared" si="129"/>
        <v>108.02</v>
      </c>
    </row>
    <row r="823" spans="1:21" x14ac:dyDescent="0.3">
      <c r="A823">
        <v>822</v>
      </c>
      <c r="B823" t="str">
        <f>H823&amp;R823&amp;I823</f>
        <v>2025Clay/Ryan5</v>
      </c>
      <c r="C823" t="str">
        <f>H823&amp;S823&amp;I823</f>
        <v>2025Walker/Cory5</v>
      </c>
      <c r="D823">
        <f t="shared" si="120"/>
        <v>859</v>
      </c>
      <c r="E823">
        <f t="shared" si="121"/>
        <v>664</v>
      </c>
      <c r="F823">
        <f t="shared" si="122"/>
        <v>777</v>
      </c>
      <c r="G823">
        <f t="shared" si="123"/>
        <v>434</v>
      </c>
      <c r="H823">
        <v>2025</v>
      </c>
      <c r="I823">
        <v>5</v>
      </c>
      <c r="J823">
        <v>22</v>
      </c>
      <c r="K823" t="s">
        <v>35</v>
      </c>
      <c r="L823">
        <v>94.48</v>
      </c>
      <c r="M823" t="s">
        <v>36</v>
      </c>
      <c r="N823">
        <v>94.04</v>
      </c>
      <c r="P823">
        <f t="shared" si="124"/>
        <v>188.52</v>
      </c>
      <c r="Q823">
        <f t="shared" si="125"/>
        <v>0.43999999999999773</v>
      </c>
      <c r="R823" t="str">
        <f t="shared" si="126"/>
        <v>Clay/Ryan</v>
      </c>
      <c r="S823" t="str">
        <f t="shared" si="127"/>
        <v>Walker/Cory</v>
      </c>
      <c r="T823">
        <f t="shared" si="128"/>
        <v>94.48</v>
      </c>
      <c r="U823">
        <f t="shared" si="129"/>
        <v>94.04</v>
      </c>
    </row>
    <row r="824" spans="1:21" x14ac:dyDescent="0.3">
      <c r="A824">
        <v>823</v>
      </c>
      <c r="B824" t="str">
        <f>H824&amp;R824&amp;I824</f>
        <v>2025Brian/Travis5</v>
      </c>
      <c r="C824" t="str">
        <f>H824&amp;S824&amp;I824</f>
        <v>2025Drew/Cam5</v>
      </c>
      <c r="D824">
        <f t="shared" si="120"/>
        <v>651</v>
      </c>
      <c r="E824">
        <f t="shared" si="121"/>
        <v>630</v>
      </c>
      <c r="F824">
        <f t="shared" si="122"/>
        <v>695</v>
      </c>
      <c r="G824">
        <f t="shared" si="123"/>
        <v>481</v>
      </c>
      <c r="H824">
        <v>2025</v>
      </c>
      <c r="I824">
        <v>5</v>
      </c>
      <c r="J824">
        <v>23</v>
      </c>
      <c r="K824" t="s">
        <v>32</v>
      </c>
      <c r="L824">
        <v>101.5</v>
      </c>
      <c r="M824" t="s">
        <v>37</v>
      </c>
      <c r="N824">
        <v>91.48</v>
      </c>
      <c r="P824">
        <f t="shared" si="124"/>
        <v>192.98000000000002</v>
      </c>
      <c r="Q824">
        <f t="shared" si="125"/>
        <v>10.019999999999996</v>
      </c>
      <c r="R824" t="str">
        <f t="shared" si="126"/>
        <v>Brian/Travis</v>
      </c>
      <c r="S824" t="str">
        <f t="shared" si="127"/>
        <v>Drew/Cam</v>
      </c>
      <c r="T824">
        <f t="shared" si="128"/>
        <v>101.5</v>
      </c>
      <c r="U824">
        <f t="shared" si="129"/>
        <v>91.48</v>
      </c>
    </row>
    <row r="825" spans="1:21" x14ac:dyDescent="0.3">
      <c r="A825">
        <v>824</v>
      </c>
      <c r="B825" t="str">
        <f>H825&amp;R825&amp;I825</f>
        <v>2025Dave/Nolan5</v>
      </c>
      <c r="C825" t="str">
        <f>H825&amp;S825&amp;I825</f>
        <v>2025Eric/Blake5</v>
      </c>
      <c r="D825">
        <f t="shared" si="120"/>
        <v>398</v>
      </c>
      <c r="E825">
        <f t="shared" si="121"/>
        <v>522</v>
      </c>
      <c r="F825">
        <f t="shared" si="122"/>
        <v>521</v>
      </c>
      <c r="G825">
        <f t="shared" si="123"/>
        <v>494</v>
      </c>
      <c r="H825">
        <v>2025</v>
      </c>
      <c r="I825">
        <v>5</v>
      </c>
      <c r="J825">
        <v>24</v>
      </c>
      <c r="K825" t="s">
        <v>34</v>
      </c>
      <c r="L825">
        <v>90.82</v>
      </c>
      <c r="M825" t="s">
        <v>30</v>
      </c>
      <c r="N825">
        <v>113.96</v>
      </c>
      <c r="P825">
        <f t="shared" si="124"/>
        <v>204.77999999999997</v>
      </c>
      <c r="Q825">
        <f t="shared" si="125"/>
        <v>23.14</v>
      </c>
      <c r="R825" t="str">
        <f t="shared" si="126"/>
        <v>Dave/Nolan</v>
      </c>
      <c r="S825" t="str">
        <f t="shared" si="127"/>
        <v>Eric/Blake</v>
      </c>
      <c r="T825">
        <f t="shared" si="128"/>
        <v>113.96</v>
      </c>
      <c r="U825">
        <f t="shared" si="129"/>
        <v>90.82</v>
      </c>
    </row>
    <row r="826" spans="1:21" x14ac:dyDescent="0.3">
      <c r="A826">
        <v>825</v>
      </c>
      <c r="B826" t="str">
        <f>H826&amp;R826&amp;I826</f>
        <v>2025David/Marshall5</v>
      </c>
      <c r="C826" t="str">
        <f>H826&amp;S826&amp;I826</f>
        <v>2025Trent/Colin5</v>
      </c>
      <c r="D826">
        <f t="shared" si="120"/>
        <v>151</v>
      </c>
      <c r="E826">
        <f t="shared" si="121"/>
        <v>176</v>
      </c>
      <c r="F826">
        <f t="shared" si="122"/>
        <v>114</v>
      </c>
      <c r="G826">
        <f t="shared" si="123"/>
        <v>327</v>
      </c>
      <c r="H826">
        <v>2025</v>
      </c>
      <c r="I826">
        <v>5</v>
      </c>
      <c r="J826">
        <v>25</v>
      </c>
      <c r="K826" t="s">
        <v>33</v>
      </c>
      <c r="L826">
        <v>99.98</v>
      </c>
      <c r="M826" t="s">
        <v>38</v>
      </c>
      <c r="N826">
        <v>143.62</v>
      </c>
      <c r="P826">
        <f t="shared" si="124"/>
        <v>243.60000000000002</v>
      </c>
      <c r="Q826">
        <f t="shared" si="125"/>
        <v>43.64</v>
      </c>
      <c r="R826" t="str">
        <f t="shared" si="126"/>
        <v>David/Marshall</v>
      </c>
      <c r="S826" t="str">
        <f t="shared" si="127"/>
        <v>Trent/Colin</v>
      </c>
      <c r="T826">
        <f t="shared" si="128"/>
        <v>143.62</v>
      </c>
      <c r="U826">
        <f t="shared" si="129"/>
        <v>99.98</v>
      </c>
    </row>
    <row r="827" spans="1:21" x14ac:dyDescent="0.3">
      <c r="A827">
        <v>826</v>
      </c>
      <c r="B827" t="str">
        <f>H827&amp;R827&amp;I827</f>
        <v>2025Graham/Michael6</v>
      </c>
      <c r="C827" t="str">
        <f>H827&amp;S827&amp;I827</f>
        <v>2025David/Marshall6</v>
      </c>
      <c r="D827">
        <f t="shared" si="120"/>
        <v>8</v>
      </c>
      <c r="E827">
        <f t="shared" si="121"/>
        <v>456</v>
      </c>
      <c r="F827">
        <f t="shared" si="122"/>
        <v>79</v>
      </c>
      <c r="G827">
        <f t="shared" si="123"/>
        <v>838</v>
      </c>
      <c r="H827">
        <v>2025</v>
      </c>
      <c r="I827">
        <v>6</v>
      </c>
      <c r="J827">
        <v>26</v>
      </c>
      <c r="K827" t="s">
        <v>29</v>
      </c>
      <c r="L827">
        <v>148.6</v>
      </c>
      <c r="M827" t="s">
        <v>38</v>
      </c>
      <c r="N827">
        <v>62.12</v>
      </c>
      <c r="P827">
        <f t="shared" si="124"/>
        <v>210.72</v>
      </c>
      <c r="Q827">
        <f t="shared" si="125"/>
        <v>86.47999999999999</v>
      </c>
      <c r="R827" t="str">
        <f t="shared" si="126"/>
        <v>Graham/Michael</v>
      </c>
      <c r="S827" t="str">
        <f t="shared" si="127"/>
        <v>David/Marshall</v>
      </c>
      <c r="T827">
        <f t="shared" si="128"/>
        <v>148.6</v>
      </c>
      <c r="U827">
        <f t="shared" si="129"/>
        <v>62.12</v>
      </c>
    </row>
    <row r="828" spans="1:21" x14ac:dyDescent="0.3">
      <c r="A828">
        <v>827</v>
      </c>
      <c r="B828" t="str">
        <f>H828&amp;R828&amp;I828</f>
        <v>2025Brian/Travis6</v>
      </c>
      <c r="C828" t="str">
        <f>H828&amp;S828&amp;I828</f>
        <v>2025Eric/Blake6</v>
      </c>
      <c r="D828">
        <f t="shared" si="120"/>
        <v>860</v>
      </c>
      <c r="E828">
        <f t="shared" si="121"/>
        <v>179</v>
      </c>
      <c r="F828">
        <f t="shared" si="122"/>
        <v>400</v>
      </c>
      <c r="G828">
        <f t="shared" si="123"/>
        <v>62</v>
      </c>
      <c r="H828">
        <v>2025</v>
      </c>
      <c r="I828">
        <v>6</v>
      </c>
      <c r="J828">
        <v>27</v>
      </c>
      <c r="K828" t="s">
        <v>34</v>
      </c>
      <c r="L828">
        <v>121.54</v>
      </c>
      <c r="M828" t="s">
        <v>32</v>
      </c>
      <c r="N828">
        <v>121.92</v>
      </c>
      <c r="P828">
        <f t="shared" si="124"/>
        <v>243.46</v>
      </c>
      <c r="Q828">
        <f t="shared" si="125"/>
        <v>0.37999999999999545</v>
      </c>
      <c r="R828" t="str">
        <f t="shared" si="126"/>
        <v>Brian/Travis</v>
      </c>
      <c r="S828" t="str">
        <f t="shared" si="127"/>
        <v>Eric/Blake</v>
      </c>
      <c r="T828">
        <f t="shared" si="128"/>
        <v>121.92</v>
      </c>
      <c r="U828">
        <f t="shared" si="129"/>
        <v>121.54</v>
      </c>
    </row>
    <row r="829" spans="1:21" x14ac:dyDescent="0.3">
      <c r="A829">
        <v>828</v>
      </c>
      <c r="B829" t="str">
        <f>H829&amp;R829&amp;I829</f>
        <v>2025Trent/Colin6</v>
      </c>
      <c r="C829" t="str">
        <f>H829&amp;S829&amp;I829</f>
        <v>2025Dave/Nolan6</v>
      </c>
      <c r="D829">
        <f t="shared" si="120"/>
        <v>615</v>
      </c>
      <c r="E829">
        <f t="shared" si="121"/>
        <v>775</v>
      </c>
      <c r="F829">
        <f t="shared" si="122"/>
        <v>801</v>
      </c>
      <c r="G829">
        <f t="shared" si="123"/>
        <v>681</v>
      </c>
      <c r="H829">
        <v>2025</v>
      </c>
      <c r="I829">
        <v>6</v>
      </c>
      <c r="J829">
        <v>28</v>
      </c>
      <c r="K829" t="s">
        <v>30</v>
      </c>
      <c r="L829">
        <v>80.260000000000005</v>
      </c>
      <c r="M829" t="s">
        <v>33</v>
      </c>
      <c r="N829">
        <v>92.06</v>
      </c>
      <c r="P829">
        <f t="shared" si="124"/>
        <v>172.32</v>
      </c>
      <c r="Q829">
        <f t="shared" si="125"/>
        <v>11.799999999999997</v>
      </c>
      <c r="R829" t="str">
        <f t="shared" si="126"/>
        <v>Trent/Colin</v>
      </c>
      <c r="S829" t="str">
        <f t="shared" si="127"/>
        <v>Dave/Nolan</v>
      </c>
      <c r="T829">
        <f t="shared" si="128"/>
        <v>92.06</v>
      </c>
      <c r="U829">
        <f t="shared" si="129"/>
        <v>80.260000000000005</v>
      </c>
    </row>
    <row r="830" spans="1:21" x14ac:dyDescent="0.3">
      <c r="A830">
        <v>829</v>
      </c>
      <c r="B830" t="str">
        <f>H830&amp;R830&amp;I830</f>
        <v>2025Walker/Cory6</v>
      </c>
      <c r="C830" t="str">
        <f>H830&amp;S830&amp;I830</f>
        <v>2025Drew/Cam6</v>
      </c>
      <c r="D830">
        <f t="shared" si="120"/>
        <v>311</v>
      </c>
      <c r="E830">
        <f t="shared" si="121"/>
        <v>849</v>
      </c>
      <c r="F830">
        <f t="shared" si="122"/>
        <v>817</v>
      </c>
      <c r="G830">
        <f t="shared" si="123"/>
        <v>844</v>
      </c>
      <c r="H830">
        <v>2025</v>
      </c>
      <c r="I830">
        <v>6</v>
      </c>
      <c r="J830">
        <v>29</v>
      </c>
      <c r="K830" t="s">
        <v>36</v>
      </c>
      <c r="L830">
        <v>90.14</v>
      </c>
      <c r="M830" t="s">
        <v>37</v>
      </c>
      <c r="N830">
        <v>60.86</v>
      </c>
      <c r="P830">
        <f t="shared" si="124"/>
        <v>151</v>
      </c>
      <c r="Q830">
        <f t="shared" si="125"/>
        <v>29.28</v>
      </c>
      <c r="R830" t="str">
        <f t="shared" si="126"/>
        <v>Walker/Cory</v>
      </c>
      <c r="S830" t="str">
        <f t="shared" si="127"/>
        <v>Drew/Cam</v>
      </c>
      <c r="T830">
        <f t="shared" si="128"/>
        <v>90.14</v>
      </c>
      <c r="U830">
        <f t="shared" si="129"/>
        <v>60.86</v>
      </c>
    </row>
    <row r="831" spans="1:21" x14ac:dyDescent="0.3">
      <c r="A831">
        <v>830</v>
      </c>
      <c r="B831" t="str">
        <f>H831&amp;R831&amp;I831</f>
        <v>2025Clay/Ryan6</v>
      </c>
      <c r="C831" t="str">
        <f>H831&amp;S831&amp;I831</f>
        <v>2025Trent/Colin6</v>
      </c>
      <c r="D831">
        <f t="shared" si="120"/>
        <v>748</v>
      </c>
      <c r="E831">
        <f t="shared" si="121"/>
        <v>139</v>
      </c>
      <c r="F831">
        <f t="shared" si="122"/>
        <v>295</v>
      </c>
      <c r="G831">
        <f t="shared" si="123"/>
        <v>61</v>
      </c>
      <c r="H831">
        <v>2025</v>
      </c>
      <c r="I831">
        <v>6</v>
      </c>
      <c r="J831">
        <v>30</v>
      </c>
      <c r="K831" t="s">
        <v>33</v>
      </c>
      <c r="L831">
        <v>121.58</v>
      </c>
      <c r="M831" t="s">
        <v>35</v>
      </c>
      <c r="N831">
        <v>127.58</v>
      </c>
      <c r="P831">
        <f t="shared" si="124"/>
        <v>249.16</v>
      </c>
      <c r="Q831">
        <f t="shared" si="125"/>
        <v>6</v>
      </c>
      <c r="R831" t="str">
        <f t="shared" si="126"/>
        <v>Clay/Ryan</v>
      </c>
      <c r="S831" t="str">
        <f t="shared" si="127"/>
        <v>Trent/Colin</v>
      </c>
      <c r="T831">
        <f t="shared" si="128"/>
        <v>127.58</v>
      </c>
      <c r="U831">
        <f t="shared" si="129"/>
        <v>121.58</v>
      </c>
    </row>
    <row r="832" spans="1:21" x14ac:dyDescent="0.3">
      <c r="A832">
        <v>831</v>
      </c>
      <c r="B832" t="str">
        <f>H832&amp;R832&amp;I832</f>
        <v>2025Graham/Michael7</v>
      </c>
      <c r="C832" t="str">
        <f>H832&amp;S832&amp;I832</f>
        <v>2025Trent/Colin7</v>
      </c>
      <c r="D832">
        <f t="shared" si="120"/>
        <v>193</v>
      </c>
      <c r="E832">
        <f t="shared" si="121"/>
        <v>40</v>
      </c>
      <c r="F832">
        <f t="shared" si="122"/>
        <v>38</v>
      </c>
      <c r="G832">
        <f t="shared" si="123"/>
        <v>105</v>
      </c>
      <c r="H832">
        <v>2025</v>
      </c>
      <c r="I832">
        <v>7</v>
      </c>
      <c r="J832">
        <v>31</v>
      </c>
      <c r="K832" t="s">
        <v>33</v>
      </c>
      <c r="L832">
        <v>116.98</v>
      </c>
      <c r="M832" t="s">
        <v>29</v>
      </c>
      <c r="N832">
        <v>156.94</v>
      </c>
      <c r="P832">
        <f t="shared" si="124"/>
        <v>273.92</v>
      </c>
      <c r="Q832">
        <f t="shared" si="125"/>
        <v>39.959999999999994</v>
      </c>
      <c r="R832" t="str">
        <f t="shared" si="126"/>
        <v>Graham/Michael</v>
      </c>
      <c r="S832" t="str">
        <f t="shared" si="127"/>
        <v>Trent/Colin</v>
      </c>
      <c r="T832">
        <f t="shared" si="128"/>
        <v>156.94</v>
      </c>
      <c r="U832">
        <f t="shared" si="129"/>
        <v>116.98</v>
      </c>
    </row>
    <row r="833" spans="1:21" x14ac:dyDescent="0.3">
      <c r="A833">
        <v>832</v>
      </c>
      <c r="B833" t="str">
        <f>H833&amp;R833&amp;I833</f>
        <v>2025Brian/Travis7</v>
      </c>
      <c r="C833" t="str">
        <f>H833&amp;S833&amp;I833</f>
        <v>2025Dave/Nolan7</v>
      </c>
      <c r="D833">
        <f t="shared" si="120"/>
        <v>419</v>
      </c>
      <c r="E833">
        <f t="shared" si="121"/>
        <v>390</v>
      </c>
      <c r="F833">
        <f t="shared" si="122"/>
        <v>421</v>
      </c>
      <c r="G833">
        <f t="shared" si="123"/>
        <v>362</v>
      </c>
      <c r="H833">
        <v>2025</v>
      </c>
      <c r="I833">
        <v>7</v>
      </c>
      <c r="J833">
        <v>32</v>
      </c>
      <c r="K833" t="s">
        <v>32</v>
      </c>
      <c r="L833">
        <v>120.54</v>
      </c>
      <c r="M833" t="s">
        <v>30</v>
      </c>
      <c r="N833">
        <v>98.2</v>
      </c>
      <c r="P833">
        <f t="shared" si="124"/>
        <v>218.74</v>
      </c>
      <c r="Q833">
        <f t="shared" si="125"/>
        <v>22.340000000000003</v>
      </c>
      <c r="R833" t="str">
        <f t="shared" si="126"/>
        <v>Brian/Travis</v>
      </c>
      <c r="S833" t="str">
        <f t="shared" si="127"/>
        <v>Dave/Nolan</v>
      </c>
      <c r="T833">
        <f t="shared" si="128"/>
        <v>120.54</v>
      </c>
      <c r="U833">
        <f t="shared" si="129"/>
        <v>98.2</v>
      </c>
    </row>
    <row r="834" spans="1:21" x14ac:dyDescent="0.3">
      <c r="A834">
        <v>833</v>
      </c>
      <c r="B834" t="str">
        <f>H834&amp;R834&amp;I834</f>
        <v>2025Walker/Cory7</v>
      </c>
      <c r="C834" t="str">
        <f>H834&amp;S834&amp;I834</f>
        <v>2025David/Marshall7</v>
      </c>
      <c r="D834">
        <f t="shared" si="120"/>
        <v>386</v>
      </c>
      <c r="E834">
        <f t="shared" si="121"/>
        <v>833</v>
      </c>
      <c r="F834">
        <f t="shared" si="122"/>
        <v>817</v>
      </c>
      <c r="G834">
        <f t="shared" si="123"/>
        <v>819</v>
      </c>
      <c r="H834">
        <v>2025</v>
      </c>
      <c r="I834">
        <v>7</v>
      </c>
      <c r="J834">
        <v>33</v>
      </c>
      <c r="K834" t="s">
        <v>38</v>
      </c>
      <c r="L834">
        <v>66.16</v>
      </c>
      <c r="M834" t="s">
        <v>36</v>
      </c>
      <c r="N834">
        <v>90.14</v>
      </c>
      <c r="P834">
        <f t="shared" si="124"/>
        <v>156.30000000000001</v>
      </c>
      <c r="Q834">
        <f t="shared" si="125"/>
        <v>23.980000000000004</v>
      </c>
      <c r="R834" t="str">
        <f t="shared" si="126"/>
        <v>Walker/Cory</v>
      </c>
      <c r="S834" t="str">
        <f t="shared" si="127"/>
        <v>David/Marshall</v>
      </c>
      <c r="T834">
        <f t="shared" si="128"/>
        <v>90.14</v>
      </c>
      <c r="U834">
        <f t="shared" si="129"/>
        <v>66.16</v>
      </c>
    </row>
    <row r="835" spans="1:21" x14ac:dyDescent="0.3">
      <c r="A835">
        <v>834</v>
      </c>
      <c r="B835" t="str">
        <f>H835&amp;R835&amp;I835</f>
        <v>2025Trent/Colin7</v>
      </c>
      <c r="C835" t="str">
        <f>H835&amp;S835&amp;I835</f>
        <v>2025Drew/Cam7</v>
      </c>
      <c r="D835">
        <f t="shared" si="120"/>
        <v>66</v>
      </c>
      <c r="E835">
        <f t="shared" si="121"/>
        <v>34</v>
      </c>
      <c r="F835">
        <f t="shared" si="122"/>
        <v>18</v>
      </c>
      <c r="G835">
        <f t="shared" si="123"/>
        <v>176</v>
      </c>
      <c r="H835">
        <v>2025</v>
      </c>
      <c r="I835">
        <v>7</v>
      </c>
      <c r="J835">
        <v>34</v>
      </c>
      <c r="K835" t="s">
        <v>37</v>
      </c>
      <c r="L835">
        <v>110.46</v>
      </c>
      <c r="M835" t="s">
        <v>33</v>
      </c>
      <c r="N835">
        <v>166.64</v>
      </c>
      <c r="P835">
        <f t="shared" si="124"/>
        <v>277.09999999999997</v>
      </c>
      <c r="Q835">
        <f t="shared" si="125"/>
        <v>56.179999999999993</v>
      </c>
      <c r="R835" t="str">
        <f t="shared" si="126"/>
        <v>Trent/Colin</v>
      </c>
      <c r="S835" t="str">
        <f t="shared" si="127"/>
        <v>Drew/Cam</v>
      </c>
      <c r="T835">
        <f t="shared" si="128"/>
        <v>166.64</v>
      </c>
      <c r="U835">
        <f t="shared" si="129"/>
        <v>110.46</v>
      </c>
    </row>
    <row r="836" spans="1:21" x14ac:dyDescent="0.3">
      <c r="A836">
        <v>835</v>
      </c>
      <c r="B836" t="str">
        <f>H836&amp;R836&amp;I836</f>
        <v>2025Clay/Ryan7</v>
      </c>
      <c r="C836" t="str">
        <f>H836&amp;S836&amp;I836</f>
        <v>2025Eric/Blake7</v>
      </c>
      <c r="D836">
        <f t="shared" si="120"/>
        <v>129</v>
      </c>
      <c r="E836">
        <f t="shared" si="121"/>
        <v>318</v>
      </c>
      <c r="F836">
        <f t="shared" si="122"/>
        <v>179</v>
      </c>
      <c r="G836">
        <f t="shared" si="123"/>
        <v>500</v>
      </c>
      <c r="H836">
        <v>2025</v>
      </c>
      <c r="I836">
        <v>7</v>
      </c>
      <c r="J836">
        <v>35</v>
      </c>
      <c r="K836" t="s">
        <v>35</v>
      </c>
      <c r="L836">
        <v>136.08000000000001</v>
      </c>
      <c r="M836" t="s">
        <v>34</v>
      </c>
      <c r="N836">
        <v>90.02</v>
      </c>
      <c r="P836">
        <f t="shared" si="124"/>
        <v>226.10000000000002</v>
      </c>
      <c r="Q836">
        <f t="shared" si="125"/>
        <v>46.060000000000016</v>
      </c>
      <c r="R836" t="str">
        <f t="shared" si="126"/>
        <v>Clay/Ryan</v>
      </c>
      <c r="S836" t="str">
        <f t="shared" si="127"/>
        <v>Eric/Blake</v>
      </c>
      <c r="T836">
        <f t="shared" si="128"/>
        <v>136.08000000000001</v>
      </c>
      <c r="U836">
        <f t="shared" si="129"/>
        <v>90.02</v>
      </c>
    </row>
    <row r="837" spans="1:21" x14ac:dyDescent="0.3">
      <c r="A837">
        <v>836</v>
      </c>
      <c r="B837" t="str">
        <f>H837&amp;R837&amp;I837</f>
        <v>2025Graham/Michael8</v>
      </c>
      <c r="C837" t="str">
        <f>H837&amp;S837&amp;I837</f>
        <v>2025Brian/Travis8</v>
      </c>
      <c r="D837">
        <f t="shared" si="120"/>
        <v>524</v>
      </c>
      <c r="E837">
        <f t="shared" si="121"/>
        <v>32</v>
      </c>
      <c r="F837">
        <f t="shared" si="122"/>
        <v>90</v>
      </c>
      <c r="G837">
        <f t="shared" si="123"/>
        <v>22</v>
      </c>
      <c r="H837">
        <v>2025</v>
      </c>
      <c r="I837">
        <v>8</v>
      </c>
      <c r="J837">
        <v>36</v>
      </c>
      <c r="K837" t="s">
        <v>29</v>
      </c>
      <c r="L837">
        <v>147.22</v>
      </c>
      <c r="M837" t="s">
        <v>32</v>
      </c>
      <c r="N837">
        <v>130.86000000000001</v>
      </c>
      <c r="P837">
        <f t="shared" si="124"/>
        <v>278.08000000000004</v>
      </c>
      <c r="Q837">
        <f t="shared" si="125"/>
        <v>16.359999999999985</v>
      </c>
      <c r="R837" t="str">
        <f t="shared" si="126"/>
        <v>Graham/Michael</v>
      </c>
      <c r="S837" t="str">
        <f t="shared" si="127"/>
        <v>Brian/Travis</v>
      </c>
      <c r="T837">
        <f t="shared" si="128"/>
        <v>147.22</v>
      </c>
      <c r="U837">
        <f t="shared" si="129"/>
        <v>130.86000000000001</v>
      </c>
    </row>
    <row r="838" spans="1:21" x14ac:dyDescent="0.3">
      <c r="A838">
        <v>837</v>
      </c>
      <c r="B838" t="str">
        <f>H838&amp;R838&amp;I838</f>
        <v>2025Trent/Colin8</v>
      </c>
      <c r="C838" t="str">
        <f>H838&amp;S838&amp;I838</f>
        <v>2025Walker/Cory8</v>
      </c>
      <c r="D838">
        <f t="shared" si="120"/>
        <v>777</v>
      </c>
      <c r="E838">
        <f t="shared" si="121"/>
        <v>254</v>
      </c>
      <c r="F838">
        <f t="shared" si="122"/>
        <v>439</v>
      </c>
      <c r="G838">
        <f t="shared" si="123"/>
        <v>131</v>
      </c>
      <c r="H838">
        <v>2025</v>
      </c>
      <c r="I838">
        <v>8</v>
      </c>
      <c r="J838">
        <v>37</v>
      </c>
      <c r="K838" t="s">
        <v>36</v>
      </c>
      <c r="L838">
        <v>114.68</v>
      </c>
      <c r="M838" t="s">
        <v>33</v>
      </c>
      <c r="N838">
        <v>119.28</v>
      </c>
      <c r="P838">
        <f t="shared" si="124"/>
        <v>233.96</v>
      </c>
      <c r="Q838">
        <f t="shared" si="125"/>
        <v>4.5999999999999943</v>
      </c>
      <c r="R838" t="str">
        <f t="shared" si="126"/>
        <v>Trent/Colin</v>
      </c>
      <c r="S838" t="str">
        <f t="shared" si="127"/>
        <v>Walker/Cory</v>
      </c>
      <c r="T838">
        <f t="shared" si="128"/>
        <v>119.28</v>
      </c>
      <c r="U838">
        <f t="shared" si="129"/>
        <v>114.68</v>
      </c>
    </row>
    <row r="839" spans="1:21" x14ac:dyDescent="0.3">
      <c r="A839">
        <v>838</v>
      </c>
      <c r="B839" t="str">
        <f>H839&amp;R839&amp;I839</f>
        <v>2025Pat/Tucker8</v>
      </c>
      <c r="C839" t="str">
        <f>H839&amp;S839&amp;I839</f>
        <v>2025David/Marshall8</v>
      </c>
      <c r="D839">
        <f t="shared" si="120"/>
        <v>547</v>
      </c>
      <c r="E839">
        <f t="shared" si="121"/>
        <v>758</v>
      </c>
      <c r="F839">
        <f t="shared" si="122"/>
        <v>765</v>
      </c>
      <c r="G839">
        <f t="shared" si="123"/>
        <v>677</v>
      </c>
      <c r="H839">
        <v>2025</v>
      </c>
      <c r="I839">
        <v>8</v>
      </c>
      <c r="J839">
        <v>38</v>
      </c>
      <c r="K839" t="s">
        <v>31</v>
      </c>
      <c r="L839">
        <v>95.46</v>
      </c>
      <c r="M839" t="s">
        <v>38</v>
      </c>
      <c r="N839">
        <v>80.52</v>
      </c>
      <c r="P839">
        <f t="shared" si="124"/>
        <v>175.98</v>
      </c>
      <c r="Q839">
        <f t="shared" si="125"/>
        <v>14.939999999999998</v>
      </c>
      <c r="R839" t="str">
        <f t="shared" si="126"/>
        <v>Pat/Tucker</v>
      </c>
      <c r="S839" t="str">
        <f t="shared" si="127"/>
        <v>David/Marshall</v>
      </c>
      <c r="T839">
        <f t="shared" si="128"/>
        <v>95.46</v>
      </c>
      <c r="U839">
        <f t="shared" si="129"/>
        <v>80.52</v>
      </c>
    </row>
    <row r="840" spans="1:21" x14ac:dyDescent="0.3">
      <c r="A840">
        <v>839</v>
      </c>
      <c r="B840" t="str">
        <f>H840&amp;R840&amp;I840</f>
        <v>2025Drew/Cam8</v>
      </c>
      <c r="C840" t="str">
        <f>H840&amp;S840&amp;I840</f>
        <v>2025Eric/Blake8</v>
      </c>
      <c r="D840">
        <f t="shared" si="120"/>
        <v>162</v>
      </c>
      <c r="E840">
        <f t="shared" si="121"/>
        <v>429</v>
      </c>
      <c r="F840">
        <f t="shared" si="122"/>
        <v>293</v>
      </c>
      <c r="G840">
        <f t="shared" si="123"/>
        <v>608</v>
      </c>
      <c r="H840">
        <v>2025</v>
      </c>
      <c r="I840">
        <v>8</v>
      </c>
      <c r="J840">
        <v>39</v>
      </c>
      <c r="K840" t="s">
        <v>34</v>
      </c>
      <c r="L840">
        <v>85.38</v>
      </c>
      <c r="M840" t="s">
        <v>37</v>
      </c>
      <c r="N840">
        <v>127.88</v>
      </c>
      <c r="P840">
        <f t="shared" si="124"/>
        <v>213.26</v>
      </c>
      <c r="Q840">
        <f t="shared" si="125"/>
        <v>42.5</v>
      </c>
      <c r="R840" t="str">
        <f t="shared" si="126"/>
        <v>Drew/Cam</v>
      </c>
      <c r="S840" t="str">
        <f t="shared" si="127"/>
        <v>Eric/Blake</v>
      </c>
      <c r="T840">
        <f t="shared" si="128"/>
        <v>127.88</v>
      </c>
      <c r="U840">
        <f t="shared" si="129"/>
        <v>85.38</v>
      </c>
    </row>
    <row r="841" spans="1:21" x14ac:dyDescent="0.3">
      <c r="A841">
        <v>840</v>
      </c>
      <c r="B841" t="str">
        <f>H841&amp;R841&amp;I841</f>
        <v>2025Clay/Ryan8</v>
      </c>
      <c r="C841" t="str">
        <f>H841&amp;S841&amp;I841</f>
        <v>2025Dave/Nolan8</v>
      </c>
      <c r="D841">
        <f t="shared" si="120"/>
        <v>508</v>
      </c>
      <c r="E841">
        <f t="shared" si="121"/>
        <v>727</v>
      </c>
      <c r="F841">
        <f t="shared" si="122"/>
        <v>716</v>
      </c>
      <c r="G841">
        <f t="shared" si="123"/>
        <v>660</v>
      </c>
      <c r="H841">
        <v>2025</v>
      </c>
      <c r="I841">
        <v>8</v>
      </c>
      <c r="J841">
        <v>40</v>
      </c>
      <c r="K841" t="s">
        <v>30</v>
      </c>
      <c r="L841">
        <v>81.78</v>
      </c>
      <c r="M841" t="s">
        <v>35</v>
      </c>
      <c r="N841">
        <v>99.08</v>
      </c>
      <c r="P841">
        <f t="shared" si="124"/>
        <v>180.86</v>
      </c>
      <c r="Q841">
        <f t="shared" si="125"/>
        <v>17.299999999999997</v>
      </c>
      <c r="R841" t="str">
        <f t="shared" si="126"/>
        <v>Clay/Ryan</v>
      </c>
      <c r="S841" t="str">
        <f t="shared" si="127"/>
        <v>Dave/Nolan</v>
      </c>
      <c r="T841">
        <f t="shared" si="128"/>
        <v>99.08</v>
      </c>
      <c r="U841">
        <f t="shared" si="129"/>
        <v>81.78</v>
      </c>
    </row>
    <row r="842" spans="1:21" x14ac:dyDescent="0.3">
      <c r="A842">
        <v>841</v>
      </c>
      <c r="B842" t="str">
        <f>H842&amp;R842&amp;I842</f>
        <v>2025Graham/Michael9</v>
      </c>
      <c r="C842" t="str">
        <f>H842&amp;S842&amp;I842</f>
        <v>2025Pat/Tucker9</v>
      </c>
      <c r="D842">
        <f t="shared" si="120"/>
        <v>718</v>
      </c>
      <c r="E842">
        <f t="shared" si="121"/>
        <v>208</v>
      </c>
      <c r="F842">
        <f t="shared" si="122"/>
        <v>361</v>
      </c>
      <c r="G842">
        <f t="shared" si="123"/>
        <v>112</v>
      </c>
      <c r="H842">
        <v>2025</v>
      </c>
      <c r="I842">
        <v>9</v>
      </c>
      <c r="J842">
        <v>41</v>
      </c>
      <c r="K842" t="s">
        <v>29</v>
      </c>
      <c r="L842">
        <v>123.62</v>
      </c>
      <c r="M842" t="s">
        <v>31</v>
      </c>
      <c r="N842">
        <v>116.3</v>
      </c>
      <c r="P842">
        <f t="shared" si="124"/>
        <v>239.92000000000002</v>
      </c>
      <c r="Q842">
        <f t="shared" si="125"/>
        <v>7.3200000000000074</v>
      </c>
      <c r="R842" t="str">
        <f t="shared" si="126"/>
        <v>Graham/Michael</v>
      </c>
      <c r="S842" t="str">
        <f t="shared" si="127"/>
        <v>Pat/Tucker</v>
      </c>
      <c r="T842">
        <f t="shared" si="128"/>
        <v>123.62</v>
      </c>
      <c r="U842">
        <f t="shared" si="129"/>
        <v>116.3</v>
      </c>
    </row>
    <row r="843" spans="1:21" x14ac:dyDescent="0.3">
      <c r="A843">
        <v>842</v>
      </c>
      <c r="B843" t="str">
        <f>H843&amp;R843&amp;I843</f>
        <v>2025Brian/Travis9</v>
      </c>
      <c r="C843" t="str">
        <f>H843&amp;S843&amp;I843</f>
        <v>2025Walker/Cory9</v>
      </c>
      <c r="D843">
        <f t="shared" si="120"/>
        <v>155</v>
      </c>
      <c r="E843">
        <f t="shared" si="121"/>
        <v>329</v>
      </c>
      <c r="F843">
        <f t="shared" si="122"/>
        <v>202</v>
      </c>
      <c r="G843">
        <f t="shared" si="123"/>
        <v>493</v>
      </c>
      <c r="H843">
        <v>2025</v>
      </c>
      <c r="I843">
        <v>9</v>
      </c>
      <c r="J843">
        <v>42</v>
      </c>
      <c r="K843" t="s">
        <v>32</v>
      </c>
      <c r="L843">
        <v>134.19999999999999</v>
      </c>
      <c r="M843" t="s">
        <v>36</v>
      </c>
      <c r="N843">
        <v>90.84</v>
      </c>
      <c r="P843">
        <f t="shared" si="124"/>
        <v>225.04</v>
      </c>
      <c r="Q843">
        <f t="shared" si="125"/>
        <v>43.359999999999985</v>
      </c>
      <c r="R843" t="str">
        <f t="shared" si="126"/>
        <v>Brian/Travis</v>
      </c>
      <c r="S843" t="str">
        <f t="shared" si="127"/>
        <v>Walker/Cory</v>
      </c>
      <c r="T843">
        <f t="shared" si="128"/>
        <v>134.19999999999999</v>
      </c>
      <c r="U843">
        <f t="shared" si="129"/>
        <v>90.84</v>
      </c>
    </row>
    <row r="844" spans="1:21" x14ac:dyDescent="0.3">
      <c r="A844">
        <v>843</v>
      </c>
      <c r="B844" t="str">
        <f>H844&amp;R844&amp;I844</f>
        <v>2025Trent/Colin9</v>
      </c>
      <c r="C844" t="str">
        <f>H844&amp;S844&amp;I844</f>
        <v>2025Clay/Ryan9</v>
      </c>
      <c r="D844">
        <f t="shared" si="120"/>
        <v>702</v>
      </c>
      <c r="E844">
        <f t="shared" si="121"/>
        <v>715</v>
      </c>
      <c r="F844">
        <f t="shared" si="122"/>
        <v>766</v>
      </c>
      <c r="G844">
        <f t="shared" si="123"/>
        <v>565</v>
      </c>
      <c r="H844">
        <v>2025</v>
      </c>
      <c r="I844">
        <v>9</v>
      </c>
      <c r="J844">
        <v>43</v>
      </c>
      <c r="K844" t="s">
        <v>35</v>
      </c>
      <c r="L844">
        <v>87.48</v>
      </c>
      <c r="M844" t="s">
        <v>33</v>
      </c>
      <c r="N844">
        <v>95.36</v>
      </c>
      <c r="P844">
        <f t="shared" si="124"/>
        <v>182.84</v>
      </c>
      <c r="Q844">
        <f t="shared" si="125"/>
        <v>7.8799999999999955</v>
      </c>
      <c r="R844" t="str">
        <f t="shared" si="126"/>
        <v>Trent/Colin</v>
      </c>
      <c r="S844" t="str">
        <f t="shared" si="127"/>
        <v>Clay/Ryan</v>
      </c>
      <c r="T844">
        <f t="shared" si="128"/>
        <v>95.36</v>
      </c>
      <c r="U844">
        <f t="shared" si="129"/>
        <v>87.48</v>
      </c>
    </row>
    <row r="845" spans="1:21" x14ac:dyDescent="0.3">
      <c r="A845">
        <v>844</v>
      </c>
      <c r="B845" t="str">
        <f>H845&amp;R845&amp;I845</f>
        <v>2025Eric/Blake9</v>
      </c>
      <c r="C845" t="str">
        <f>H845&amp;S845&amp;I845</f>
        <v>2025Dave/Nolan9</v>
      </c>
      <c r="D845">
        <f t="shared" si="120"/>
        <v>460</v>
      </c>
      <c r="E845">
        <f t="shared" si="121"/>
        <v>67</v>
      </c>
      <c r="F845">
        <f t="shared" si="122"/>
        <v>118</v>
      </c>
      <c r="G845">
        <f t="shared" si="123"/>
        <v>58</v>
      </c>
      <c r="H845">
        <v>2025</v>
      </c>
      <c r="I845">
        <v>9</v>
      </c>
      <c r="J845">
        <v>44</v>
      </c>
      <c r="K845" t="s">
        <v>30</v>
      </c>
      <c r="L845">
        <v>122.8</v>
      </c>
      <c r="M845" t="s">
        <v>34</v>
      </c>
      <c r="N845">
        <v>143.06</v>
      </c>
      <c r="P845">
        <f t="shared" si="124"/>
        <v>265.86</v>
      </c>
      <c r="Q845">
        <f t="shared" si="125"/>
        <v>20.260000000000005</v>
      </c>
      <c r="R845" t="str">
        <f t="shared" si="126"/>
        <v>Eric/Blake</v>
      </c>
      <c r="S845" t="str">
        <f t="shared" si="127"/>
        <v>Dave/Nolan</v>
      </c>
      <c r="T845">
        <f t="shared" si="128"/>
        <v>143.06</v>
      </c>
      <c r="U845">
        <f t="shared" si="129"/>
        <v>122.8</v>
      </c>
    </row>
    <row r="846" spans="1:21" x14ac:dyDescent="0.3">
      <c r="A846">
        <v>845</v>
      </c>
      <c r="B846" t="str">
        <f>H846&amp;R846&amp;I846</f>
        <v>2025David/Marshall9</v>
      </c>
      <c r="C846" t="str">
        <f>H846&amp;S846&amp;I846</f>
        <v>2025Drew/Cam9</v>
      </c>
      <c r="D846">
        <f t="shared" si="120"/>
        <v>341</v>
      </c>
      <c r="E846">
        <f t="shared" si="121"/>
        <v>462</v>
      </c>
      <c r="F846">
        <f t="shared" si="122"/>
        <v>446</v>
      </c>
      <c r="G846">
        <f t="shared" si="123"/>
        <v>483</v>
      </c>
      <c r="H846">
        <v>2025</v>
      </c>
      <c r="I846">
        <v>9</v>
      </c>
      <c r="J846">
        <v>45</v>
      </c>
      <c r="K846" t="s">
        <v>37</v>
      </c>
      <c r="L846">
        <v>91.42</v>
      </c>
      <c r="M846" t="s">
        <v>38</v>
      </c>
      <c r="N846">
        <v>118.68</v>
      </c>
      <c r="P846">
        <f t="shared" si="124"/>
        <v>210.10000000000002</v>
      </c>
      <c r="Q846">
        <f t="shared" si="125"/>
        <v>27.260000000000005</v>
      </c>
      <c r="R846" t="str">
        <f t="shared" si="126"/>
        <v>David/Marshall</v>
      </c>
      <c r="S846" t="str">
        <f t="shared" si="127"/>
        <v>Drew/Cam</v>
      </c>
      <c r="T846">
        <f t="shared" si="128"/>
        <v>118.68</v>
      </c>
      <c r="U846">
        <f t="shared" si="129"/>
        <v>91.42</v>
      </c>
    </row>
    <row r="847" spans="1:21" x14ac:dyDescent="0.3">
      <c r="A847">
        <v>846</v>
      </c>
      <c r="B847" t="str">
        <f>H847&amp;R847&amp;I847</f>
        <v>2025Graham/Michael10</v>
      </c>
      <c r="C847" t="str">
        <f>H847&amp;S847&amp;I847</f>
        <v>2025Dave/Nolan10</v>
      </c>
      <c r="D847">
        <f t="shared" si="120"/>
        <v>39</v>
      </c>
      <c r="E847">
        <f t="shared" si="121"/>
        <v>237</v>
      </c>
      <c r="F847">
        <f t="shared" si="122"/>
        <v>76</v>
      </c>
      <c r="G847">
        <f t="shared" si="123"/>
        <v>594</v>
      </c>
      <c r="H847">
        <v>2025</v>
      </c>
      <c r="I847">
        <v>10</v>
      </c>
      <c r="J847">
        <v>46</v>
      </c>
      <c r="K847" t="s">
        <v>29</v>
      </c>
      <c r="L847">
        <v>149.24</v>
      </c>
      <c r="M847" t="s">
        <v>30</v>
      </c>
      <c r="N847">
        <v>86.4</v>
      </c>
      <c r="P847">
        <f t="shared" si="124"/>
        <v>235.64000000000001</v>
      </c>
      <c r="Q847">
        <f t="shared" si="125"/>
        <v>62.84</v>
      </c>
      <c r="R847" t="str">
        <f t="shared" si="126"/>
        <v>Graham/Michael</v>
      </c>
      <c r="S847" t="str">
        <f t="shared" si="127"/>
        <v>Dave/Nolan</v>
      </c>
      <c r="T847">
        <f t="shared" si="128"/>
        <v>149.24</v>
      </c>
      <c r="U847">
        <f t="shared" si="129"/>
        <v>86.4</v>
      </c>
    </row>
    <row r="848" spans="1:21" x14ac:dyDescent="0.3">
      <c r="A848">
        <v>847</v>
      </c>
      <c r="B848" t="str">
        <f>H848&amp;R848&amp;I848</f>
        <v>2025Trent/Colin10</v>
      </c>
      <c r="C848" t="str">
        <f>H848&amp;S848&amp;I848</f>
        <v>2025Pat/Tucker10</v>
      </c>
      <c r="D848">
        <f t="shared" si="120"/>
        <v>389</v>
      </c>
      <c r="E848">
        <f t="shared" si="121"/>
        <v>303</v>
      </c>
      <c r="F848">
        <f t="shared" si="122"/>
        <v>325</v>
      </c>
      <c r="G848">
        <f t="shared" si="123"/>
        <v>285</v>
      </c>
      <c r="H848">
        <v>2025</v>
      </c>
      <c r="I848">
        <v>10</v>
      </c>
      <c r="J848">
        <v>47</v>
      </c>
      <c r="K848" t="s">
        <v>33</v>
      </c>
      <c r="L848">
        <v>125.84</v>
      </c>
      <c r="M848" t="s">
        <v>31</v>
      </c>
      <c r="N848">
        <v>102.1</v>
      </c>
      <c r="P848">
        <f t="shared" si="124"/>
        <v>227.94</v>
      </c>
      <c r="Q848">
        <f t="shared" si="125"/>
        <v>23.740000000000009</v>
      </c>
      <c r="R848" t="str">
        <f t="shared" si="126"/>
        <v>Trent/Colin</v>
      </c>
      <c r="S848" t="str">
        <f t="shared" si="127"/>
        <v>Pat/Tucker</v>
      </c>
      <c r="T848">
        <f t="shared" si="128"/>
        <v>125.84</v>
      </c>
      <c r="U848">
        <f t="shared" si="129"/>
        <v>102.1</v>
      </c>
    </row>
    <row r="849" spans="1:21" x14ac:dyDescent="0.3">
      <c r="A849">
        <v>848</v>
      </c>
      <c r="B849" t="str">
        <f>H849&amp;R849&amp;I849</f>
        <v>2025Eric/Blake10</v>
      </c>
      <c r="C849" t="str">
        <f>H849&amp;S849&amp;I849</f>
        <v>2025Walker/Cory10</v>
      </c>
      <c r="D849">
        <f t="shared" si="120"/>
        <v>536</v>
      </c>
      <c r="E849">
        <f t="shared" si="121"/>
        <v>635</v>
      </c>
      <c r="F849">
        <f t="shared" si="122"/>
        <v>667</v>
      </c>
      <c r="G849">
        <f t="shared" si="123"/>
        <v>538</v>
      </c>
      <c r="H849">
        <v>2025</v>
      </c>
      <c r="I849">
        <v>10</v>
      </c>
      <c r="J849">
        <v>48</v>
      </c>
      <c r="K849" t="s">
        <v>36</v>
      </c>
      <c r="L849">
        <v>88.28</v>
      </c>
      <c r="M849" t="s">
        <v>34</v>
      </c>
      <c r="N849">
        <v>103.8</v>
      </c>
      <c r="P849">
        <f t="shared" si="124"/>
        <v>192.07999999999998</v>
      </c>
      <c r="Q849">
        <f t="shared" si="125"/>
        <v>15.519999999999996</v>
      </c>
      <c r="R849" t="str">
        <f t="shared" si="126"/>
        <v>Eric/Blake</v>
      </c>
      <c r="S849" t="str">
        <f t="shared" si="127"/>
        <v>Walker/Cory</v>
      </c>
      <c r="T849">
        <f t="shared" si="128"/>
        <v>103.8</v>
      </c>
      <c r="U849">
        <f t="shared" si="129"/>
        <v>88.28</v>
      </c>
    </row>
    <row r="850" spans="1:21" x14ac:dyDescent="0.3">
      <c r="A850">
        <v>849</v>
      </c>
      <c r="B850" t="str">
        <f>H850&amp;R850&amp;I850</f>
        <v>2025Brian/Travis10</v>
      </c>
      <c r="C850" t="str">
        <f>H850&amp;S850&amp;I850</f>
        <v>2025David/Marshall10</v>
      </c>
      <c r="D850">
        <f t="shared" si="120"/>
        <v>190</v>
      </c>
      <c r="E850">
        <f t="shared" si="121"/>
        <v>653</v>
      </c>
      <c r="F850">
        <f t="shared" si="122"/>
        <v>507</v>
      </c>
      <c r="G850">
        <f t="shared" si="123"/>
        <v>733</v>
      </c>
      <c r="H850">
        <v>2025</v>
      </c>
      <c r="I850">
        <v>10</v>
      </c>
      <c r="J850">
        <v>49</v>
      </c>
      <c r="K850" t="s">
        <v>38</v>
      </c>
      <c r="L850">
        <v>74.86</v>
      </c>
      <c r="M850" t="s">
        <v>32</v>
      </c>
      <c r="N850">
        <v>115.22</v>
      </c>
      <c r="P850">
        <f t="shared" si="124"/>
        <v>190.07999999999998</v>
      </c>
      <c r="Q850">
        <f t="shared" si="125"/>
        <v>40.36</v>
      </c>
      <c r="R850" t="str">
        <f t="shared" si="126"/>
        <v>Brian/Travis</v>
      </c>
      <c r="S850" t="str">
        <f t="shared" si="127"/>
        <v>David/Marshall</v>
      </c>
      <c r="T850">
        <f t="shared" si="128"/>
        <v>115.22</v>
      </c>
      <c r="U850">
        <f t="shared" si="129"/>
        <v>74.86</v>
      </c>
    </row>
    <row r="851" spans="1:21" x14ac:dyDescent="0.3">
      <c r="A851">
        <v>850</v>
      </c>
      <c r="B851" t="str">
        <f>H851&amp;R851&amp;I851</f>
        <v>2025Clay/Ryan10</v>
      </c>
      <c r="C851" t="str">
        <f>H851&amp;S851&amp;I851</f>
        <v>2025Drew/Cam10</v>
      </c>
      <c r="D851">
        <f t="shared" si="120"/>
        <v>308</v>
      </c>
      <c r="E851">
        <f t="shared" si="121"/>
        <v>212</v>
      </c>
      <c r="F851">
        <f t="shared" si="122"/>
        <v>193</v>
      </c>
      <c r="G851">
        <f t="shared" si="123"/>
        <v>243</v>
      </c>
      <c r="H851">
        <v>2025</v>
      </c>
      <c r="I851">
        <v>10</v>
      </c>
      <c r="J851">
        <v>50</v>
      </c>
      <c r="K851" t="s">
        <v>37</v>
      </c>
      <c r="L851">
        <v>104.9</v>
      </c>
      <c r="M851" t="s">
        <v>35</v>
      </c>
      <c r="N851">
        <v>134.5</v>
      </c>
      <c r="P851">
        <f t="shared" si="124"/>
        <v>239.4</v>
      </c>
      <c r="Q851">
        <f t="shared" si="125"/>
        <v>29.599999999999994</v>
      </c>
      <c r="R851" t="str">
        <f t="shared" si="126"/>
        <v>Clay/Ryan</v>
      </c>
      <c r="S851" t="str">
        <f t="shared" si="127"/>
        <v>Drew/Cam</v>
      </c>
      <c r="T851">
        <f t="shared" si="128"/>
        <v>134.5</v>
      </c>
      <c r="U851">
        <f t="shared" si="129"/>
        <v>104.9</v>
      </c>
    </row>
    <row r="852" spans="1:21" x14ac:dyDescent="0.3">
      <c r="A852">
        <v>851</v>
      </c>
      <c r="B852" t="str">
        <f>H852&amp;R852&amp;I852</f>
        <v>2025Graham/Michael11</v>
      </c>
      <c r="C852" t="str">
        <f>H852&amp;S852&amp;I852</f>
        <v>2025Walker/Cory11</v>
      </c>
      <c r="D852">
        <f t="shared" si="120"/>
        <v>187</v>
      </c>
      <c r="E852">
        <f t="shared" si="121"/>
        <v>66</v>
      </c>
      <c r="F852">
        <f t="shared" si="122"/>
        <v>50</v>
      </c>
      <c r="G852">
        <f t="shared" si="123"/>
        <v>150</v>
      </c>
      <c r="H852">
        <v>2025</v>
      </c>
      <c r="I852">
        <v>11</v>
      </c>
      <c r="J852">
        <v>51</v>
      </c>
      <c r="K852" t="s">
        <v>29</v>
      </c>
      <c r="L852">
        <v>153.47999999999999</v>
      </c>
      <c r="M852" t="s">
        <v>36</v>
      </c>
      <c r="N852">
        <v>112.9</v>
      </c>
      <c r="P852">
        <f t="shared" si="124"/>
        <v>266.38</v>
      </c>
      <c r="Q852">
        <f t="shared" si="125"/>
        <v>40.579999999999984</v>
      </c>
      <c r="R852" t="str">
        <f t="shared" si="126"/>
        <v>Graham/Michael</v>
      </c>
      <c r="S852" t="str">
        <f t="shared" si="127"/>
        <v>Walker/Cory</v>
      </c>
      <c r="T852">
        <f t="shared" si="128"/>
        <v>153.47999999999999</v>
      </c>
      <c r="U852">
        <f t="shared" si="129"/>
        <v>112.9</v>
      </c>
    </row>
    <row r="853" spans="1:21" x14ac:dyDescent="0.3">
      <c r="A853">
        <v>852</v>
      </c>
      <c r="B853" t="str">
        <f>H853&amp;R853&amp;I853</f>
        <v>2025Eric/Blake11</v>
      </c>
      <c r="C853" t="str">
        <f>H853&amp;S853&amp;I853</f>
        <v>2025David/Marshall11</v>
      </c>
      <c r="D853">
        <f t="shared" si="120"/>
        <v>577</v>
      </c>
      <c r="E853">
        <f t="shared" si="121"/>
        <v>631</v>
      </c>
      <c r="F853">
        <f t="shared" si="122"/>
        <v>679</v>
      </c>
      <c r="G853">
        <f t="shared" si="123"/>
        <v>509</v>
      </c>
      <c r="H853">
        <v>2025</v>
      </c>
      <c r="I853">
        <v>11</v>
      </c>
      <c r="J853">
        <v>52</v>
      </c>
      <c r="K853" t="s">
        <v>38</v>
      </c>
      <c r="L853">
        <v>89.84</v>
      </c>
      <c r="M853" t="s">
        <v>34</v>
      </c>
      <c r="N853">
        <v>103.04</v>
      </c>
      <c r="P853">
        <f t="shared" si="124"/>
        <v>192.88</v>
      </c>
      <c r="Q853">
        <f t="shared" si="125"/>
        <v>13.200000000000003</v>
      </c>
      <c r="R853" t="str">
        <f t="shared" si="126"/>
        <v>Eric/Blake</v>
      </c>
      <c r="S853" t="str">
        <f t="shared" si="127"/>
        <v>David/Marshall</v>
      </c>
      <c r="T853">
        <f t="shared" si="128"/>
        <v>103.04</v>
      </c>
      <c r="U853">
        <f t="shared" si="129"/>
        <v>89.84</v>
      </c>
    </row>
    <row r="854" spans="1:21" x14ac:dyDescent="0.3">
      <c r="A854">
        <v>853</v>
      </c>
      <c r="B854" t="str">
        <f>H854&amp;R854&amp;I854</f>
        <v>2025Pat/Tucker11</v>
      </c>
      <c r="C854" t="str">
        <f>H854&amp;S854&amp;I854</f>
        <v>2025Dave/Nolan11</v>
      </c>
      <c r="D854">
        <f t="shared" si="120"/>
        <v>90</v>
      </c>
      <c r="E854">
        <f t="shared" si="121"/>
        <v>801</v>
      </c>
      <c r="F854">
        <f t="shared" si="122"/>
        <v>601</v>
      </c>
      <c r="G854">
        <f t="shared" si="123"/>
        <v>853</v>
      </c>
      <c r="H854">
        <v>2025</v>
      </c>
      <c r="I854">
        <v>11</v>
      </c>
      <c r="J854">
        <v>53</v>
      </c>
      <c r="K854" t="s">
        <v>30</v>
      </c>
      <c r="L854">
        <v>57.04</v>
      </c>
      <c r="M854" t="s">
        <v>31</v>
      </c>
      <c r="N854">
        <v>108.64</v>
      </c>
      <c r="P854">
        <f t="shared" si="124"/>
        <v>165.68</v>
      </c>
      <c r="Q854">
        <f t="shared" si="125"/>
        <v>51.6</v>
      </c>
      <c r="R854" t="str">
        <f t="shared" si="126"/>
        <v>Pat/Tucker</v>
      </c>
      <c r="S854" t="str">
        <f t="shared" si="127"/>
        <v>Dave/Nolan</v>
      </c>
      <c r="T854">
        <f t="shared" si="128"/>
        <v>108.64</v>
      </c>
      <c r="U854">
        <f t="shared" si="129"/>
        <v>57.04</v>
      </c>
    </row>
    <row r="855" spans="1:21" x14ac:dyDescent="0.3">
      <c r="A855">
        <v>854</v>
      </c>
      <c r="B855" t="str">
        <f>H855&amp;R855&amp;I855</f>
        <v>2025Trent/Colin11</v>
      </c>
      <c r="C855" t="str">
        <f>H855&amp;S855&amp;I855</f>
        <v>2025Drew/Cam11</v>
      </c>
      <c r="D855">
        <f t="shared" si="120"/>
        <v>844</v>
      </c>
      <c r="E855">
        <f t="shared" si="121"/>
        <v>507</v>
      </c>
      <c r="F855">
        <f t="shared" si="122"/>
        <v>668</v>
      </c>
      <c r="G855">
        <f t="shared" si="123"/>
        <v>284</v>
      </c>
      <c r="H855">
        <v>2025</v>
      </c>
      <c r="I855">
        <v>11</v>
      </c>
      <c r="J855">
        <v>54</v>
      </c>
      <c r="K855" t="s">
        <v>33</v>
      </c>
      <c r="L855">
        <v>103.72</v>
      </c>
      <c r="M855" t="s">
        <v>37</v>
      </c>
      <c r="N855">
        <v>102.4</v>
      </c>
      <c r="P855">
        <f t="shared" si="124"/>
        <v>206.12</v>
      </c>
      <c r="Q855">
        <f t="shared" si="125"/>
        <v>1.3199999999999932</v>
      </c>
      <c r="R855" t="str">
        <f t="shared" si="126"/>
        <v>Trent/Colin</v>
      </c>
      <c r="S855" t="str">
        <f t="shared" si="127"/>
        <v>Drew/Cam</v>
      </c>
      <c r="T855">
        <f t="shared" si="128"/>
        <v>103.72</v>
      </c>
      <c r="U855">
        <f t="shared" si="129"/>
        <v>102.4</v>
      </c>
    </row>
    <row r="856" spans="1:21" x14ac:dyDescent="0.3">
      <c r="A856">
        <v>855</v>
      </c>
      <c r="B856" t="str">
        <f>H856&amp;R856&amp;I856</f>
        <v>2025Brian/Travis11</v>
      </c>
      <c r="C856" t="str">
        <f>H856&amp;S856&amp;I856</f>
        <v>2025Clay/Ryan11</v>
      </c>
      <c r="D856">
        <f t="shared" si="120"/>
        <v>336</v>
      </c>
      <c r="E856">
        <f t="shared" si="121"/>
        <v>798</v>
      </c>
      <c r="F856">
        <f t="shared" si="122"/>
        <v>744</v>
      </c>
      <c r="G856">
        <f t="shared" si="123"/>
        <v>803</v>
      </c>
      <c r="H856">
        <v>2025</v>
      </c>
      <c r="I856">
        <v>11</v>
      </c>
      <c r="J856">
        <v>55</v>
      </c>
      <c r="K856" t="s">
        <v>32</v>
      </c>
      <c r="L856">
        <v>97.02</v>
      </c>
      <c r="M856" t="s">
        <v>35</v>
      </c>
      <c r="N856">
        <v>69.459999999999994</v>
      </c>
      <c r="P856">
        <f t="shared" si="124"/>
        <v>166.48</v>
      </c>
      <c r="Q856">
        <f t="shared" si="125"/>
        <v>27.560000000000002</v>
      </c>
      <c r="R856" t="str">
        <f t="shared" si="126"/>
        <v>Brian/Travis</v>
      </c>
      <c r="S856" t="str">
        <f t="shared" si="127"/>
        <v>Clay/Ryan</v>
      </c>
      <c r="T856">
        <f t="shared" si="128"/>
        <v>97.02</v>
      </c>
      <c r="U856">
        <f t="shared" si="129"/>
        <v>69.459999999999994</v>
      </c>
    </row>
    <row r="857" spans="1:21" x14ac:dyDescent="0.3">
      <c r="A857">
        <v>856</v>
      </c>
      <c r="B857" t="str">
        <f>H857&amp;R857&amp;I857</f>
        <v>2025Graham/Michael12</v>
      </c>
      <c r="C857" t="str">
        <f>H857&amp;S857&amp;I857</f>
        <v>2025Eric/Blake12</v>
      </c>
      <c r="D857">
        <f t="shared" si="120"/>
        <v>666</v>
      </c>
      <c r="E857">
        <f t="shared" si="121"/>
        <v>450</v>
      </c>
      <c r="F857">
        <f t="shared" si="122"/>
        <v>585</v>
      </c>
      <c r="G857">
        <f t="shared" si="123"/>
        <v>306</v>
      </c>
      <c r="H857">
        <v>2025</v>
      </c>
      <c r="I857">
        <v>12</v>
      </c>
      <c r="J857">
        <v>56</v>
      </c>
      <c r="K857" t="s">
        <v>34</v>
      </c>
      <c r="L857">
        <v>100.96</v>
      </c>
      <c r="M857" t="s">
        <v>29</v>
      </c>
      <c r="N857">
        <v>110.42</v>
      </c>
      <c r="P857">
        <f t="shared" si="124"/>
        <v>211.38</v>
      </c>
      <c r="Q857">
        <f t="shared" si="125"/>
        <v>9.460000000000008</v>
      </c>
      <c r="R857" t="str">
        <f t="shared" si="126"/>
        <v>Graham/Michael</v>
      </c>
      <c r="S857" t="str">
        <f t="shared" si="127"/>
        <v>Eric/Blake</v>
      </c>
      <c r="T857">
        <f t="shared" si="128"/>
        <v>110.42</v>
      </c>
      <c r="U857">
        <f t="shared" si="129"/>
        <v>100.96</v>
      </c>
    </row>
    <row r="858" spans="1:21" x14ac:dyDescent="0.3">
      <c r="A858">
        <v>857</v>
      </c>
      <c r="B858" t="str">
        <f>H858&amp;R858&amp;I858</f>
        <v>2025Drew/Cam12</v>
      </c>
      <c r="C858" t="str">
        <f>H858&amp;S858&amp;I858</f>
        <v>2025Dave/Nolan12</v>
      </c>
      <c r="D858">
        <f t="shared" si="120"/>
        <v>62</v>
      </c>
      <c r="E858">
        <f t="shared" si="121"/>
        <v>699</v>
      </c>
      <c r="F858">
        <f t="shared" si="122"/>
        <v>418</v>
      </c>
      <c r="G858">
        <f t="shared" si="123"/>
        <v>830</v>
      </c>
      <c r="H858">
        <v>2025</v>
      </c>
      <c r="I858">
        <v>12</v>
      </c>
      <c r="J858">
        <v>57</v>
      </c>
      <c r="K858" t="s">
        <v>37</v>
      </c>
      <c r="L858">
        <v>120.82</v>
      </c>
      <c r="M858" t="s">
        <v>30</v>
      </c>
      <c r="N858">
        <v>63.96</v>
      </c>
      <c r="P858">
        <f t="shared" si="124"/>
        <v>184.78</v>
      </c>
      <c r="Q858">
        <f t="shared" si="125"/>
        <v>56.859999999999992</v>
      </c>
      <c r="R858" t="str">
        <f t="shared" si="126"/>
        <v>Drew/Cam</v>
      </c>
      <c r="S858" t="str">
        <f t="shared" si="127"/>
        <v>Dave/Nolan</v>
      </c>
      <c r="T858">
        <f t="shared" si="128"/>
        <v>120.82</v>
      </c>
      <c r="U858">
        <f t="shared" si="129"/>
        <v>63.96</v>
      </c>
    </row>
    <row r="859" spans="1:21" x14ac:dyDescent="0.3">
      <c r="A859">
        <v>858</v>
      </c>
      <c r="B859" t="str">
        <f>H859&amp;R859&amp;I859</f>
        <v>2025Clay/Ryan12</v>
      </c>
      <c r="C859" t="str">
        <f>H859&amp;S859&amp;I859</f>
        <v>2025David/Marshall12</v>
      </c>
      <c r="D859">
        <f t="shared" si="120"/>
        <v>784</v>
      </c>
      <c r="E859">
        <f t="shared" si="121"/>
        <v>442</v>
      </c>
      <c r="F859">
        <f t="shared" si="122"/>
        <v>606</v>
      </c>
      <c r="G859">
        <f t="shared" si="123"/>
        <v>254</v>
      </c>
      <c r="H859">
        <v>2025</v>
      </c>
      <c r="I859">
        <v>12</v>
      </c>
      <c r="J859">
        <v>58</v>
      </c>
      <c r="K859" t="s">
        <v>35</v>
      </c>
      <c r="L859">
        <v>108.44</v>
      </c>
      <c r="M859" t="s">
        <v>38</v>
      </c>
      <c r="N859">
        <v>103.96</v>
      </c>
      <c r="P859">
        <f t="shared" si="124"/>
        <v>212.39999999999998</v>
      </c>
      <c r="Q859">
        <f t="shared" si="125"/>
        <v>4.480000000000004</v>
      </c>
      <c r="R859" t="str">
        <f t="shared" si="126"/>
        <v>Clay/Ryan</v>
      </c>
      <c r="S859" t="str">
        <f t="shared" si="127"/>
        <v>David/Marshall</v>
      </c>
      <c r="T859">
        <f t="shared" si="128"/>
        <v>108.44</v>
      </c>
      <c r="U859">
        <f t="shared" si="129"/>
        <v>103.96</v>
      </c>
    </row>
    <row r="860" spans="1:21" x14ac:dyDescent="0.3">
      <c r="A860">
        <v>859</v>
      </c>
      <c r="B860" t="str">
        <f>H860&amp;R860&amp;I860</f>
        <v>2025Pat/Tucker12</v>
      </c>
      <c r="C860" t="str">
        <f>H860&amp;S860&amp;I860</f>
        <v>2025Walker/Cory12</v>
      </c>
      <c r="D860">
        <f t="shared" si="120"/>
        <v>525</v>
      </c>
      <c r="E860">
        <f t="shared" si="121"/>
        <v>257</v>
      </c>
      <c r="F860">
        <f t="shared" si="122"/>
        <v>344</v>
      </c>
      <c r="G860">
        <f t="shared" si="123"/>
        <v>199</v>
      </c>
      <c r="H860">
        <v>2025</v>
      </c>
      <c r="I860">
        <v>12</v>
      </c>
      <c r="J860">
        <v>59</v>
      </c>
      <c r="K860" t="s">
        <v>31</v>
      </c>
      <c r="L860">
        <v>124.68</v>
      </c>
      <c r="M860" t="s">
        <v>36</v>
      </c>
      <c r="N860">
        <v>108.52</v>
      </c>
      <c r="P860">
        <f t="shared" si="124"/>
        <v>233.2</v>
      </c>
      <c r="Q860">
        <f t="shared" si="125"/>
        <v>16.160000000000011</v>
      </c>
      <c r="R860" t="str">
        <f t="shared" si="126"/>
        <v>Pat/Tucker</v>
      </c>
      <c r="S860" t="str">
        <f t="shared" si="127"/>
        <v>Walker/Cory</v>
      </c>
      <c r="T860">
        <f t="shared" si="128"/>
        <v>124.68</v>
      </c>
      <c r="U860">
        <f t="shared" si="129"/>
        <v>108.52</v>
      </c>
    </row>
    <row r="861" spans="1:21" x14ac:dyDescent="0.3">
      <c r="A861">
        <v>860</v>
      </c>
      <c r="B861" t="str">
        <f>H861&amp;R861&amp;I861</f>
        <v>2025Brian/Travis12</v>
      </c>
      <c r="C861" t="str">
        <f>H861&amp;S861&amp;I861</f>
        <v>2025Trent/Colin12</v>
      </c>
      <c r="D861">
        <f t="shared" si="120"/>
        <v>846</v>
      </c>
      <c r="E861">
        <f t="shared" si="121"/>
        <v>142</v>
      </c>
      <c r="F861">
        <f t="shared" si="122"/>
        <v>340</v>
      </c>
      <c r="G861">
        <f t="shared" si="123"/>
        <v>52</v>
      </c>
      <c r="H861">
        <v>2025</v>
      </c>
      <c r="I861">
        <v>12</v>
      </c>
      <c r="J861">
        <v>60</v>
      </c>
      <c r="K861" t="s">
        <v>32</v>
      </c>
      <c r="L861">
        <v>124.96</v>
      </c>
      <c r="M861" t="s">
        <v>33</v>
      </c>
      <c r="N861">
        <v>123.72</v>
      </c>
      <c r="P861">
        <f t="shared" si="124"/>
        <v>248.68</v>
      </c>
      <c r="Q861">
        <f t="shared" si="125"/>
        <v>1.2399999999999949</v>
      </c>
      <c r="R861" t="str">
        <f t="shared" si="126"/>
        <v>Brian/Travis</v>
      </c>
      <c r="S861" t="str">
        <f t="shared" si="127"/>
        <v>Trent/Colin</v>
      </c>
      <c r="T861">
        <f t="shared" si="128"/>
        <v>124.96</v>
      </c>
      <c r="U861">
        <f t="shared" si="129"/>
        <v>123.72</v>
      </c>
    </row>
    <row r="862" spans="1:21" x14ac:dyDescent="0.3">
      <c r="A862">
        <v>861</v>
      </c>
      <c r="B862" t="str">
        <f t="shared" ref="B862:B871" si="130">H862&amp;R862&amp;I862</f>
        <v>2025Graham/Michael13</v>
      </c>
      <c r="C862" t="str">
        <f t="shared" ref="C862:C871" si="131">H862&amp;S862&amp;I862</f>
        <v>2025Clay/Ryan13</v>
      </c>
      <c r="D862">
        <f t="shared" si="120"/>
        <v>262</v>
      </c>
      <c r="E862">
        <f t="shared" si="121"/>
        <v>241</v>
      </c>
      <c r="F862">
        <f t="shared" si="122"/>
        <v>201</v>
      </c>
      <c r="G862">
        <f t="shared" si="123"/>
        <v>302</v>
      </c>
      <c r="H862">
        <v>2025</v>
      </c>
      <c r="I862">
        <v>13</v>
      </c>
      <c r="J862">
        <v>61</v>
      </c>
      <c r="K862" t="s">
        <v>35</v>
      </c>
      <c r="L862">
        <v>101.14</v>
      </c>
      <c r="M862" t="s">
        <v>29</v>
      </c>
      <c r="N862">
        <v>134.22</v>
      </c>
      <c r="P862">
        <f t="shared" si="124"/>
        <v>235.36</v>
      </c>
      <c r="Q862">
        <f t="shared" si="125"/>
        <v>33.08</v>
      </c>
      <c r="R862" t="str">
        <f t="shared" si="126"/>
        <v>Graham/Michael</v>
      </c>
      <c r="S862" t="str">
        <f t="shared" si="127"/>
        <v>Clay/Ryan</v>
      </c>
      <c r="T862">
        <f t="shared" si="128"/>
        <v>134.22</v>
      </c>
      <c r="U862">
        <f t="shared" si="129"/>
        <v>101.14</v>
      </c>
    </row>
    <row r="863" spans="1:21" x14ac:dyDescent="0.3">
      <c r="A863">
        <v>862</v>
      </c>
      <c r="B863" t="str">
        <f t="shared" si="130"/>
        <v>2025Drew/Cam13</v>
      </c>
      <c r="C863" t="str">
        <f t="shared" si="131"/>
        <v>2025Brian/Travis13</v>
      </c>
      <c r="D863">
        <f t="shared" si="120"/>
        <v>461</v>
      </c>
      <c r="E863">
        <f t="shared" si="121"/>
        <v>811</v>
      </c>
      <c r="F863">
        <f t="shared" si="122"/>
        <v>807</v>
      </c>
      <c r="G863">
        <f t="shared" si="123"/>
        <v>783</v>
      </c>
      <c r="H863">
        <v>2025</v>
      </c>
      <c r="I863">
        <v>13</v>
      </c>
      <c r="J863">
        <v>62</v>
      </c>
      <c r="K863" t="s">
        <v>37</v>
      </c>
      <c r="L863">
        <v>91.24</v>
      </c>
      <c r="M863" t="s">
        <v>32</v>
      </c>
      <c r="N863">
        <v>71.099999999999994</v>
      </c>
      <c r="P863">
        <f t="shared" si="124"/>
        <v>162.33999999999997</v>
      </c>
      <c r="Q863">
        <f t="shared" si="125"/>
        <v>20.14</v>
      </c>
      <c r="R863" t="str">
        <f t="shared" si="126"/>
        <v>Drew/Cam</v>
      </c>
      <c r="S863" t="str">
        <f t="shared" si="127"/>
        <v>Brian/Travis</v>
      </c>
      <c r="T863">
        <f t="shared" si="128"/>
        <v>91.24</v>
      </c>
      <c r="U863">
        <f t="shared" si="129"/>
        <v>71.099999999999994</v>
      </c>
    </row>
    <row r="864" spans="1:21" x14ac:dyDescent="0.3">
      <c r="A864">
        <v>863</v>
      </c>
      <c r="B864" t="str">
        <f t="shared" si="130"/>
        <v>2025Trent/Colin13</v>
      </c>
      <c r="C864" t="str">
        <f t="shared" si="131"/>
        <v>2025David/Marshall13</v>
      </c>
      <c r="D864">
        <f t="shared" si="120"/>
        <v>516</v>
      </c>
      <c r="E864">
        <f t="shared" si="121"/>
        <v>832</v>
      </c>
      <c r="F864">
        <f t="shared" si="122"/>
        <v>837</v>
      </c>
      <c r="G864">
        <f t="shared" si="123"/>
        <v>799</v>
      </c>
      <c r="H864">
        <v>2025</v>
      </c>
      <c r="I864">
        <v>13</v>
      </c>
      <c r="J864">
        <v>63</v>
      </c>
      <c r="K864" t="s">
        <v>38</v>
      </c>
      <c r="L864">
        <v>70.099999999999994</v>
      </c>
      <c r="M864" t="s">
        <v>33</v>
      </c>
      <c r="N864">
        <v>86.94</v>
      </c>
      <c r="P864">
        <f t="shared" si="124"/>
        <v>157.04</v>
      </c>
      <c r="Q864">
        <f t="shared" si="125"/>
        <v>16.840000000000003</v>
      </c>
      <c r="R864" t="str">
        <f t="shared" si="126"/>
        <v>Trent/Colin</v>
      </c>
      <c r="S864" t="str">
        <f t="shared" si="127"/>
        <v>David/Marshall</v>
      </c>
      <c r="T864">
        <f t="shared" si="128"/>
        <v>86.94</v>
      </c>
      <c r="U864">
        <f t="shared" si="129"/>
        <v>70.099999999999994</v>
      </c>
    </row>
    <row r="865" spans="1:21" x14ac:dyDescent="0.3">
      <c r="A865">
        <v>864</v>
      </c>
      <c r="B865" t="str">
        <f t="shared" si="130"/>
        <v>2025Walker/Cory13</v>
      </c>
      <c r="C865" t="str">
        <f t="shared" si="131"/>
        <v>2025Dave/Nolan13</v>
      </c>
      <c r="D865">
        <f t="shared" si="120"/>
        <v>833</v>
      </c>
      <c r="E865">
        <f t="shared" si="121"/>
        <v>708</v>
      </c>
      <c r="F865">
        <f t="shared" si="122"/>
        <v>793</v>
      </c>
      <c r="G865">
        <f t="shared" si="123"/>
        <v>487</v>
      </c>
      <c r="H865">
        <v>2025</v>
      </c>
      <c r="I865">
        <v>13</v>
      </c>
      <c r="J865">
        <v>64</v>
      </c>
      <c r="K865" t="s">
        <v>36</v>
      </c>
      <c r="L865">
        <v>92.92</v>
      </c>
      <c r="M865" t="s">
        <v>30</v>
      </c>
      <c r="N865">
        <v>91.06</v>
      </c>
      <c r="P865">
        <f t="shared" si="124"/>
        <v>183.98000000000002</v>
      </c>
      <c r="Q865">
        <f t="shared" si="125"/>
        <v>1.8599999999999994</v>
      </c>
      <c r="R865" t="str">
        <f t="shared" si="126"/>
        <v>Walker/Cory</v>
      </c>
      <c r="S865" t="str">
        <f t="shared" si="127"/>
        <v>Dave/Nolan</v>
      </c>
      <c r="T865">
        <f t="shared" si="128"/>
        <v>92.92</v>
      </c>
      <c r="U865">
        <f t="shared" si="129"/>
        <v>91.06</v>
      </c>
    </row>
    <row r="866" spans="1:21" x14ac:dyDescent="0.3">
      <c r="A866">
        <v>865</v>
      </c>
      <c r="B866" t="str">
        <f t="shared" si="130"/>
        <v>2025Pat/Tucker13</v>
      </c>
      <c r="C866" t="str">
        <f t="shared" si="131"/>
        <v>2025Eric/Blake13</v>
      </c>
      <c r="D866">
        <f t="shared" si="120"/>
        <v>360</v>
      </c>
      <c r="E866">
        <f t="shared" si="121"/>
        <v>26</v>
      </c>
      <c r="F866">
        <f t="shared" si="122"/>
        <v>58</v>
      </c>
      <c r="G866">
        <f t="shared" si="123"/>
        <v>35</v>
      </c>
      <c r="H866">
        <v>2025</v>
      </c>
      <c r="I866">
        <v>13</v>
      </c>
      <c r="J866">
        <v>65</v>
      </c>
      <c r="K866" t="s">
        <v>31</v>
      </c>
      <c r="L866">
        <v>152.54</v>
      </c>
      <c r="M866" t="s">
        <v>34</v>
      </c>
      <c r="N866">
        <v>126.78</v>
      </c>
      <c r="P866">
        <f t="shared" si="124"/>
        <v>279.32</v>
      </c>
      <c r="Q866">
        <f t="shared" si="125"/>
        <v>25.759999999999991</v>
      </c>
      <c r="R866" t="str">
        <f t="shared" si="126"/>
        <v>Pat/Tucker</v>
      </c>
      <c r="S866" t="str">
        <f t="shared" si="127"/>
        <v>Eric/Blake</v>
      </c>
      <c r="T866">
        <f t="shared" si="128"/>
        <v>152.54</v>
      </c>
      <c r="U866">
        <f t="shared" si="129"/>
        <v>126.78</v>
      </c>
    </row>
    <row r="867" spans="1:21" x14ac:dyDescent="0.3">
      <c r="A867">
        <v>866</v>
      </c>
      <c r="B867" t="str">
        <f t="shared" si="130"/>
        <v>2025Graham/Michael14</v>
      </c>
      <c r="C867" t="str">
        <f t="shared" si="131"/>
        <v>2025Drew/Cam14</v>
      </c>
      <c r="D867">
        <f t="shared" ref="D867:D871" si="132">RANK(Q867,Q:Q)</f>
        <v>74</v>
      </c>
      <c r="E867">
        <f t="shared" ref="E867:E871" si="133">RANK(P867,P:P)</f>
        <v>536</v>
      </c>
      <c r="F867">
        <f t="shared" ref="F867:F871" si="134">RANK(T867,T:T)</f>
        <v>270</v>
      </c>
      <c r="G867">
        <f t="shared" ref="G867:G871" si="135">RANK(U867,U:U)</f>
        <v>740</v>
      </c>
      <c r="H867">
        <v>2025</v>
      </c>
      <c r="I867">
        <v>14</v>
      </c>
      <c r="J867">
        <v>66</v>
      </c>
      <c r="K867" t="s">
        <v>29</v>
      </c>
      <c r="L867">
        <v>129.13999999999999</v>
      </c>
      <c r="M867" t="s">
        <v>37</v>
      </c>
      <c r="N867">
        <v>74.28</v>
      </c>
      <c r="P867">
        <f t="shared" si="124"/>
        <v>203.42</v>
      </c>
      <c r="Q867">
        <f t="shared" si="125"/>
        <v>54.859999999999985</v>
      </c>
      <c r="R867" t="str">
        <f t="shared" si="126"/>
        <v>Graham/Michael</v>
      </c>
      <c r="S867" t="str">
        <f t="shared" si="127"/>
        <v>Drew/Cam</v>
      </c>
      <c r="T867">
        <f t="shared" si="128"/>
        <v>129.13999999999999</v>
      </c>
      <c r="U867">
        <f t="shared" si="129"/>
        <v>74.28</v>
      </c>
    </row>
    <row r="868" spans="1:21" x14ac:dyDescent="0.3">
      <c r="A868">
        <v>867</v>
      </c>
      <c r="B868" t="str">
        <f t="shared" si="130"/>
        <v>2025Trent/Colin14</v>
      </c>
      <c r="C868" t="str">
        <f t="shared" si="131"/>
        <v>2025Eric/Blake14</v>
      </c>
      <c r="D868">
        <f t="shared" si="132"/>
        <v>255</v>
      </c>
      <c r="E868">
        <f t="shared" si="133"/>
        <v>324</v>
      </c>
      <c r="F868">
        <f t="shared" si="134"/>
        <v>257</v>
      </c>
      <c r="G868">
        <f t="shared" si="135"/>
        <v>405</v>
      </c>
      <c r="H868">
        <v>2025</v>
      </c>
      <c r="I868">
        <v>14</v>
      </c>
      <c r="J868">
        <v>67</v>
      </c>
      <c r="K868" t="s">
        <v>34</v>
      </c>
      <c r="L868">
        <v>96.02</v>
      </c>
      <c r="M868" t="s">
        <v>33</v>
      </c>
      <c r="N868">
        <v>129.96</v>
      </c>
      <c r="P868">
        <f t="shared" si="124"/>
        <v>225.98000000000002</v>
      </c>
      <c r="Q868">
        <f t="shared" si="125"/>
        <v>33.940000000000012</v>
      </c>
      <c r="R868" t="str">
        <f t="shared" si="126"/>
        <v>Trent/Colin</v>
      </c>
      <c r="S868" t="str">
        <f t="shared" si="127"/>
        <v>Eric/Blake</v>
      </c>
      <c r="T868">
        <f t="shared" si="128"/>
        <v>129.96</v>
      </c>
      <c r="U868">
        <f t="shared" si="129"/>
        <v>96.02</v>
      </c>
    </row>
    <row r="869" spans="1:21" x14ac:dyDescent="0.3">
      <c r="A869">
        <v>868</v>
      </c>
      <c r="B869" t="str">
        <f t="shared" si="130"/>
        <v>2025Clay/Ryan14</v>
      </c>
      <c r="C869" t="str">
        <f t="shared" si="131"/>
        <v>2025Walker/Cory14</v>
      </c>
      <c r="D869">
        <f t="shared" si="132"/>
        <v>619</v>
      </c>
      <c r="E869">
        <f t="shared" si="133"/>
        <v>159</v>
      </c>
      <c r="F869">
        <f t="shared" si="134"/>
        <v>274</v>
      </c>
      <c r="G869">
        <f t="shared" si="135"/>
        <v>97</v>
      </c>
      <c r="H869">
        <v>2025</v>
      </c>
      <c r="I869">
        <v>14</v>
      </c>
      <c r="J869">
        <v>68</v>
      </c>
      <c r="K869" t="s">
        <v>36</v>
      </c>
      <c r="L869">
        <v>117.44</v>
      </c>
      <c r="M869" t="s">
        <v>35</v>
      </c>
      <c r="N869">
        <v>128.86000000000001</v>
      </c>
      <c r="P869">
        <f t="shared" si="124"/>
        <v>246.3</v>
      </c>
      <c r="Q869">
        <f t="shared" si="125"/>
        <v>11.420000000000016</v>
      </c>
      <c r="R869" t="str">
        <f t="shared" si="126"/>
        <v>Clay/Ryan</v>
      </c>
      <c r="S869" t="str">
        <f t="shared" si="127"/>
        <v>Walker/Cory</v>
      </c>
      <c r="T869">
        <f t="shared" si="128"/>
        <v>128.86000000000001</v>
      </c>
      <c r="U869">
        <f t="shared" si="129"/>
        <v>117.44</v>
      </c>
    </row>
    <row r="870" spans="1:21" x14ac:dyDescent="0.3">
      <c r="A870">
        <v>869</v>
      </c>
      <c r="B870" t="str">
        <f t="shared" si="130"/>
        <v>2025Brian/Travis14</v>
      </c>
      <c r="C870" t="str">
        <f t="shared" si="131"/>
        <v>2025Pat/Tucker14</v>
      </c>
      <c r="D870">
        <f t="shared" si="132"/>
        <v>391</v>
      </c>
      <c r="E870">
        <f t="shared" si="133"/>
        <v>441</v>
      </c>
      <c r="F870">
        <f t="shared" si="134"/>
        <v>456</v>
      </c>
      <c r="G870">
        <f t="shared" si="135"/>
        <v>429</v>
      </c>
      <c r="H870">
        <v>2025</v>
      </c>
      <c r="I870">
        <v>14</v>
      </c>
      <c r="J870">
        <v>69</v>
      </c>
      <c r="K870" t="s">
        <v>31</v>
      </c>
      <c r="L870">
        <v>94.4</v>
      </c>
      <c r="M870" t="s">
        <v>32</v>
      </c>
      <c r="N870">
        <v>118</v>
      </c>
      <c r="P870">
        <f t="shared" si="124"/>
        <v>212.4</v>
      </c>
      <c r="Q870">
        <f t="shared" si="125"/>
        <v>23.599999999999994</v>
      </c>
      <c r="R870" t="str">
        <f t="shared" si="126"/>
        <v>Brian/Travis</v>
      </c>
      <c r="S870" t="str">
        <f t="shared" si="127"/>
        <v>Pat/Tucker</v>
      </c>
      <c r="T870">
        <f t="shared" si="128"/>
        <v>118</v>
      </c>
      <c r="U870">
        <f t="shared" si="129"/>
        <v>94.4</v>
      </c>
    </row>
    <row r="871" spans="1:21" x14ac:dyDescent="0.3">
      <c r="A871">
        <v>870</v>
      </c>
      <c r="B871" t="str">
        <f t="shared" si="130"/>
        <v>2025David/Marshall14</v>
      </c>
      <c r="C871" t="str">
        <f t="shared" si="131"/>
        <v>2025Dave/Nolan14</v>
      </c>
      <c r="D871">
        <f t="shared" si="132"/>
        <v>744</v>
      </c>
      <c r="E871">
        <f t="shared" si="133"/>
        <v>723</v>
      </c>
      <c r="F871">
        <f t="shared" si="134"/>
        <v>786</v>
      </c>
      <c r="G871">
        <f t="shared" si="135"/>
        <v>566</v>
      </c>
      <c r="H871">
        <v>2025</v>
      </c>
      <c r="I871">
        <v>14</v>
      </c>
      <c r="J871">
        <v>70</v>
      </c>
      <c r="K871" t="s">
        <v>30</v>
      </c>
      <c r="L871">
        <v>87.46</v>
      </c>
      <c r="M871" t="s">
        <v>38</v>
      </c>
      <c r="N871">
        <v>93.84</v>
      </c>
      <c r="P871">
        <f t="shared" si="124"/>
        <v>181.3</v>
      </c>
      <c r="Q871">
        <f t="shared" si="125"/>
        <v>6.3800000000000097</v>
      </c>
      <c r="R871" t="str">
        <f t="shared" si="126"/>
        <v>David/Marshall</v>
      </c>
      <c r="S871" t="str">
        <f t="shared" si="127"/>
        <v>Dave/Nolan</v>
      </c>
      <c r="T871">
        <f t="shared" si="128"/>
        <v>93.84</v>
      </c>
      <c r="U871">
        <f t="shared" si="129"/>
        <v>87.46</v>
      </c>
    </row>
  </sheetData>
  <autoFilter ref="A1:V861" xr:uid="{066316FA-BE16-4F1B-B472-6CFCBAE353C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60E7-2FBF-4380-83A2-E599342FCC76}">
  <dimension ref="A1:R81"/>
  <sheetViews>
    <sheetView zoomScale="70" zoomScaleNormal="70" workbookViewId="0">
      <selection activeCell="D70" sqref="D70"/>
    </sheetView>
    <sheetView topLeftCell="D16" workbookViewId="1">
      <selection activeCell="I56" sqref="I56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5.6640625" bestFit="1" customWidth="1"/>
    <col min="4" max="4" width="14.6640625" bestFit="1" customWidth="1"/>
    <col min="5" max="5" width="16" bestFit="1" customWidth="1"/>
    <col min="6" max="6" width="7.109375" bestFit="1" customWidth="1"/>
    <col min="7" max="7" width="16.6640625" bestFit="1" customWidth="1"/>
    <col min="8" max="8" width="15.88671875" bestFit="1" customWidth="1"/>
    <col min="9" max="9" width="19.6640625" bestFit="1" customWidth="1"/>
    <col min="10" max="10" width="15.88671875" bestFit="1" customWidth="1"/>
    <col min="11" max="11" width="19.109375" bestFit="1" customWidth="1"/>
    <col min="12" max="12" width="32" bestFit="1" customWidth="1"/>
    <col min="13" max="13" width="13.6640625" bestFit="1" customWidth="1"/>
    <col min="14" max="14" width="16.33203125" bestFit="1" customWidth="1"/>
    <col min="15" max="16" width="15.88671875" bestFit="1" customWidth="1"/>
    <col min="17" max="17" width="13" bestFit="1" customWidth="1"/>
    <col min="18" max="18" width="11.109375" bestFit="1" customWidth="1"/>
  </cols>
  <sheetData>
    <row r="1" spans="1:18" ht="14.25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21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27</v>
      </c>
      <c r="R1" t="s">
        <v>28</v>
      </c>
    </row>
    <row r="2" spans="1:18" x14ac:dyDescent="0.3">
      <c r="A2">
        <v>1</v>
      </c>
      <c r="B2">
        <f>RANK(N2,N:N)</f>
        <v>37</v>
      </c>
      <c r="C2">
        <f>RANK(M2,M:M)</f>
        <v>54</v>
      </c>
      <c r="D2">
        <f>RANK(Q2,Q:Q)</f>
        <v>58</v>
      </c>
      <c r="E2">
        <f>RANK(R2,R:R)</f>
        <v>49</v>
      </c>
      <c r="F2">
        <v>2013</v>
      </c>
      <c r="G2">
        <v>14</v>
      </c>
      <c r="H2" t="s">
        <v>34</v>
      </c>
      <c r="I2">
        <v>95.5</v>
      </c>
      <c r="J2" t="s">
        <v>30</v>
      </c>
      <c r="K2">
        <v>121</v>
      </c>
      <c r="L2" t="s">
        <v>90</v>
      </c>
      <c r="M2">
        <f t="shared" ref="M2:M33" si="0">SUM(I2,K2)</f>
        <v>216.5</v>
      </c>
      <c r="N2">
        <f t="shared" ref="N2:N33" si="1">ABS(I2-K2)</f>
        <v>25.5</v>
      </c>
      <c r="O2" t="str">
        <f>IF(I2&gt;K2,H2,J2)</f>
        <v>Dave/Nolan</v>
      </c>
      <c r="P2" t="str">
        <f>IF(I2&gt;K2,J2,H2)</f>
        <v>Eric/Blake</v>
      </c>
      <c r="Q2">
        <f>IF(I2&gt;K2,I2,K2)</f>
        <v>121</v>
      </c>
      <c r="R2">
        <f>IF(I2&gt;K2,K2,I2)</f>
        <v>95.5</v>
      </c>
    </row>
    <row r="3" spans="1:18" x14ac:dyDescent="0.3">
      <c r="A3">
        <v>2</v>
      </c>
      <c r="B3">
        <f t="shared" ref="B3:B66" si="2">RANK(N3,N:N)</f>
        <v>59</v>
      </c>
      <c r="C3">
        <f t="shared" ref="C3:C66" si="3">RANK(M3,M:M)</f>
        <v>5</v>
      </c>
      <c r="D3">
        <f t="shared" ref="D3:D66" si="4">RANK(Q3,Q:Q)</f>
        <v>12</v>
      </c>
      <c r="E3">
        <f t="shared" ref="E3:E66" si="5">RANK(R3,R:R)</f>
        <v>4</v>
      </c>
      <c r="F3">
        <v>2013</v>
      </c>
      <c r="G3">
        <v>14</v>
      </c>
      <c r="H3" t="s">
        <v>35</v>
      </c>
      <c r="I3">
        <v>145</v>
      </c>
      <c r="J3" t="s">
        <v>33</v>
      </c>
      <c r="K3">
        <v>155.5</v>
      </c>
      <c r="L3" t="s">
        <v>90</v>
      </c>
      <c r="M3">
        <f t="shared" si="0"/>
        <v>300.5</v>
      </c>
      <c r="N3">
        <f t="shared" si="1"/>
        <v>10.5</v>
      </c>
      <c r="O3" t="str">
        <f t="shared" ref="O3:O63" si="6">IF(I3&gt;K3,H3,J3)</f>
        <v>Trent/Colin</v>
      </c>
      <c r="P3" t="str">
        <f t="shared" ref="P3:P63" si="7">IF(I3&gt;K3,J3,H3)</f>
        <v>Clay/Ryan</v>
      </c>
      <c r="Q3">
        <f t="shared" ref="Q3:Q63" si="8">IF(I3&gt;K3,I3,K3)</f>
        <v>155.5</v>
      </c>
      <c r="R3">
        <f t="shared" ref="R3:R63" si="9">IF(I3&gt;K3,K3,I3)</f>
        <v>145</v>
      </c>
    </row>
    <row r="4" spans="1:18" x14ac:dyDescent="0.3">
      <c r="A4">
        <v>3</v>
      </c>
      <c r="B4">
        <f t="shared" si="2"/>
        <v>33</v>
      </c>
      <c r="C4">
        <f t="shared" si="3"/>
        <v>76</v>
      </c>
      <c r="D4">
        <f t="shared" si="4"/>
        <v>72</v>
      </c>
      <c r="E4">
        <f t="shared" si="5"/>
        <v>74</v>
      </c>
      <c r="F4">
        <v>2013</v>
      </c>
      <c r="G4">
        <v>14</v>
      </c>
      <c r="H4" t="s">
        <v>36</v>
      </c>
      <c r="I4">
        <v>97</v>
      </c>
      <c r="J4" t="s">
        <v>32</v>
      </c>
      <c r="K4">
        <v>70.5</v>
      </c>
      <c r="L4" t="s">
        <v>90</v>
      </c>
      <c r="M4">
        <f t="shared" si="0"/>
        <v>167.5</v>
      </c>
      <c r="N4">
        <f t="shared" si="1"/>
        <v>26.5</v>
      </c>
      <c r="O4" t="str">
        <f t="shared" si="6"/>
        <v>Walker/Cory</v>
      </c>
      <c r="P4" t="str">
        <f t="shared" si="7"/>
        <v>Brian/Travis</v>
      </c>
      <c r="Q4">
        <f t="shared" si="8"/>
        <v>97</v>
      </c>
      <c r="R4">
        <f t="shared" si="9"/>
        <v>70.5</v>
      </c>
    </row>
    <row r="5" spans="1:18" x14ac:dyDescent="0.3">
      <c r="A5">
        <v>4</v>
      </c>
      <c r="B5">
        <f t="shared" si="2"/>
        <v>27</v>
      </c>
      <c r="C5">
        <f t="shared" si="3"/>
        <v>44</v>
      </c>
      <c r="D5">
        <f t="shared" si="4"/>
        <v>43</v>
      </c>
      <c r="E5">
        <f t="shared" si="5"/>
        <v>43</v>
      </c>
      <c r="F5">
        <v>2013</v>
      </c>
      <c r="G5">
        <v>14</v>
      </c>
      <c r="H5" t="s">
        <v>31</v>
      </c>
      <c r="I5">
        <v>98.5</v>
      </c>
      <c r="J5" t="s">
        <v>29</v>
      </c>
      <c r="K5">
        <v>129</v>
      </c>
      <c r="L5" t="s">
        <v>90</v>
      </c>
      <c r="M5">
        <f t="shared" si="0"/>
        <v>227.5</v>
      </c>
      <c r="N5">
        <f t="shared" si="1"/>
        <v>30.5</v>
      </c>
      <c r="O5" t="str">
        <f t="shared" si="6"/>
        <v>Graham/Michael</v>
      </c>
      <c r="P5" t="str">
        <f t="shared" si="7"/>
        <v>Pat/Tucker</v>
      </c>
      <c r="Q5">
        <f t="shared" si="8"/>
        <v>129</v>
      </c>
      <c r="R5">
        <f t="shared" si="9"/>
        <v>98.5</v>
      </c>
    </row>
    <row r="6" spans="1:18" x14ac:dyDescent="0.3">
      <c r="A6">
        <v>5</v>
      </c>
      <c r="B6">
        <f t="shared" si="2"/>
        <v>80</v>
      </c>
      <c r="C6">
        <f t="shared" si="3"/>
        <v>75</v>
      </c>
      <c r="D6">
        <f t="shared" si="4"/>
        <v>78</v>
      </c>
      <c r="E6">
        <f t="shared" si="5"/>
        <v>64</v>
      </c>
      <c r="F6">
        <v>2013</v>
      </c>
      <c r="G6">
        <v>15</v>
      </c>
      <c r="H6" t="s">
        <v>36</v>
      </c>
      <c r="I6">
        <v>84.5</v>
      </c>
      <c r="J6" t="s">
        <v>30</v>
      </c>
      <c r="K6">
        <v>83.5</v>
      </c>
      <c r="L6" t="s">
        <v>59</v>
      </c>
      <c r="M6">
        <f t="shared" si="0"/>
        <v>168</v>
      </c>
      <c r="N6">
        <f t="shared" si="1"/>
        <v>1</v>
      </c>
      <c r="O6" t="str">
        <f t="shared" si="6"/>
        <v>Walker/Cory</v>
      </c>
      <c r="P6" t="str">
        <f t="shared" si="7"/>
        <v>Dave/Nolan</v>
      </c>
      <c r="Q6">
        <f t="shared" si="8"/>
        <v>84.5</v>
      </c>
      <c r="R6">
        <f t="shared" si="9"/>
        <v>83.5</v>
      </c>
    </row>
    <row r="7" spans="1:18" x14ac:dyDescent="0.3">
      <c r="A7">
        <v>6</v>
      </c>
      <c r="B7">
        <f t="shared" si="2"/>
        <v>61</v>
      </c>
      <c r="C7">
        <f t="shared" si="3"/>
        <v>12</v>
      </c>
      <c r="D7">
        <f t="shared" si="4"/>
        <v>21</v>
      </c>
      <c r="E7">
        <f t="shared" si="5"/>
        <v>8</v>
      </c>
      <c r="F7">
        <v>2013</v>
      </c>
      <c r="G7">
        <v>15</v>
      </c>
      <c r="H7" t="s">
        <v>33</v>
      </c>
      <c r="I7">
        <v>139</v>
      </c>
      <c r="J7" t="s">
        <v>29</v>
      </c>
      <c r="K7">
        <v>130</v>
      </c>
      <c r="L7" t="s">
        <v>59</v>
      </c>
      <c r="M7">
        <f t="shared" si="0"/>
        <v>269</v>
      </c>
      <c r="N7">
        <f t="shared" si="1"/>
        <v>9</v>
      </c>
      <c r="O7" t="str">
        <f t="shared" si="6"/>
        <v>Trent/Colin</v>
      </c>
      <c r="P7" t="str">
        <f t="shared" si="7"/>
        <v>Graham/Michael</v>
      </c>
      <c r="Q7">
        <f t="shared" si="8"/>
        <v>139</v>
      </c>
      <c r="R7">
        <f t="shared" si="9"/>
        <v>130</v>
      </c>
    </row>
    <row r="8" spans="1:18" x14ac:dyDescent="0.3">
      <c r="A8">
        <v>7</v>
      </c>
      <c r="B8">
        <f t="shared" si="2"/>
        <v>28</v>
      </c>
      <c r="C8">
        <f t="shared" si="3"/>
        <v>49</v>
      </c>
      <c r="D8">
        <f t="shared" si="4"/>
        <v>49</v>
      </c>
      <c r="E8">
        <f t="shared" si="5"/>
        <v>49</v>
      </c>
      <c r="F8">
        <v>2013</v>
      </c>
      <c r="G8">
        <v>16</v>
      </c>
      <c r="H8" t="s">
        <v>36</v>
      </c>
      <c r="I8">
        <v>95.5</v>
      </c>
      <c r="J8" t="s">
        <v>33</v>
      </c>
      <c r="K8">
        <v>125.5</v>
      </c>
      <c r="L8" t="s">
        <v>91</v>
      </c>
      <c r="M8">
        <f t="shared" si="0"/>
        <v>221</v>
      </c>
      <c r="N8">
        <f t="shared" si="1"/>
        <v>30</v>
      </c>
      <c r="O8" t="str">
        <f t="shared" si="6"/>
        <v>Trent/Colin</v>
      </c>
      <c r="P8" t="str">
        <f t="shared" si="7"/>
        <v>Walker/Cory</v>
      </c>
      <c r="Q8">
        <f t="shared" si="8"/>
        <v>125.5</v>
      </c>
      <c r="R8">
        <f t="shared" si="9"/>
        <v>95.5</v>
      </c>
    </row>
    <row r="9" spans="1:18" x14ac:dyDescent="0.3">
      <c r="A9">
        <v>8</v>
      </c>
      <c r="B9">
        <f t="shared" si="2"/>
        <v>59</v>
      </c>
      <c r="C9">
        <f t="shared" si="3"/>
        <v>70</v>
      </c>
      <c r="D9">
        <f t="shared" si="4"/>
        <v>71</v>
      </c>
      <c r="E9">
        <f t="shared" si="5"/>
        <v>57</v>
      </c>
      <c r="F9">
        <v>2013</v>
      </c>
      <c r="G9">
        <v>16</v>
      </c>
      <c r="H9" t="s">
        <v>30</v>
      </c>
      <c r="I9">
        <v>99.5</v>
      </c>
      <c r="J9" t="s">
        <v>29</v>
      </c>
      <c r="K9">
        <v>89</v>
      </c>
      <c r="L9" t="s">
        <v>92</v>
      </c>
      <c r="M9">
        <f t="shared" si="0"/>
        <v>188.5</v>
      </c>
      <c r="N9">
        <f t="shared" si="1"/>
        <v>10.5</v>
      </c>
      <c r="O9" t="str">
        <f t="shared" si="6"/>
        <v>Dave/Nolan</v>
      </c>
      <c r="P9" t="str">
        <f t="shared" si="7"/>
        <v>Graham/Michael</v>
      </c>
      <c r="Q9">
        <f t="shared" si="8"/>
        <v>99.5</v>
      </c>
      <c r="R9">
        <f t="shared" si="9"/>
        <v>89</v>
      </c>
    </row>
    <row r="10" spans="1:18" x14ac:dyDescent="0.3">
      <c r="A10">
        <v>9</v>
      </c>
      <c r="B10">
        <f t="shared" si="2"/>
        <v>7</v>
      </c>
      <c r="C10">
        <f t="shared" si="3"/>
        <v>28</v>
      </c>
      <c r="D10">
        <f t="shared" si="4"/>
        <v>13</v>
      </c>
      <c r="E10">
        <f t="shared" si="5"/>
        <v>59</v>
      </c>
      <c r="F10">
        <v>2014</v>
      </c>
      <c r="G10">
        <v>14</v>
      </c>
      <c r="H10" t="s">
        <v>34</v>
      </c>
      <c r="I10">
        <v>154.5</v>
      </c>
      <c r="J10" t="s">
        <v>30</v>
      </c>
      <c r="K10">
        <v>88</v>
      </c>
      <c r="L10" t="s">
        <v>90</v>
      </c>
      <c r="M10">
        <f t="shared" si="0"/>
        <v>242.5</v>
      </c>
      <c r="N10">
        <f t="shared" si="1"/>
        <v>66.5</v>
      </c>
      <c r="O10" t="str">
        <f t="shared" si="6"/>
        <v>Eric/Blake</v>
      </c>
      <c r="P10" t="str">
        <f t="shared" si="7"/>
        <v>Dave/Nolan</v>
      </c>
      <c r="Q10">
        <f t="shared" si="8"/>
        <v>154.5</v>
      </c>
      <c r="R10">
        <f t="shared" si="9"/>
        <v>88</v>
      </c>
    </row>
    <row r="11" spans="1:18" x14ac:dyDescent="0.3">
      <c r="A11">
        <v>10</v>
      </c>
      <c r="B11">
        <f t="shared" si="2"/>
        <v>4</v>
      </c>
      <c r="C11">
        <f t="shared" si="3"/>
        <v>22</v>
      </c>
      <c r="D11">
        <f t="shared" si="4"/>
        <v>8</v>
      </c>
      <c r="E11">
        <f t="shared" si="5"/>
        <v>62</v>
      </c>
      <c r="F11">
        <v>2014</v>
      </c>
      <c r="G11">
        <v>14</v>
      </c>
      <c r="H11" t="s">
        <v>31</v>
      </c>
      <c r="I11">
        <v>163.5</v>
      </c>
      <c r="J11" t="s">
        <v>29</v>
      </c>
      <c r="K11">
        <v>86</v>
      </c>
      <c r="L11" t="s">
        <v>90</v>
      </c>
      <c r="M11">
        <f t="shared" si="0"/>
        <v>249.5</v>
      </c>
      <c r="N11">
        <f t="shared" si="1"/>
        <v>77.5</v>
      </c>
      <c r="O11" t="str">
        <f t="shared" si="6"/>
        <v>Pat/Tucker</v>
      </c>
      <c r="P11" t="str">
        <f t="shared" si="7"/>
        <v>Graham/Michael</v>
      </c>
      <c r="Q11">
        <f t="shared" si="8"/>
        <v>163.5</v>
      </c>
      <c r="R11">
        <f t="shared" si="9"/>
        <v>86</v>
      </c>
    </row>
    <row r="12" spans="1:18" x14ac:dyDescent="0.3">
      <c r="A12">
        <v>11</v>
      </c>
      <c r="B12">
        <f t="shared" si="2"/>
        <v>75</v>
      </c>
      <c r="C12">
        <f t="shared" si="3"/>
        <v>78</v>
      </c>
      <c r="D12">
        <f t="shared" si="4"/>
        <v>79</v>
      </c>
      <c r="E12">
        <f t="shared" si="5"/>
        <v>69</v>
      </c>
      <c r="F12">
        <v>2014</v>
      </c>
      <c r="G12">
        <v>15</v>
      </c>
      <c r="H12" t="s">
        <v>33</v>
      </c>
      <c r="I12">
        <v>78</v>
      </c>
      <c r="J12" t="s">
        <v>31</v>
      </c>
      <c r="K12">
        <v>81.5</v>
      </c>
      <c r="L12" t="s">
        <v>59</v>
      </c>
      <c r="M12">
        <f t="shared" si="0"/>
        <v>159.5</v>
      </c>
      <c r="N12">
        <f t="shared" si="1"/>
        <v>3.5</v>
      </c>
      <c r="O12" t="str">
        <f t="shared" si="6"/>
        <v>Pat/Tucker</v>
      </c>
      <c r="P12" t="str">
        <f t="shared" si="7"/>
        <v>Trent/Colin</v>
      </c>
      <c r="Q12">
        <f t="shared" si="8"/>
        <v>81.5</v>
      </c>
      <c r="R12">
        <f t="shared" si="9"/>
        <v>78</v>
      </c>
    </row>
    <row r="13" spans="1:18" x14ac:dyDescent="0.3">
      <c r="A13">
        <v>12</v>
      </c>
      <c r="B13">
        <f t="shared" si="2"/>
        <v>45</v>
      </c>
      <c r="C13">
        <f t="shared" si="3"/>
        <v>43</v>
      </c>
      <c r="D13">
        <f t="shared" si="4"/>
        <v>54</v>
      </c>
      <c r="E13">
        <f t="shared" si="5"/>
        <v>31</v>
      </c>
      <c r="F13">
        <v>2014</v>
      </c>
      <c r="G13">
        <v>15</v>
      </c>
      <c r="H13" t="s">
        <v>35</v>
      </c>
      <c r="I13">
        <v>122.5</v>
      </c>
      <c r="J13" t="s">
        <v>34</v>
      </c>
      <c r="K13">
        <v>105.5</v>
      </c>
      <c r="L13" t="s">
        <v>59</v>
      </c>
      <c r="M13">
        <f t="shared" si="0"/>
        <v>228</v>
      </c>
      <c r="N13">
        <f t="shared" si="1"/>
        <v>17</v>
      </c>
      <c r="O13" t="str">
        <f t="shared" si="6"/>
        <v>Clay/Ryan</v>
      </c>
      <c r="P13" t="str">
        <f t="shared" si="7"/>
        <v>Eric/Blake</v>
      </c>
      <c r="Q13">
        <f t="shared" si="8"/>
        <v>122.5</v>
      </c>
      <c r="R13">
        <f t="shared" si="9"/>
        <v>105.5</v>
      </c>
    </row>
    <row r="14" spans="1:18" x14ac:dyDescent="0.3">
      <c r="A14">
        <v>13</v>
      </c>
      <c r="B14">
        <f t="shared" si="2"/>
        <v>47</v>
      </c>
      <c r="C14">
        <f t="shared" si="3"/>
        <v>66</v>
      </c>
      <c r="D14">
        <f t="shared" si="4"/>
        <v>66</v>
      </c>
      <c r="E14">
        <f t="shared" si="5"/>
        <v>57</v>
      </c>
      <c r="F14">
        <v>2014</v>
      </c>
      <c r="G14">
        <v>16</v>
      </c>
      <c r="H14" t="s">
        <v>35</v>
      </c>
      <c r="I14">
        <v>105</v>
      </c>
      <c r="J14" t="s">
        <v>31</v>
      </c>
      <c r="K14">
        <v>89</v>
      </c>
      <c r="L14" t="s">
        <v>91</v>
      </c>
      <c r="M14">
        <f t="shared" si="0"/>
        <v>194</v>
      </c>
      <c r="N14">
        <f t="shared" si="1"/>
        <v>16</v>
      </c>
      <c r="O14" t="str">
        <f t="shared" si="6"/>
        <v>Clay/Ryan</v>
      </c>
      <c r="P14" t="str">
        <f t="shared" si="7"/>
        <v>Pat/Tucker</v>
      </c>
      <c r="Q14">
        <f t="shared" si="8"/>
        <v>105</v>
      </c>
      <c r="R14">
        <f t="shared" si="9"/>
        <v>89</v>
      </c>
    </row>
    <row r="15" spans="1:18" x14ac:dyDescent="0.3">
      <c r="A15">
        <v>14</v>
      </c>
      <c r="B15">
        <f t="shared" si="2"/>
        <v>15</v>
      </c>
      <c r="C15">
        <f t="shared" si="3"/>
        <v>59</v>
      </c>
      <c r="D15">
        <f t="shared" si="4"/>
        <v>46</v>
      </c>
      <c r="E15">
        <f t="shared" si="5"/>
        <v>66</v>
      </c>
      <c r="F15">
        <v>2014</v>
      </c>
      <c r="G15">
        <v>16</v>
      </c>
      <c r="H15" t="s">
        <v>33</v>
      </c>
      <c r="I15">
        <v>82.5</v>
      </c>
      <c r="J15" t="s">
        <v>34</v>
      </c>
      <c r="K15">
        <v>127</v>
      </c>
      <c r="L15" t="s">
        <v>92</v>
      </c>
      <c r="M15">
        <f t="shared" si="0"/>
        <v>209.5</v>
      </c>
      <c r="N15">
        <f t="shared" si="1"/>
        <v>44.5</v>
      </c>
      <c r="O15" t="str">
        <f t="shared" si="6"/>
        <v>Eric/Blake</v>
      </c>
      <c r="P15" t="str">
        <f t="shared" si="7"/>
        <v>Trent/Colin</v>
      </c>
      <c r="Q15">
        <f t="shared" si="8"/>
        <v>127</v>
      </c>
      <c r="R15">
        <f t="shared" si="9"/>
        <v>82.5</v>
      </c>
    </row>
    <row r="16" spans="1:18" x14ac:dyDescent="0.3">
      <c r="A16">
        <v>15</v>
      </c>
      <c r="B16">
        <f t="shared" si="2"/>
        <v>40</v>
      </c>
      <c r="C16">
        <f t="shared" si="3"/>
        <v>37</v>
      </c>
      <c r="D16">
        <f t="shared" si="4"/>
        <v>45</v>
      </c>
      <c r="E16">
        <f t="shared" si="5"/>
        <v>30</v>
      </c>
      <c r="F16">
        <v>2015</v>
      </c>
      <c r="G16">
        <v>14</v>
      </c>
      <c r="H16" t="s">
        <v>33</v>
      </c>
      <c r="I16">
        <v>106</v>
      </c>
      <c r="J16" t="s">
        <v>37</v>
      </c>
      <c r="K16">
        <v>128</v>
      </c>
      <c r="L16" t="s">
        <v>90</v>
      </c>
      <c r="M16">
        <f t="shared" si="0"/>
        <v>234</v>
      </c>
      <c r="N16">
        <f t="shared" si="1"/>
        <v>22</v>
      </c>
      <c r="O16" t="str">
        <f t="shared" si="6"/>
        <v>Drew/Cam</v>
      </c>
      <c r="P16" t="str">
        <f t="shared" si="7"/>
        <v>Trent/Colin</v>
      </c>
      <c r="Q16">
        <f t="shared" si="8"/>
        <v>128</v>
      </c>
      <c r="R16">
        <f t="shared" si="9"/>
        <v>106</v>
      </c>
    </row>
    <row r="17" spans="1:18" x14ac:dyDescent="0.3">
      <c r="A17">
        <v>16</v>
      </c>
      <c r="B17">
        <f t="shared" si="2"/>
        <v>3</v>
      </c>
      <c r="C17">
        <f t="shared" si="3"/>
        <v>64</v>
      </c>
      <c r="D17">
        <f t="shared" si="4"/>
        <v>23</v>
      </c>
      <c r="E17">
        <f t="shared" si="5"/>
        <v>79</v>
      </c>
      <c r="F17">
        <v>2015</v>
      </c>
      <c r="G17">
        <v>14</v>
      </c>
      <c r="H17" t="s">
        <v>32</v>
      </c>
      <c r="I17">
        <v>138</v>
      </c>
      <c r="J17" t="s">
        <v>36</v>
      </c>
      <c r="K17">
        <v>57</v>
      </c>
      <c r="L17" t="s">
        <v>90</v>
      </c>
      <c r="M17">
        <f t="shared" si="0"/>
        <v>195</v>
      </c>
      <c r="N17">
        <f t="shared" si="1"/>
        <v>81</v>
      </c>
      <c r="O17" t="str">
        <f t="shared" si="6"/>
        <v>Brian/Travis</v>
      </c>
      <c r="P17" t="str">
        <f t="shared" si="7"/>
        <v>Walker/Cory</v>
      </c>
      <c r="Q17">
        <f t="shared" si="8"/>
        <v>138</v>
      </c>
      <c r="R17">
        <f t="shared" si="9"/>
        <v>57</v>
      </c>
    </row>
    <row r="18" spans="1:18" x14ac:dyDescent="0.3">
      <c r="A18">
        <v>17</v>
      </c>
      <c r="B18">
        <f t="shared" si="2"/>
        <v>35</v>
      </c>
      <c r="C18">
        <f t="shared" si="3"/>
        <v>4</v>
      </c>
      <c r="D18">
        <f t="shared" si="4"/>
        <v>6</v>
      </c>
      <c r="E18">
        <f t="shared" si="5"/>
        <v>5</v>
      </c>
      <c r="F18">
        <v>2015</v>
      </c>
      <c r="G18">
        <v>15</v>
      </c>
      <c r="H18" t="s">
        <v>30</v>
      </c>
      <c r="I18">
        <v>138.5</v>
      </c>
      <c r="J18" t="s">
        <v>37</v>
      </c>
      <c r="K18">
        <v>164.5</v>
      </c>
      <c r="L18" t="s">
        <v>59</v>
      </c>
      <c r="M18">
        <f t="shared" si="0"/>
        <v>303</v>
      </c>
      <c r="N18">
        <f t="shared" si="1"/>
        <v>26</v>
      </c>
      <c r="O18" t="str">
        <f t="shared" si="6"/>
        <v>Drew/Cam</v>
      </c>
      <c r="P18" t="str">
        <f t="shared" si="7"/>
        <v>Dave/Nolan</v>
      </c>
      <c r="Q18">
        <f t="shared" si="8"/>
        <v>164.5</v>
      </c>
      <c r="R18">
        <f t="shared" si="9"/>
        <v>138.5</v>
      </c>
    </row>
    <row r="19" spans="1:18" x14ac:dyDescent="0.3">
      <c r="A19">
        <v>18</v>
      </c>
      <c r="B19">
        <f t="shared" si="2"/>
        <v>68</v>
      </c>
      <c r="C19">
        <f t="shared" si="3"/>
        <v>31</v>
      </c>
      <c r="D19">
        <f t="shared" si="4"/>
        <v>53</v>
      </c>
      <c r="E19">
        <f t="shared" si="5"/>
        <v>22</v>
      </c>
      <c r="F19">
        <v>2015</v>
      </c>
      <c r="G19">
        <v>15</v>
      </c>
      <c r="H19" t="s">
        <v>34</v>
      </c>
      <c r="I19">
        <v>123</v>
      </c>
      <c r="J19" t="s">
        <v>32</v>
      </c>
      <c r="K19">
        <v>117.5</v>
      </c>
      <c r="L19" t="s">
        <v>59</v>
      </c>
      <c r="M19">
        <f t="shared" si="0"/>
        <v>240.5</v>
      </c>
      <c r="N19">
        <f t="shared" si="1"/>
        <v>5.5</v>
      </c>
      <c r="O19" t="str">
        <f t="shared" si="6"/>
        <v>Eric/Blake</v>
      </c>
      <c r="P19" t="str">
        <f t="shared" si="7"/>
        <v>Brian/Travis</v>
      </c>
      <c r="Q19">
        <f t="shared" si="8"/>
        <v>123</v>
      </c>
      <c r="R19">
        <f t="shared" si="9"/>
        <v>117.5</v>
      </c>
    </row>
    <row r="20" spans="1:18" x14ac:dyDescent="0.3">
      <c r="A20">
        <v>19</v>
      </c>
      <c r="B20">
        <f t="shared" si="2"/>
        <v>52</v>
      </c>
      <c r="C20">
        <f t="shared" si="3"/>
        <v>12</v>
      </c>
      <c r="D20">
        <f t="shared" si="4"/>
        <v>20</v>
      </c>
      <c r="E20">
        <f t="shared" si="5"/>
        <v>11</v>
      </c>
      <c r="F20">
        <v>2015</v>
      </c>
      <c r="G20">
        <v>16</v>
      </c>
      <c r="H20" t="s">
        <v>34</v>
      </c>
      <c r="I20">
        <v>141</v>
      </c>
      <c r="J20" t="s">
        <v>37</v>
      </c>
      <c r="K20">
        <v>128</v>
      </c>
      <c r="L20" t="s">
        <v>91</v>
      </c>
      <c r="M20">
        <f t="shared" si="0"/>
        <v>269</v>
      </c>
      <c r="N20">
        <f t="shared" si="1"/>
        <v>13</v>
      </c>
      <c r="O20" t="str">
        <f t="shared" si="6"/>
        <v>Eric/Blake</v>
      </c>
      <c r="P20" t="str">
        <f t="shared" si="7"/>
        <v>Drew/Cam</v>
      </c>
      <c r="Q20">
        <f t="shared" si="8"/>
        <v>141</v>
      </c>
      <c r="R20">
        <f t="shared" si="9"/>
        <v>128</v>
      </c>
    </row>
    <row r="21" spans="1:18" x14ac:dyDescent="0.3">
      <c r="A21">
        <v>20</v>
      </c>
      <c r="B21">
        <f t="shared" si="2"/>
        <v>69</v>
      </c>
      <c r="C21">
        <f t="shared" si="3"/>
        <v>69</v>
      </c>
      <c r="D21">
        <f t="shared" si="4"/>
        <v>72</v>
      </c>
      <c r="E21">
        <f t="shared" si="5"/>
        <v>53</v>
      </c>
      <c r="F21">
        <v>2015</v>
      </c>
      <c r="G21">
        <v>16</v>
      </c>
      <c r="H21" t="s">
        <v>30</v>
      </c>
      <c r="I21">
        <v>97</v>
      </c>
      <c r="J21" t="s">
        <v>32</v>
      </c>
      <c r="K21">
        <v>92</v>
      </c>
      <c r="L21" t="s">
        <v>92</v>
      </c>
      <c r="M21">
        <f t="shared" si="0"/>
        <v>189</v>
      </c>
      <c r="N21">
        <f t="shared" si="1"/>
        <v>5</v>
      </c>
      <c r="O21" t="str">
        <f t="shared" si="6"/>
        <v>Dave/Nolan</v>
      </c>
      <c r="P21" t="str">
        <f t="shared" si="7"/>
        <v>Brian/Travis</v>
      </c>
      <c r="Q21">
        <f t="shared" si="8"/>
        <v>97</v>
      </c>
      <c r="R21">
        <f t="shared" si="9"/>
        <v>92</v>
      </c>
    </row>
    <row r="22" spans="1:18" x14ac:dyDescent="0.3">
      <c r="A22">
        <v>21</v>
      </c>
      <c r="B22">
        <f t="shared" si="2"/>
        <v>55</v>
      </c>
      <c r="C22">
        <f t="shared" si="3"/>
        <v>55</v>
      </c>
      <c r="D22">
        <f t="shared" si="4"/>
        <v>62</v>
      </c>
      <c r="E22">
        <f t="shared" si="5"/>
        <v>40</v>
      </c>
      <c r="F22">
        <v>2016</v>
      </c>
      <c r="G22">
        <v>14</v>
      </c>
      <c r="H22" t="s">
        <v>34</v>
      </c>
      <c r="I22">
        <v>114</v>
      </c>
      <c r="J22" t="s">
        <v>36</v>
      </c>
      <c r="K22">
        <v>102</v>
      </c>
      <c r="L22" t="s">
        <v>90</v>
      </c>
      <c r="M22">
        <f t="shared" si="0"/>
        <v>216</v>
      </c>
      <c r="N22">
        <f t="shared" si="1"/>
        <v>12</v>
      </c>
      <c r="O22" t="str">
        <f t="shared" si="6"/>
        <v>Eric/Blake</v>
      </c>
      <c r="P22" t="str">
        <f t="shared" si="7"/>
        <v>Walker/Cory</v>
      </c>
      <c r="Q22">
        <f t="shared" si="8"/>
        <v>114</v>
      </c>
      <c r="R22">
        <f t="shared" si="9"/>
        <v>102</v>
      </c>
    </row>
    <row r="23" spans="1:18" x14ac:dyDescent="0.3">
      <c r="A23">
        <v>22</v>
      </c>
      <c r="B23">
        <f t="shared" si="2"/>
        <v>18</v>
      </c>
      <c r="C23">
        <f t="shared" si="3"/>
        <v>68</v>
      </c>
      <c r="D23">
        <f t="shared" si="4"/>
        <v>62</v>
      </c>
      <c r="E23">
        <f t="shared" si="5"/>
        <v>71</v>
      </c>
      <c r="F23">
        <v>2016</v>
      </c>
      <c r="G23">
        <v>14</v>
      </c>
      <c r="H23" t="s">
        <v>35</v>
      </c>
      <c r="I23">
        <v>114</v>
      </c>
      <c r="J23" t="s">
        <v>29</v>
      </c>
      <c r="K23">
        <v>75.5</v>
      </c>
      <c r="L23" t="s">
        <v>90</v>
      </c>
      <c r="M23">
        <f t="shared" si="0"/>
        <v>189.5</v>
      </c>
      <c r="N23">
        <f t="shared" si="1"/>
        <v>38.5</v>
      </c>
      <c r="O23" t="str">
        <f t="shared" si="6"/>
        <v>Clay/Ryan</v>
      </c>
      <c r="P23" t="str">
        <f t="shared" si="7"/>
        <v>Graham/Michael</v>
      </c>
      <c r="Q23">
        <f t="shared" si="8"/>
        <v>114</v>
      </c>
      <c r="R23">
        <f t="shared" si="9"/>
        <v>75.5</v>
      </c>
    </row>
    <row r="24" spans="1:18" x14ac:dyDescent="0.3">
      <c r="A24">
        <v>23</v>
      </c>
      <c r="B24">
        <f t="shared" si="2"/>
        <v>13</v>
      </c>
      <c r="C24">
        <f t="shared" si="3"/>
        <v>64</v>
      </c>
      <c r="D24">
        <f t="shared" si="4"/>
        <v>58</v>
      </c>
      <c r="E24">
        <f t="shared" si="5"/>
        <v>73</v>
      </c>
      <c r="F24">
        <v>2016</v>
      </c>
      <c r="G24">
        <v>15</v>
      </c>
      <c r="H24" t="s">
        <v>33</v>
      </c>
      <c r="I24">
        <v>121</v>
      </c>
      <c r="J24" t="s">
        <v>35</v>
      </c>
      <c r="K24">
        <v>74</v>
      </c>
      <c r="L24" t="s">
        <v>59</v>
      </c>
      <c r="M24">
        <f t="shared" si="0"/>
        <v>195</v>
      </c>
      <c r="N24">
        <f t="shared" si="1"/>
        <v>47</v>
      </c>
      <c r="O24" t="str">
        <f t="shared" si="6"/>
        <v>Trent/Colin</v>
      </c>
      <c r="P24" t="str">
        <f t="shared" si="7"/>
        <v>Clay/Ryan</v>
      </c>
      <c r="Q24">
        <f t="shared" si="8"/>
        <v>121</v>
      </c>
      <c r="R24">
        <f t="shared" si="9"/>
        <v>74</v>
      </c>
    </row>
    <row r="25" spans="1:18" x14ac:dyDescent="0.3">
      <c r="A25">
        <v>24</v>
      </c>
      <c r="B25">
        <f t="shared" si="2"/>
        <v>18</v>
      </c>
      <c r="C25">
        <f t="shared" si="3"/>
        <v>34</v>
      </c>
      <c r="D25">
        <f t="shared" si="4"/>
        <v>23</v>
      </c>
      <c r="E25">
        <f t="shared" si="5"/>
        <v>42</v>
      </c>
      <c r="F25">
        <v>2016</v>
      </c>
      <c r="G25">
        <v>15</v>
      </c>
      <c r="H25" t="s">
        <v>30</v>
      </c>
      <c r="I25">
        <v>138</v>
      </c>
      <c r="J25" t="s">
        <v>34</v>
      </c>
      <c r="K25">
        <v>99.5</v>
      </c>
      <c r="L25" t="s">
        <v>59</v>
      </c>
      <c r="M25">
        <f t="shared" si="0"/>
        <v>237.5</v>
      </c>
      <c r="N25">
        <f t="shared" si="1"/>
        <v>38.5</v>
      </c>
      <c r="O25" t="str">
        <f t="shared" si="6"/>
        <v>Dave/Nolan</v>
      </c>
      <c r="P25" t="str">
        <f t="shared" si="7"/>
        <v>Eric/Blake</v>
      </c>
      <c r="Q25">
        <f t="shared" si="8"/>
        <v>138</v>
      </c>
      <c r="R25">
        <f t="shared" si="9"/>
        <v>99.5</v>
      </c>
    </row>
    <row r="26" spans="1:18" x14ac:dyDescent="0.3">
      <c r="A26">
        <v>25</v>
      </c>
      <c r="B26">
        <f t="shared" si="2"/>
        <v>73</v>
      </c>
      <c r="C26">
        <f t="shared" si="3"/>
        <v>32</v>
      </c>
      <c r="D26">
        <f t="shared" si="4"/>
        <v>56</v>
      </c>
      <c r="E26">
        <f t="shared" si="5"/>
        <v>21</v>
      </c>
      <c r="F26">
        <v>2016</v>
      </c>
      <c r="G26">
        <v>16</v>
      </c>
      <c r="H26" t="s">
        <v>34</v>
      </c>
      <c r="I26">
        <v>118</v>
      </c>
      <c r="J26" t="s">
        <v>35</v>
      </c>
      <c r="K26">
        <v>122</v>
      </c>
      <c r="L26" t="s">
        <v>92</v>
      </c>
      <c r="M26">
        <f t="shared" si="0"/>
        <v>240</v>
      </c>
      <c r="N26">
        <f t="shared" si="1"/>
        <v>4</v>
      </c>
      <c r="O26" t="str">
        <f t="shared" si="6"/>
        <v>Clay/Ryan</v>
      </c>
      <c r="P26" t="str">
        <f t="shared" si="7"/>
        <v>Eric/Blake</v>
      </c>
      <c r="Q26">
        <f t="shared" si="8"/>
        <v>122</v>
      </c>
      <c r="R26">
        <f t="shared" si="9"/>
        <v>118</v>
      </c>
    </row>
    <row r="27" spans="1:18" x14ac:dyDescent="0.3">
      <c r="A27">
        <v>26</v>
      </c>
      <c r="B27">
        <f t="shared" si="2"/>
        <v>46</v>
      </c>
      <c r="C27">
        <f t="shared" si="3"/>
        <v>44</v>
      </c>
      <c r="D27">
        <f t="shared" si="4"/>
        <v>56</v>
      </c>
      <c r="E27">
        <f t="shared" si="5"/>
        <v>31</v>
      </c>
      <c r="F27">
        <v>2016</v>
      </c>
      <c r="G27">
        <v>16</v>
      </c>
      <c r="H27" t="s">
        <v>33</v>
      </c>
      <c r="I27">
        <v>122</v>
      </c>
      <c r="J27" t="s">
        <v>30</v>
      </c>
      <c r="K27">
        <v>105.5</v>
      </c>
      <c r="L27" t="s">
        <v>91</v>
      </c>
      <c r="M27">
        <f t="shared" si="0"/>
        <v>227.5</v>
      </c>
      <c r="N27">
        <f t="shared" si="1"/>
        <v>16.5</v>
      </c>
      <c r="O27" t="str">
        <f t="shared" si="6"/>
        <v>Trent/Colin</v>
      </c>
      <c r="P27" t="str">
        <f t="shared" si="7"/>
        <v>Dave/Nolan</v>
      </c>
      <c r="Q27">
        <f t="shared" si="8"/>
        <v>122</v>
      </c>
      <c r="R27">
        <f t="shared" si="9"/>
        <v>105.5</v>
      </c>
    </row>
    <row r="28" spans="1:18" x14ac:dyDescent="0.3">
      <c r="A28">
        <v>27</v>
      </c>
      <c r="B28">
        <f t="shared" si="2"/>
        <v>43</v>
      </c>
      <c r="C28">
        <f t="shared" si="3"/>
        <v>79</v>
      </c>
      <c r="D28">
        <f t="shared" si="4"/>
        <v>77</v>
      </c>
      <c r="E28">
        <f t="shared" si="5"/>
        <v>76</v>
      </c>
      <c r="F28">
        <v>2017</v>
      </c>
      <c r="G28">
        <v>14</v>
      </c>
      <c r="H28" t="s">
        <v>35</v>
      </c>
      <c r="I28">
        <v>67.5</v>
      </c>
      <c r="J28" t="s">
        <v>34</v>
      </c>
      <c r="K28">
        <v>87</v>
      </c>
      <c r="L28" t="s">
        <v>90</v>
      </c>
      <c r="M28">
        <f t="shared" si="0"/>
        <v>154.5</v>
      </c>
      <c r="N28">
        <f t="shared" si="1"/>
        <v>19.5</v>
      </c>
      <c r="O28" t="str">
        <f t="shared" si="6"/>
        <v>Eric/Blake</v>
      </c>
      <c r="P28" t="str">
        <f t="shared" si="7"/>
        <v>Clay/Ryan</v>
      </c>
      <c r="Q28">
        <f t="shared" si="8"/>
        <v>87</v>
      </c>
      <c r="R28">
        <f t="shared" si="9"/>
        <v>67.5</v>
      </c>
    </row>
    <row r="29" spans="1:18" x14ac:dyDescent="0.3">
      <c r="A29">
        <v>28</v>
      </c>
      <c r="B29">
        <f t="shared" si="2"/>
        <v>41</v>
      </c>
      <c r="C29">
        <f t="shared" si="3"/>
        <v>46</v>
      </c>
      <c r="D29">
        <f t="shared" si="4"/>
        <v>51</v>
      </c>
      <c r="E29">
        <f t="shared" si="5"/>
        <v>38</v>
      </c>
      <c r="F29">
        <v>2017</v>
      </c>
      <c r="G29">
        <v>14</v>
      </c>
      <c r="H29" t="s">
        <v>38</v>
      </c>
      <c r="I29">
        <v>124</v>
      </c>
      <c r="J29" t="s">
        <v>32</v>
      </c>
      <c r="K29">
        <v>102.5</v>
      </c>
      <c r="L29" t="s">
        <v>90</v>
      </c>
      <c r="M29">
        <f t="shared" si="0"/>
        <v>226.5</v>
      </c>
      <c r="N29">
        <f t="shared" si="1"/>
        <v>21.5</v>
      </c>
      <c r="O29" t="str">
        <f t="shared" si="6"/>
        <v>David/Marshall</v>
      </c>
      <c r="P29" t="str">
        <f t="shared" si="7"/>
        <v>Brian/Travis</v>
      </c>
      <c r="Q29">
        <f t="shared" si="8"/>
        <v>124</v>
      </c>
      <c r="R29">
        <f t="shared" si="9"/>
        <v>102.5</v>
      </c>
    </row>
    <row r="30" spans="1:18" x14ac:dyDescent="0.3">
      <c r="A30">
        <v>29</v>
      </c>
      <c r="B30">
        <f t="shared" si="2"/>
        <v>49</v>
      </c>
      <c r="C30">
        <f t="shared" si="3"/>
        <v>21</v>
      </c>
      <c r="D30">
        <f t="shared" si="4"/>
        <v>32</v>
      </c>
      <c r="E30">
        <f t="shared" si="5"/>
        <v>20</v>
      </c>
      <c r="F30">
        <v>2017</v>
      </c>
      <c r="G30">
        <v>15</v>
      </c>
      <c r="H30" t="s">
        <v>37</v>
      </c>
      <c r="I30">
        <v>118.5</v>
      </c>
      <c r="J30" t="s">
        <v>34</v>
      </c>
      <c r="K30">
        <v>133</v>
      </c>
      <c r="L30" t="s">
        <v>59</v>
      </c>
      <c r="M30">
        <f t="shared" si="0"/>
        <v>251.5</v>
      </c>
      <c r="N30">
        <f t="shared" si="1"/>
        <v>14.5</v>
      </c>
      <c r="O30" t="str">
        <f t="shared" si="6"/>
        <v>Eric/Blake</v>
      </c>
      <c r="P30" t="str">
        <f t="shared" si="7"/>
        <v>Drew/Cam</v>
      </c>
      <c r="Q30">
        <f t="shared" si="8"/>
        <v>133</v>
      </c>
      <c r="R30">
        <f t="shared" si="9"/>
        <v>118.5</v>
      </c>
    </row>
    <row r="31" spans="1:18" x14ac:dyDescent="0.3">
      <c r="A31">
        <v>30</v>
      </c>
      <c r="B31">
        <f t="shared" si="2"/>
        <v>52</v>
      </c>
      <c r="C31">
        <f t="shared" si="3"/>
        <v>50</v>
      </c>
      <c r="D31">
        <f t="shared" si="4"/>
        <v>61</v>
      </c>
      <c r="E31">
        <f t="shared" si="5"/>
        <v>37</v>
      </c>
      <c r="F31">
        <v>2017</v>
      </c>
      <c r="G31">
        <v>15</v>
      </c>
      <c r="H31" t="s">
        <v>31</v>
      </c>
      <c r="I31">
        <v>116.5</v>
      </c>
      <c r="J31" t="s">
        <v>38</v>
      </c>
      <c r="K31">
        <v>103.5</v>
      </c>
      <c r="L31" t="s">
        <v>59</v>
      </c>
      <c r="M31">
        <f t="shared" si="0"/>
        <v>220</v>
      </c>
      <c r="N31">
        <f t="shared" si="1"/>
        <v>13</v>
      </c>
      <c r="O31" t="str">
        <f t="shared" si="6"/>
        <v>Pat/Tucker</v>
      </c>
      <c r="P31" t="str">
        <f t="shared" si="7"/>
        <v>David/Marshall</v>
      </c>
      <c r="Q31">
        <f t="shared" si="8"/>
        <v>116.5</v>
      </c>
      <c r="R31">
        <f t="shared" si="9"/>
        <v>103.5</v>
      </c>
    </row>
    <row r="32" spans="1:18" x14ac:dyDescent="0.3">
      <c r="A32">
        <v>31</v>
      </c>
      <c r="B32">
        <f t="shared" si="2"/>
        <v>22</v>
      </c>
      <c r="C32">
        <f t="shared" si="3"/>
        <v>55</v>
      </c>
      <c r="D32">
        <f t="shared" si="4"/>
        <v>47</v>
      </c>
      <c r="E32">
        <f t="shared" si="5"/>
        <v>54</v>
      </c>
      <c r="F32">
        <v>2017</v>
      </c>
      <c r="G32">
        <v>16</v>
      </c>
      <c r="H32" t="s">
        <v>31</v>
      </c>
      <c r="I32">
        <v>126</v>
      </c>
      <c r="J32" t="s">
        <v>34</v>
      </c>
      <c r="K32">
        <v>90</v>
      </c>
      <c r="L32" t="s">
        <v>91</v>
      </c>
      <c r="M32">
        <f t="shared" si="0"/>
        <v>216</v>
      </c>
      <c r="N32">
        <f t="shared" si="1"/>
        <v>36</v>
      </c>
      <c r="O32" t="str">
        <f t="shared" si="6"/>
        <v>Pat/Tucker</v>
      </c>
      <c r="P32" t="str">
        <f t="shared" si="7"/>
        <v>Eric/Blake</v>
      </c>
      <c r="Q32">
        <f t="shared" si="8"/>
        <v>126</v>
      </c>
      <c r="R32">
        <f t="shared" si="9"/>
        <v>90</v>
      </c>
    </row>
    <row r="33" spans="1:18" x14ac:dyDescent="0.3">
      <c r="A33">
        <v>32</v>
      </c>
      <c r="B33">
        <f t="shared" si="2"/>
        <v>66</v>
      </c>
      <c r="C33">
        <f t="shared" si="3"/>
        <v>66</v>
      </c>
      <c r="D33">
        <f t="shared" si="4"/>
        <v>69</v>
      </c>
      <c r="E33">
        <f t="shared" si="5"/>
        <v>52</v>
      </c>
      <c r="F33">
        <v>2017</v>
      </c>
      <c r="G33">
        <v>16</v>
      </c>
      <c r="H33" t="s">
        <v>37</v>
      </c>
      <c r="I33">
        <v>100.5</v>
      </c>
      <c r="J33" t="s">
        <v>38</v>
      </c>
      <c r="K33">
        <v>93.5</v>
      </c>
      <c r="L33" t="s">
        <v>92</v>
      </c>
      <c r="M33">
        <f t="shared" si="0"/>
        <v>194</v>
      </c>
      <c r="N33">
        <f t="shared" si="1"/>
        <v>7</v>
      </c>
      <c r="O33" t="str">
        <f t="shared" si="6"/>
        <v>Drew/Cam</v>
      </c>
      <c r="P33" t="str">
        <f t="shared" si="7"/>
        <v>David/Marshall</v>
      </c>
      <c r="Q33">
        <f t="shared" si="8"/>
        <v>100.5</v>
      </c>
      <c r="R33">
        <f t="shared" si="9"/>
        <v>93.5</v>
      </c>
    </row>
    <row r="34" spans="1:18" x14ac:dyDescent="0.3">
      <c r="A34">
        <v>33</v>
      </c>
      <c r="B34">
        <f t="shared" si="2"/>
        <v>25</v>
      </c>
      <c r="C34">
        <f t="shared" si="3"/>
        <v>24</v>
      </c>
      <c r="D34">
        <f t="shared" si="4"/>
        <v>19</v>
      </c>
      <c r="E34">
        <f t="shared" si="5"/>
        <v>28</v>
      </c>
      <c r="F34">
        <v>2018</v>
      </c>
      <c r="G34">
        <v>14</v>
      </c>
      <c r="H34" t="s">
        <v>33</v>
      </c>
      <c r="I34">
        <v>141.5</v>
      </c>
      <c r="J34" t="s">
        <v>32</v>
      </c>
      <c r="K34">
        <v>106.8</v>
      </c>
      <c r="L34" t="s">
        <v>90</v>
      </c>
      <c r="M34">
        <f t="shared" ref="M34:M63" si="10">SUM(I34,K34)</f>
        <v>248.3</v>
      </c>
      <c r="N34">
        <f t="shared" ref="N34:N63" si="11">ABS(I34-K34)</f>
        <v>34.700000000000003</v>
      </c>
      <c r="O34" t="str">
        <f t="shared" si="6"/>
        <v>Trent/Colin</v>
      </c>
      <c r="P34" t="str">
        <f t="shared" si="7"/>
        <v>Brian/Travis</v>
      </c>
      <c r="Q34">
        <f t="shared" si="8"/>
        <v>141.5</v>
      </c>
      <c r="R34">
        <f t="shared" si="9"/>
        <v>106.8</v>
      </c>
    </row>
    <row r="35" spans="1:18" x14ac:dyDescent="0.3">
      <c r="A35">
        <v>34</v>
      </c>
      <c r="B35">
        <f t="shared" si="2"/>
        <v>30</v>
      </c>
      <c r="C35">
        <f t="shared" si="3"/>
        <v>60</v>
      </c>
      <c r="D35">
        <f t="shared" si="4"/>
        <v>60</v>
      </c>
      <c r="E35">
        <f t="shared" si="5"/>
        <v>55</v>
      </c>
      <c r="F35">
        <v>2018</v>
      </c>
      <c r="G35">
        <v>14</v>
      </c>
      <c r="H35" t="s">
        <v>29</v>
      </c>
      <c r="I35">
        <v>118.42</v>
      </c>
      <c r="J35" t="s">
        <v>36</v>
      </c>
      <c r="K35">
        <v>89.54</v>
      </c>
      <c r="L35" t="s">
        <v>90</v>
      </c>
      <c r="M35">
        <f t="shared" si="10"/>
        <v>207.96</v>
      </c>
      <c r="N35">
        <f t="shared" si="11"/>
        <v>28.879999999999995</v>
      </c>
      <c r="O35" t="str">
        <f t="shared" si="6"/>
        <v>Graham/Michael</v>
      </c>
      <c r="P35" t="str">
        <f t="shared" si="7"/>
        <v>Walker/Cory</v>
      </c>
      <c r="Q35">
        <f t="shared" si="8"/>
        <v>118.42</v>
      </c>
      <c r="R35">
        <f t="shared" si="9"/>
        <v>89.54</v>
      </c>
    </row>
    <row r="36" spans="1:18" x14ac:dyDescent="0.3">
      <c r="A36">
        <v>35</v>
      </c>
      <c r="B36">
        <f t="shared" si="2"/>
        <v>56</v>
      </c>
      <c r="C36">
        <f t="shared" si="3"/>
        <v>80</v>
      </c>
      <c r="D36">
        <f t="shared" si="4"/>
        <v>80</v>
      </c>
      <c r="E36">
        <f t="shared" si="5"/>
        <v>77</v>
      </c>
      <c r="F36">
        <v>2018</v>
      </c>
      <c r="G36">
        <v>15</v>
      </c>
      <c r="H36" t="s">
        <v>37</v>
      </c>
      <c r="I36">
        <v>76.64</v>
      </c>
      <c r="J36" t="s">
        <v>33</v>
      </c>
      <c r="K36">
        <v>64.739999999999995</v>
      </c>
      <c r="L36" t="s">
        <v>59</v>
      </c>
      <c r="M36">
        <f t="shared" si="10"/>
        <v>141.38</v>
      </c>
      <c r="N36">
        <f t="shared" si="11"/>
        <v>11.900000000000006</v>
      </c>
      <c r="O36" t="str">
        <f t="shared" si="6"/>
        <v>Drew/Cam</v>
      </c>
      <c r="P36" t="str">
        <f t="shared" si="7"/>
        <v>Trent/Colin</v>
      </c>
      <c r="Q36">
        <f t="shared" si="8"/>
        <v>76.64</v>
      </c>
      <c r="R36">
        <f t="shared" si="9"/>
        <v>64.739999999999995</v>
      </c>
    </row>
    <row r="37" spans="1:18" x14ac:dyDescent="0.3">
      <c r="A37">
        <v>36</v>
      </c>
      <c r="B37">
        <f t="shared" si="2"/>
        <v>38</v>
      </c>
      <c r="C37">
        <f t="shared" si="3"/>
        <v>38</v>
      </c>
      <c r="D37">
        <f t="shared" si="4"/>
        <v>42</v>
      </c>
      <c r="E37">
        <f t="shared" si="5"/>
        <v>34</v>
      </c>
      <c r="F37">
        <v>2018</v>
      </c>
      <c r="G37">
        <v>15</v>
      </c>
      <c r="H37" t="s">
        <v>34</v>
      </c>
      <c r="I37">
        <v>104.32</v>
      </c>
      <c r="J37" t="s">
        <v>29</v>
      </c>
      <c r="K37">
        <v>129.5</v>
      </c>
      <c r="L37" t="s">
        <v>59</v>
      </c>
      <c r="M37">
        <f t="shared" si="10"/>
        <v>233.82</v>
      </c>
      <c r="N37">
        <f t="shared" si="11"/>
        <v>25.180000000000007</v>
      </c>
      <c r="O37" t="str">
        <f t="shared" si="6"/>
        <v>Graham/Michael</v>
      </c>
      <c r="P37" t="str">
        <f t="shared" si="7"/>
        <v>Eric/Blake</v>
      </c>
      <c r="Q37">
        <f t="shared" si="8"/>
        <v>129.5</v>
      </c>
      <c r="R37">
        <f t="shared" si="9"/>
        <v>104.32</v>
      </c>
    </row>
    <row r="38" spans="1:18" x14ac:dyDescent="0.3">
      <c r="A38">
        <v>37</v>
      </c>
      <c r="B38">
        <f t="shared" si="2"/>
        <v>14</v>
      </c>
      <c r="C38">
        <f t="shared" si="3"/>
        <v>48</v>
      </c>
      <c r="D38">
        <f t="shared" si="4"/>
        <v>27</v>
      </c>
      <c r="E38">
        <f t="shared" si="5"/>
        <v>56</v>
      </c>
      <c r="F38">
        <v>2018</v>
      </c>
      <c r="G38">
        <v>16</v>
      </c>
      <c r="H38" t="s">
        <v>34</v>
      </c>
      <c r="I38">
        <v>135.72</v>
      </c>
      <c r="J38" t="s">
        <v>33</v>
      </c>
      <c r="K38">
        <v>89.24</v>
      </c>
      <c r="L38" t="s">
        <v>92</v>
      </c>
      <c r="M38">
        <f t="shared" si="10"/>
        <v>224.95999999999998</v>
      </c>
      <c r="N38">
        <f t="shared" si="11"/>
        <v>46.480000000000004</v>
      </c>
      <c r="O38" t="str">
        <f t="shared" si="6"/>
        <v>Eric/Blake</v>
      </c>
      <c r="P38" t="str">
        <f t="shared" si="7"/>
        <v>Trent/Colin</v>
      </c>
      <c r="Q38">
        <f t="shared" si="8"/>
        <v>135.72</v>
      </c>
      <c r="R38">
        <f t="shared" si="9"/>
        <v>89.24</v>
      </c>
    </row>
    <row r="39" spans="1:18" x14ac:dyDescent="0.3">
      <c r="A39">
        <v>38</v>
      </c>
      <c r="B39">
        <f t="shared" si="2"/>
        <v>65</v>
      </c>
      <c r="C39">
        <f t="shared" si="3"/>
        <v>16</v>
      </c>
      <c r="D39">
        <f t="shared" si="4"/>
        <v>26</v>
      </c>
      <c r="E39">
        <f t="shared" si="5"/>
        <v>12</v>
      </c>
      <c r="F39">
        <v>2018</v>
      </c>
      <c r="G39">
        <v>16</v>
      </c>
      <c r="H39" t="s">
        <v>37</v>
      </c>
      <c r="I39">
        <v>127.96</v>
      </c>
      <c r="J39" t="s">
        <v>29</v>
      </c>
      <c r="K39">
        <v>136.02000000000001</v>
      </c>
      <c r="L39" t="s">
        <v>91</v>
      </c>
      <c r="M39">
        <f t="shared" si="10"/>
        <v>263.98</v>
      </c>
      <c r="N39">
        <f t="shared" si="11"/>
        <v>8.0600000000000165</v>
      </c>
      <c r="O39" t="str">
        <f t="shared" si="6"/>
        <v>Graham/Michael</v>
      </c>
      <c r="P39" t="str">
        <f t="shared" si="7"/>
        <v>Drew/Cam</v>
      </c>
      <c r="Q39">
        <f t="shared" si="8"/>
        <v>136.02000000000001</v>
      </c>
      <c r="R39">
        <f t="shared" si="9"/>
        <v>127.96</v>
      </c>
    </row>
    <row r="40" spans="1:18" x14ac:dyDescent="0.3">
      <c r="A40">
        <v>39</v>
      </c>
      <c r="B40">
        <f t="shared" si="2"/>
        <v>16</v>
      </c>
      <c r="C40">
        <f t="shared" si="3"/>
        <v>51</v>
      </c>
      <c r="D40">
        <f t="shared" si="4"/>
        <v>39</v>
      </c>
      <c r="E40">
        <f t="shared" si="5"/>
        <v>61</v>
      </c>
      <c r="F40">
        <v>2019</v>
      </c>
      <c r="G40">
        <v>14</v>
      </c>
      <c r="H40" t="s">
        <v>37</v>
      </c>
      <c r="I40">
        <v>131.36000000000001</v>
      </c>
      <c r="J40" t="s">
        <v>31</v>
      </c>
      <c r="K40">
        <v>87.92</v>
      </c>
      <c r="L40" t="s">
        <v>90</v>
      </c>
      <c r="M40">
        <f t="shared" si="10"/>
        <v>219.28000000000003</v>
      </c>
      <c r="N40">
        <f t="shared" si="11"/>
        <v>43.440000000000012</v>
      </c>
      <c r="O40" t="str">
        <f t="shared" si="6"/>
        <v>Drew/Cam</v>
      </c>
      <c r="P40" t="str">
        <f t="shared" si="7"/>
        <v>Pat/Tucker</v>
      </c>
      <c r="Q40">
        <f t="shared" si="8"/>
        <v>131.36000000000001</v>
      </c>
      <c r="R40">
        <f t="shared" si="9"/>
        <v>87.92</v>
      </c>
    </row>
    <row r="41" spans="1:18" x14ac:dyDescent="0.3">
      <c r="A41">
        <v>40</v>
      </c>
      <c r="B41">
        <f t="shared" si="2"/>
        <v>50</v>
      </c>
      <c r="C41">
        <f t="shared" si="3"/>
        <v>41</v>
      </c>
      <c r="D41">
        <f t="shared" si="4"/>
        <v>55</v>
      </c>
      <c r="E41">
        <f t="shared" si="5"/>
        <v>27</v>
      </c>
      <c r="F41">
        <v>2019</v>
      </c>
      <c r="G41">
        <v>14</v>
      </c>
      <c r="H41" t="s">
        <v>29</v>
      </c>
      <c r="I41">
        <v>122.3</v>
      </c>
      <c r="J41" t="s">
        <v>35</v>
      </c>
      <c r="K41">
        <v>108.68</v>
      </c>
      <c r="L41" t="s">
        <v>90</v>
      </c>
      <c r="M41">
        <f t="shared" si="10"/>
        <v>230.98000000000002</v>
      </c>
      <c r="N41">
        <f t="shared" si="11"/>
        <v>13.61999999999999</v>
      </c>
      <c r="O41" t="str">
        <f t="shared" si="6"/>
        <v>Graham/Michael</v>
      </c>
      <c r="P41" t="str">
        <f t="shared" si="7"/>
        <v>Clay/Ryan</v>
      </c>
      <c r="Q41">
        <f t="shared" si="8"/>
        <v>122.3</v>
      </c>
      <c r="R41">
        <f t="shared" si="9"/>
        <v>108.68</v>
      </c>
    </row>
    <row r="42" spans="1:18" x14ac:dyDescent="0.3">
      <c r="A42">
        <v>41</v>
      </c>
      <c r="B42">
        <f t="shared" si="2"/>
        <v>11</v>
      </c>
      <c r="C42">
        <f t="shared" si="3"/>
        <v>11</v>
      </c>
      <c r="D42">
        <f t="shared" si="4"/>
        <v>9</v>
      </c>
      <c r="E42">
        <f t="shared" si="5"/>
        <v>25</v>
      </c>
      <c r="F42">
        <v>2019</v>
      </c>
      <c r="G42">
        <v>15</v>
      </c>
      <c r="H42" t="s">
        <v>30</v>
      </c>
      <c r="I42">
        <v>112.98</v>
      </c>
      <c r="J42" t="s">
        <v>37</v>
      </c>
      <c r="K42">
        <v>162.28</v>
      </c>
      <c r="L42" t="s">
        <v>59</v>
      </c>
      <c r="M42">
        <f t="shared" si="10"/>
        <v>275.26</v>
      </c>
      <c r="N42">
        <f t="shared" si="11"/>
        <v>49.3</v>
      </c>
      <c r="O42" t="str">
        <f t="shared" si="6"/>
        <v>Drew/Cam</v>
      </c>
      <c r="P42" t="str">
        <f t="shared" si="7"/>
        <v>Dave/Nolan</v>
      </c>
      <c r="Q42">
        <f t="shared" si="8"/>
        <v>162.28</v>
      </c>
      <c r="R42">
        <f t="shared" si="9"/>
        <v>112.98</v>
      </c>
    </row>
    <row r="43" spans="1:18" x14ac:dyDescent="0.3">
      <c r="A43">
        <v>42</v>
      </c>
      <c r="B43">
        <f t="shared" si="2"/>
        <v>62</v>
      </c>
      <c r="C43">
        <f t="shared" si="3"/>
        <v>17</v>
      </c>
      <c r="D43">
        <f t="shared" si="4"/>
        <v>29</v>
      </c>
      <c r="E43">
        <f t="shared" si="5"/>
        <v>13</v>
      </c>
      <c r="F43">
        <v>2019</v>
      </c>
      <c r="G43">
        <v>15</v>
      </c>
      <c r="H43" t="s">
        <v>33</v>
      </c>
      <c r="I43">
        <v>134.76</v>
      </c>
      <c r="J43" t="s">
        <v>29</v>
      </c>
      <c r="K43">
        <v>126.28</v>
      </c>
      <c r="L43" t="s">
        <v>59</v>
      </c>
      <c r="M43">
        <f t="shared" si="10"/>
        <v>261.03999999999996</v>
      </c>
      <c r="N43">
        <f t="shared" si="11"/>
        <v>8.4799999999999898</v>
      </c>
      <c r="O43" t="str">
        <f t="shared" si="6"/>
        <v>Trent/Colin</v>
      </c>
      <c r="P43" t="str">
        <f t="shared" si="7"/>
        <v>Graham/Michael</v>
      </c>
      <c r="Q43">
        <f t="shared" si="8"/>
        <v>134.76</v>
      </c>
      <c r="R43">
        <f t="shared" si="9"/>
        <v>126.28</v>
      </c>
    </row>
    <row r="44" spans="1:18" x14ac:dyDescent="0.3">
      <c r="A44">
        <v>43</v>
      </c>
      <c r="B44">
        <f t="shared" si="2"/>
        <v>44</v>
      </c>
      <c r="C44">
        <f t="shared" si="3"/>
        <v>26</v>
      </c>
      <c r="D44">
        <f t="shared" si="4"/>
        <v>35</v>
      </c>
      <c r="E44">
        <f t="shared" si="5"/>
        <v>24</v>
      </c>
      <c r="F44">
        <v>2019</v>
      </c>
      <c r="G44">
        <v>16</v>
      </c>
      <c r="H44" t="s">
        <v>33</v>
      </c>
      <c r="I44">
        <v>113.6</v>
      </c>
      <c r="J44" t="s">
        <v>37</v>
      </c>
      <c r="K44">
        <v>132.56</v>
      </c>
      <c r="L44" t="s">
        <v>91</v>
      </c>
      <c r="M44">
        <f t="shared" si="10"/>
        <v>246.16</v>
      </c>
      <c r="N44">
        <f t="shared" si="11"/>
        <v>18.960000000000008</v>
      </c>
      <c r="O44" t="str">
        <f t="shared" si="6"/>
        <v>Drew/Cam</v>
      </c>
      <c r="P44" t="str">
        <f t="shared" si="7"/>
        <v>Trent/Colin</v>
      </c>
      <c r="Q44">
        <f t="shared" si="8"/>
        <v>132.56</v>
      </c>
      <c r="R44">
        <f t="shared" si="9"/>
        <v>113.6</v>
      </c>
    </row>
    <row r="45" spans="1:18" x14ac:dyDescent="0.3">
      <c r="A45">
        <v>44</v>
      </c>
      <c r="B45">
        <f t="shared" si="2"/>
        <v>21</v>
      </c>
      <c r="C45">
        <f t="shared" si="3"/>
        <v>30</v>
      </c>
      <c r="D45">
        <f t="shared" si="4"/>
        <v>22</v>
      </c>
      <c r="E45">
        <f t="shared" si="5"/>
        <v>38</v>
      </c>
      <c r="F45">
        <v>2019</v>
      </c>
      <c r="G45">
        <v>16</v>
      </c>
      <c r="H45" t="s">
        <v>30</v>
      </c>
      <c r="I45">
        <v>102.5</v>
      </c>
      <c r="J45" t="s">
        <v>29</v>
      </c>
      <c r="K45">
        <v>138.52000000000001</v>
      </c>
      <c r="L45" t="s">
        <v>92</v>
      </c>
      <c r="M45">
        <f t="shared" si="10"/>
        <v>241.02</v>
      </c>
      <c r="N45">
        <f t="shared" si="11"/>
        <v>36.02000000000001</v>
      </c>
      <c r="O45" t="str">
        <f t="shared" si="6"/>
        <v>Graham/Michael</v>
      </c>
      <c r="P45" t="str">
        <f t="shared" si="7"/>
        <v>Dave/Nolan</v>
      </c>
      <c r="Q45">
        <f t="shared" si="8"/>
        <v>138.52000000000001</v>
      </c>
      <c r="R45">
        <f t="shared" si="9"/>
        <v>102.5</v>
      </c>
    </row>
    <row r="46" spans="1:18" x14ac:dyDescent="0.3">
      <c r="A46">
        <v>45</v>
      </c>
      <c r="B46">
        <f t="shared" si="2"/>
        <v>71</v>
      </c>
      <c r="C46">
        <f t="shared" si="3"/>
        <v>14</v>
      </c>
      <c r="D46">
        <f t="shared" si="4"/>
        <v>25</v>
      </c>
      <c r="E46">
        <f t="shared" si="5"/>
        <v>7</v>
      </c>
      <c r="F46">
        <v>2020</v>
      </c>
      <c r="G46">
        <v>14</v>
      </c>
      <c r="H46" t="s">
        <v>36</v>
      </c>
      <c r="I46">
        <v>136.13999999999999</v>
      </c>
      <c r="J46" t="s">
        <v>30</v>
      </c>
      <c r="K46">
        <v>131.56</v>
      </c>
      <c r="L46" t="s">
        <v>90</v>
      </c>
      <c r="M46">
        <f t="shared" si="10"/>
        <v>267.7</v>
      </c>
      <c r="N46">
        <f t="shared" si="11"/>
        <v>4.5799999999999841</v>
      </c>
      <c r="O46" t="str">
        <f t="shared" si="6"/>
        <v>Walker/Cory</v>
      </c>
      <c r="P46" t="str">
        <f t="shared" si="7"/>
        <v>Dave/Nolan</v>
      </c>
      <c r="Q46">
        <f t="shared" si="8"/>
        <v>136.13999999999999</v>
      </c>
      <c r="R46">
        <f t="shared" si="9"/>
        <v>131.56</v>
      </c>
    </row>
    <row r="47" spans="1:18" x14ac:dyDescent="0.3">
      <c r="A47">
        <v>46</v>
      </c>
      <c r="B47">
        <f t="shared" si="2"/>
        <v>42</v>
      </c>
      <c r="C47">
        <f t="shared" si="3"/>
        <v>10</v>
      </c>
      <c r="D47">
        <f t="shared" si="4"/>
        <v>15</v>
      </c>
      <c r="E47">
        <f t="shared" si="5"/>
        <v>10</v>
      </c>
      <c r="F47">
        <v>2020</v>
      </c>
      <c r="G47">
        <v>14</v>
      </c>
      <c r="H47" t="s">
        <v>35</v>
      </c>
      <c r="I47">
        <v>149.1</v>
      </c>
      <c r="J47" t="s">
        <v>32</v>
      </c>
      <c r="K47">
        <v>128.02000000000001</v>
      </c>
      <c r="L47" t="s">
        <v>90</v>
      </c>
      <c r="M47">
        <f t="shared" si="10"/>
        <v>277.12</v>
      </c>
      <c r="N47">
        <f t="shared" si="11"/>
        <v>21.079999999999984</v>
      </c>
      <c r="O47" t="str">
        <f t="shared" si="6"/>
        <v>Clay/Ryan</v>
      </c>
      <c r="P47" t="str">
        <f t="shared" si="7"/>
        <v>Brian/Travis</v>
      </c>
      <c r="Q47">
        <f t="shared" si="8"/>
        <v>149.1</v>
      </c>
      <c r="R47">
        <f t="shared" si="9"/>
        <v>128.02000000000001</v>
      </c>
    </row>
    <row r="48" spans="1:18" x14ac:dyDescent="0.3">
      <c r="A48">
        <v>47</v>
      </c>
      <c r="B48">
        <f t="shared" si="2"/>
        <v>73</v>
      </c>
      <c r="C48">
        <f t="shared" si="3"/>
        <v>25</v>
      </c>
      <c r="D48">
        <f t="shared" si="4"/>
        <v>48</v>
      </c>
      <c r="E48">
        <f t="shared" si="5"/>
        <v>17</v>
      </c>
      <c r="F48">
        <v>2020</v>
      </c>
      <c r="G48">
        <v>15</v>
      </c>
      <c r="H48" t="s">
        <v>31</v>
      </c>
      <c r="I48">
        <v>121.72</v>
      </c>
      <c r="J48" t="s">
        <v>35</v>
      </c>
      <c r="K48">
        <v>125.72</v>
      </c>
      <c r="L48" t="s">
        <v>59</v>
      </c>
      <c r="M48">
        <f t="shared" si="10"/>
        <v>247.44</v>
      </c>
      <c r="N48">
        <f t="shared" si="11"/>
        <v>4</v>
      </c>
      <c r="O48" t="str">
        <f t="shared" si="6"/>
        <v>Clay/Ryan</v>
      </c>
      <c r="P48" t="str">
        <f t="shared" si="7"/>
        <v>Pat/Tucker</v>
      </c>
      <c r="Q48">
        <f t="shared" si="8"/>
        <v>125.72</v>
      </c>
      <c r="R48">
        <f t="shared" si="9"/>
        <v>121.72</v>
      </c>
    </row>
    <row r="49" spans="1:18" x14ac:dyDescent="0.3">
      <c r="A49">
        <v>48</v>
      </c>
      <c r="B49">
        <f t="shared" si="2"/>
        <v>76</v>
      </c>
      <c r="C49">
        <f t="shared" si="3"/>
        <v>18</v>
      </c>
      <c r="D49">
        <f t="shared" si="4"/>
        <v>38</v>
      </c>
      <c r="E49">
        <f t="shared" si="5"/>
        <v>9</v>
      </c>
      <c r="F49">
        <v>2020</v>
      </c>
      <c r="G49">
        <v>15</v>
      </c>
      <c r="H49" t="s">
        <v>38</v>
      </c>
      <c r="I49">
        <v>128.69999999999999</v>
      </c>
      <c r="J49" t="s">
        <v>36</v>
      </c>
      <c r="K49">
        <v>131.94</v>
      </c>
      <c r="L49" t="s">
        <v>59</v>
      </c>
      <c r="M49">
        <f t="shared" si="10"/>
        <v>260.64</v>
      </c>
      <c r="N49">
        <f t="shared" si="11"/>
        <v>3.2400000000000091</v>
      </c>
      <c r="O49" t="str">
        <f t="shared" si="6"/>
        <v>Walker/Cory</v>
      </c>
      <c r="P49" t="str">
        <f t="shared" si="7"/>
        <v>David/Marshall</v>
      </c>
      <c r="Q49">
        <f t="shared" si="8"/>
        <v>131.94</v>
      </c>
      <c r="R49">
        <f t="shared" si="9"/>
        <v>128.69999999999999</v>
      </c>
    </row>
    <row r="50" spans="1:18" x14ac:dyDescent="0.3">
      <c r="A50">
        <v>49</v>
      </c>
      <c r="B50">
        <f t="shared" si="2"/>
        <v>8</v>
      </c>
      <c r="C50">
        <f t="shared" si="3"/>
        <v>40</v>
      </c>
      <c r="D50">
        <f t="shared" si="4"/>
        <v>17</v>
      </c>
      <c r="E50">
        <f t="shared" si="5"/>
        <v>60</v>
      </c>
      <c r="F50">
        <v>2020</v>
      </c>
      <c r="G50">
        <v>16</v>
      </c>
      <c r="H50" t="s">
        <v>36</v>
      </c>
      <c r="I50">
        <v>143.19999999999999</v>
      </c>
      <c r="J50" t="s">
        <v>35</v>
      </c>
      <c r="K50">
        <v>87.98</v>
      </c>
      <c r="L50" t="s">
        <v>91</v>
      </c>
      <c r="M50">
        <f t="shared" si="10"/>
        <v>231.18</v>
      </c>
      <c r="N50">
        <f t="shared" si="11"/>
        <v>55.219999999999985</v>
      </c>
      <c r="O50" t="str">
        <f t="shared" si="6"/>
        <v>Walker/Cory</v>
      </c>
      <c r="P50" t="str">
        <f t="shared" si="7"/>
        <v>Clay/Ryan</v>
      </c>
      <c r="Q50">
        <f t="shared" si="8"/>
        <v>143.19999999999999</v>
      </c>
      <c r="R50">
        <f t="shared" si="9"/>
        <v>87.98</v>
      </c>
    </row>
    <row r="51" spans="1:18" x14ac:dyDescent="0.3">
      <c r="A51">
        <v>50</v>
      </c>
      <c r="B51">
        <f t="shared" si="2"/>
        <v>5</v>
      </c>
      <c r="C51">
        <f t="shared" si="3"/>
        <v>6</v>
      </c>
      <c r="D51">
        <f t="shared" si="4"/>
        <v>1</v>
      </c>
      <c r="E51">
        <f t="shared" si="5"/>
        <v>26</v>
      </c>
      <c r="F51">
        <v>2020</v>
      </c>
      <c r="G51">
        <v>16</v>
      </c>
      <c r="H51" t="s">
        <v>31</v>
      </c>
      <c r="I51">
        <v>183.44</v>
      </c>
      <c r="J51" t="s">
        <v>38</v>
      </c>
      <c r="K51">
        <v>111.42</v>
      </c>
      <c r="L51" t="s">
        <v>92</v>
      </c>
      <c r="M51">
        <f t="shared" si="10"/>
        <v>294.86</v>
      </c>
      <c r="N51">
        <f t="shared" si="11"/>
        <v>72.02</v>
      </c>
      <c r="O51" t="str">
        <f t="shared" si="6"/>
        <v>Pat/Tucker</v>
      </c>
      <c r="P51" t="str">
        <f t="shared" si="7"/>
        <v>David/Marshall</v>
      </c>
      <c r="Q51">
        <f t="shared" si="8"/>
        <v>183.44</v>
      </c>
      <c r="R51">
        <f t="shared" si="9"/>
        <v>111.42</v>
      </c>
    </row>
    <row r="52" spans="1:18" x14ac:dyDescent="0.3">
      <c r="A52">
        <v>51</v>
      </c>
      <c r="B52">
        <f t="shared" si="2"/>
        <v>23</v>
      </c>
      <c r="C52">
        <f t="shared" si="3"/>
        <v>42</v>
      </c>
      <c r="D52">
        <f t="shared" si="4"/>
        <v>34</v>
      </c>
      <c r="E52">
        <f t="shared" si="5"/>
        <v>47</v>
      </c>
      <c r="F52">
        <v>2021</v>
      </c>
      <c r="G52">
        <v>15</v>
      </c>
      <c r="H52" t="s">
        <v>38</v>
      </c>
      <c r="I52">
        <v>96.88</v>
      </c>
      <c r="J52" t="s">
        <v>37</v>
      </c>
      <c r="K52">
        <v>132.86000000000001</v>
      </c>
      <c r="L52" t="s">
        <v>90</v>
      </c>
      <c r="M52">
        <f t="shared" si="10"/>
        <v>229.74</v>
      </c>
      <c r="N52">
        <f t="shared" si="11"/>
        <v>35.980000000000018</v>
      </c>
      <c r="O52" t="str">
        <f t="shared" si="6"/>
        <v>Drew/Cam</v>
      </c>
      <c r="P52" t="str">
        <f t="shared" si="7"/>
        <v>David/Marshall</v>
      </c>
      <c r="Q52">
        <f t="shared" si="8"/>
        <v>132.86000000000001</v>
      </c>
      <c r="R52">
        <f t="shared" si="9"/>
        <v>96.88</v>
      </c>
    </row>
    <row r="53" spans="1:18" x14ac:dyDescent="0.3">
      <c r="A53">
        <v>52</v>
      </c>
      <c r="B53">
        <f t="shared" si="2"/>
        <v>36</v>
      </c>
      <c r="C53">
        <f t="shared" si="3"/>
        <v>77</v>
      </c>
      <c r="D53">
        <f t="shared" si="4"/>
        <v>75</v>
      </c>
      <c r="E53">
        <f t="shared" si="5"/>
        <v>75</v>
      </c>
      <c r="F53">
        <v>2021</v>
      </c>
      <c r="G53">
        <v>15</v>
      </c>
      <c r="H53" t="s">
        <v>33</v>
      </c>
      <c r="I53">
        <v>94.04</v>
      </c>
      <c r="J53" t="s">
        <v>36</v>
      </c>
      <c r="K53">
        <v>68.06</v>
      </c>
      <c r="L53" t="s">
        <v>90</v>
      </c>
      <c r="M53">
        <f t="shared" si="10"/>
        <v>162.10000000000002</v>
      </c>
      <c r="N53">
        <f t="shared" si="11"/>
        <v>25.980000000000004</v>
      </c>
      <c r="O53" t="str">
        <f t="shared" si="6"/>
        <v>Trent/Colin</v>
      </c>
      <c r="P53" t="str">
        <f t="shared" si="7"/>
        <v>Walker/Cory</v>
      </c>
      <c r="Q53">
        <f t="shared" si="8"/>
        <v>94.04</v>
      </c>
      <c r="R53">
        <f t="shared" si="9"/>
        <v>68.06</v>
      </c>
    </row>
    <row r="54" spans="1:18" x14ac:dyDescent="0.3">
      <c r="A54">
        <v>53</v>
      </c>
      <c r="B54">
        <f t="shared" si="2"/>
        <v>58</v>
      </c>
      <c r="C54">
        <f t="shared" si="3"/>
        <v>19</v>
      </c>
      <c r="D54">
        <f t="shared" si="4"/>
        <v>31</v>
      </c>
      <c r="E54">
        <f t="shared" si="5"/>
        <v>15</v>
      </c>
      <c r="F54">
        <v>2021</v>
      </c>
      <c r="G54">
        <v>16</v>
      </c>
      <c r="H54" t="s">
        <v>35</v>
      </c>
      <c r="I54">
        <v>133.16</v>
      </c>
      <c r="J54" t="s">
        <v>37</v>
      </c>
      <c r="K54">
        <v>122.58</v>
      </c>
      <c r="L54" t="s">
        <v>59</v>
      </c>
      <c r="M54">
        <f t="shared" si="10"/>
        <v>255.74</v>
      </c>
      <c r="N54">
        <f t="shared" si="11"/>
        <v>10.579999999999998</v>
      </c>
      <c r="O54" t="str">
        <f t="shared" si="6"/>
        <v>Clay/Ryan</v>
      </c>
      <c r="P54" t="str">
        <f t="shared" si="7"/>
        <v>Drew/Cam</v>
      </c>
      <c r="Q54">
        <f t="shared" si="8"/>
        <v>133.16</v>
      </c>
      <c r="R54">
        <f t="shared" si="9"/>
        <v>122.58</v>
      </c>
    </row>
    <row r="55" spans="1:18" x14ac:dyDescent="0.3">
      <c r="A55">
        <v>54</v>
      </c>
      <c r="B55">
        <f t="shared" si="2"/>
        <v>32</v>
      </c>
      <c r="C55">
        <f t="shared" si="3"/>
        <v>36</v>
      </c>
      <c r="D55">
        <f t="shared" si="4"/>
        <v>41</v>
      </c>
      <c r="E55">
        <f t="shared" si="5"/>
        <v>36</v>
      </c>
      <c r="F55">
        <v>2021</v>
      </c>
      <c r="G55">
        <v>16</v>
      </c>
      <c r="H55" t="s">
        <v>29</v>
      </c>
      <c r="I55">
        <v>103.7</v>
      </c>
      <c r="J55" t="s">
        <v>33</v>
      </c>
      <c r="K55">
        <v>130.38</v>
      </c>
      <c r="L55" t="s">
        <v>59</v>
      </c>
      <c r="M55">
        <f t="shared" si="10"/>
        <v>234.07999999999998</v>
      </c>
      <c r="N55">
        <f t="shared" si="11"/>
        <v>26.679999999999993</v>
      </c>
      <c r="O55" t="str">
        <f t="shared" si="6"/>
        <v>Trent/Colin</v>
      </c>
      <c r="P55" t="str">
        <f t="shared" si="7"/>
        <v>Graham/Michael</v>
      </c>
      <c r="Q55">
        <f t="shared" si="8"/>
        <v>130.38</v>
      </c>
      <c r="R55">
        <f t="shared" si="9"/>
        <v>103.7</v>
      </c>
    </row>
    <row r="56" spans="1:18" x14ac:dyDescent="0.3">
      <c r="A56">
        <v>55</v>
      </c>
      <c r="B56">
        <f t="shared" si="2"/>
        <v>6</v>
      </c>
      <c r="C56">
        <f t="shared" si="3"/>
        <v>15</v>
      </c>
      <c r="D56">
        <f t="shared" si="4"/>
        <v>3</v>
      </c>
      <c r="E56">
        <f t="shared" si="5"/>
        <v>44</v>
      </c>
      <c r="F56">
        <v>2021</v>
      </c>
      <c r="G56">
        <v>17</v>
      </c>
      <c r="H56" t="s">
        <v>35</v>
      </c>
      <c r="I56">
        <v>167.7</v>
      </c>
      <c r="J56" t="s">
        <v>33</v>
      </c>
      <c r="K56">
        <v>98.12</v>
      </c>
      <c r="L56" t="s">
        <v>91</v>
      </c>
      <c r="M56">
        <f t="shared" si="10"/>
        <v>265.82</v>
      </c>
      <c r="N56">
        <f t="shared" si="11"/>
        <v>69.579999999999984</v>
      </c>
      <c r="O56" t="str">
        <f t="shared" si="6"/>
        <v>Clay/Ryan</v>
      </c>
      <c r="P56" t="str">
        <f t="shared" si="7"/>
        <v>Trent/Colin</v>
      </c>
      <c r="Q56">
        <f t="shared" si="8"/>
        <v>167.7</v>
      </c>
      <c r="R56">
        <f t="shared" si="9"/>
        <v>98.12</v>
      </c>
    </row>
    <row r="57" spans="1:18" x14ac:dyDescent="0.3">
      <c r="A57">
        <v>56</v>
      </c>
      <c r="B57">
        <f t="shared" si="2"/>
        <v>17</v>
      </c>
      <c r="C57">
        <f t="shared" si="3"/>
        <v>9</v>
      </c>
      <c r="D57">
        <f t="shared" si="4"/>
        <v>7</v>
      </c>
      <c r="E57">
        <f t="shared" si="5"/>
        <v>14</v>
      </c>
      <c r="F57">
        <v>2021</v>
      </c>
      <c r="G57">
        <v>17</v>
      </c>
      <c r="H57" t="s">
        <v>29</v>
      </c>
      <c r="I57">
        <v>164.24</v>
      </c>
      <c r="J57" t="s">
        <v>37</v>
      </c>
      <c r="K57">
        <v>123.26</v>
      </c>
      <c r="L57" t="s">
        <v>92</v>
      </c>
      <c r="M57">
        <f t="shared" si="10"/>
        <v>287.5</v>
      </c>
      <c r="N57">
        <f t="shared" si="11"/>
        <v>40.980000000000004</v>
      </c>
      <c r="O57" t="str">
        <f t="shared" si="6"/>
        <v>Graham/Michael</v>
      </c>
      <c r="P57" t="str">
        <f t="shared" si="7"/>
        <v>Drew/Cam</v>
      </c>
      <c r="Q57">
        <f t="shared" si="8"/>
        <v>164.24</v>
      </c>
      <c r="R57">
        <f t="shared" si="9"/>
        <v>123.26</v>
      </c>
    </row>
    <row r="58" spans="1:18" x14ac:dyDescent="0.3">
      <c r="A58">
        <v>57</v>
      </c>
      <c r="B58">
        <f t="shared" si="2"/>
        <v>54</v>
      </c>
      <c r="C58">
        <f t="shared" si="3"/>
        <v>20</v>
      </c>
      <c r="D58">
        <f t="shared" si="4"/>
        <v>37</v>
      </c>
      <c r="E58">
        <f t="shared" si="5"/>
        <v>19</v>
      </c>
      <c r="F58">
        <v>2022</v>
      </c>
      <c r="G58">
        <v>15</v>
      </c>
      <c r="H58" t="s">
        <v>35</v>
      </c>
      <c r="I58">
        <v>119.66</v>
      </c>
      <c r="J58" t="s">
        <v>31</v>
      </c>
      <c r="K58">
        <v>132.13999999999999</v>
      </c>
      <c r="L58" t="s">
        <v>90</v>
      </c>
      <c r="M58">
        <f t="shared" si="10"/>
        <v>251.79999999999998</v>
      </c>
      <c r="N58">
        <f t="shared" si="11"/>
        <v>12.47999999999999</v>
      </c>
      <c r="O58" t="str">
        <f t="shared" si="6"/>
        <v>Pat/Tucker</v>
      </c>
      <c r="P58" t="str">
        <f t="shared" si="7"/>
        <v>Clay/Ryan</v>
      </c>
      <c r="Q58">
        <f t="shared" si="8"/>
        <v>132.13999999999999</v>
      </c>
      <c r="R58">
        <f t="shared" si="9"/>
        <v>119.66</v>
      </c>
    </row>
    <row r="59" spans="1:18" x14ac:dyDescent="0.3">
      <c r="A59">
        <v>58</v>
      </c>
      <c r="B59">
        <f t="shared" si="2"/>
        <v>64</v>
      </c>
      <c r="C59">
        <f t="shared" si="3"/>
        <v>29</v>
      </c>
      <c r="D59">
        <f t="shared" si="4"/>
        <v>50</v>
      </c>
      <c r="E59">
        <f t="shared" si="5"/>
        <v>23</v>
      </c>
      <c r="F59">
        <v>2022</v>
      </c>
      <c r="G59">
        <v>15</v>
      </c>
      <c r="H59" t="s">
        <v>29</v>
      </c>
      <c r="I59">
        <v>116.9</v>
      </c>
      <c r="J59" t="s">
        <v>32</v>
      </c>
      <c r="K59">
        <v>125.06</v>
      </c>
      <c r="L59" t="s">
        <v>90</v>
      </c>
      <c r="M59">
        <f t="shared" si="10"/>
        <v>241.96</v>
      </c>
      <c r="N59">
        <f t="shared" si="11"/>
        <v>8.1599999999999966</v>
      </c>
      <c r="O59" t="str">
        <f t="shared" si="6"/>
        <v>Brian/Travis</v>
      </c>
      <c r="P59" t="str">
        <f t="shared" si="7"/>
        <v>Graham/Michael</v>
      </c>
      <c r="Q59">
        <f t="shared" si="8"/>
        <v>125.06</v>
      </c>
      <c r="R59">
        <f t="shared" si="9"/>
        <v>116.9</v>
      </c>
    </row>
    <row r="60" spans="1:18" x14ac:dyDescent="0.3">
      <c r="A60">
        <v>59</v>
      </c>
      <c r="B60">
        <f t="shared" si="2"/>
        <v>79</v>
      </c>
      <c r="C60">
        <f t="shared" si="3"/>
        <v>27</v>
      </c>
      <c r="D60">
        <f t="shared" si="4"/>
        <v>52</v>
      </c>
      <c r="E60">
        <f t="shared" si="5"/>
        <v>16</v>
      </c>
      <c r="F60">
        <v>2022</v>
      </c>
      <c r="G60">
        <v>16</v>
      </c>
      <c r="H60" t="s">
        <v>33</v>
      </c>
      <c r="I60">
        <v>121.96</v>
      </c>
      <c r="J60" t="s">
        <v>31</v>
      </c>
      <c r="K60">
        <v>123.08</v>
      </c>
      <c r="L60" t="s">
        <v>59</v>
      </c>
      <c r="M60">
        <f t="shared" si="10"/>
        <v>245.04</v>
      </c>
      <c r="N60">
        <f t="shared" si="11"/>
        <v>1.1200000000000045</v>
      </c>
      <c r="O60" t="str">
        <f t="shared" si="6"/>
        <v>Pat/Tucker</v>
      </c>
      <c r="P60" t="str">
        <f t="shared" si="7"/>
        <v>Trent/Colin</v>
      </c>
      <c r="Q60">
        <f t="shared" si="8"/>
        <v>123.08</v>
      </c>
      <c r="R60">
        <f t="shared" si="9"/>
        <v>121.96</v>
      </c>
    </row>
    <row r="61" spans="1:18" x14ac:dyDescent="0.3">
      <c r="A61">
        <v>60</v>
      </c>
      <c r="B61">
        <f t="shared" si="2"/>
        <v>57</v>
      </c>
      <c r="C61">
        <f t="shared" si="3"/>
        <v>72</v>
      </c>
      <c r="D61">
        <f t="shared" si="4"/>
        <v>74</v>
      </c>
      <c r="E61">
        <f t="shared" si="5"/>
        <v>65</v>
      </c>
      <c r="F61">
        <v>2022</v>
      </c>
      <c r="G61">
        <v>16</v>
      </c>
      <c r="H61" t="s">
        <v>36</v>
      </c>
      <c r="I61">
        <v>94.46</v>
      </c>
      <c r="J61" t="s">
        <v>32</v>
      </c>
      <c r="K61">
        <v>83.28</v>
      </c>
      <c r="L61" t="s">
        <v>59</v>
      </c>
      <c r="M61">
        <f t="shared" si="10"/>
        <v>177.74</v>
      </c>
      <c r="N61">
        <f t="shared" si="11"/>
        <v>11.179999999999993</v>
      </c>
      <c r="O61" t="str">
        <f t="shared" si="6"/>
        <v>Walker/Cory</v>
      </c>
      <c r="P61" t="str">
        <f t="shared" si="7"/>
        <v>Brian/Travis</v>
      </c>
      <c r="Q61">
        <f t="shared" si="8"/>
        <v>94.46</v>
      </c>
      <c r="R61">
        <f t="shared" si="9"/>
        <v>83.28</v>
      </c>
    </row>
    <row r="62" spans="1:18" x14ac:dyDescent="0.3">
      <c r="A62">
        <v>61</v>
      </c>
      <c r="B62">
        <f t="shared" si="2"/>
        <v>12</v>
      </c>
      <c r="C62">
        <f t="shared" si="3"/>
        <v>53</v>
      </c>
      <c r="D62">
        <f t="shared" si="4"/>
        <v>33</v>
      </c>
      <c r="E62">
        <f t="shared" si="5"/>
        <v>63</v>
      </c>
      <c r="F62">
        <v>2022</v>
      </c>
      <c r="G62">
        <v>17</v>
      </c>
      <c r="H62" t="s">
        <v>36</v>
      </c>
      <c r="I62">
        <v>132.9</v>
      </c>
      <c r="J62" t="s">
        <v>31</v>
      </c>
      <c r="K62">
        <v>84.58</v>
      </c>
      <c r="L62" t="s">
        <v>91</v>
      </c>
      <c r="M62">
        <f t="shared" si="10"/>
        <v>217.48000000000002</v>
      </c>
      <c r="N62">
        <f t="shared" si="11"/>
        <v>48.320000000000007</v>
      </c>
      <c r="O62" t="str">
        <f t="shared" si="6"/>
        <v>Walker/Cory</v>
      </c>
      <c r="P62" t="str">
        <f t="shared" si="7"/>
        <v>Pat/Tucker</v>
      </c>
      <c r="Q62">
        <f t="shared" si="8"/>
        <v>132.9</v>
      </c>
      <c r="R62">
        <f t="shared" si="9"/>
        <v>84.58</v>
      </c>
    </row>
    <row r="63" spans="1:18" x14ac:dyDescent="0.3">
      <c r="A63">
        <v>62</v>
      </c>
      <c r="B63">
        <f t="shared" si="2"/>
        <v>67</v>
      </c>
      <c r="C63">
        <f t="shared" si="3"/>
        <v>74</v>
      </c>
      <c r="D63">
        <f t="shared" si="4"/>
        <v>76</v>
      </c>
      <c r="E63">
        <f t="shared" si="5"/>
        <v>68</v>
      </c>
      <c r="F63">
        <v>2022</v>
      </c>
      <c r="G63">
        <v>17</v>
      </c>
      <c r="H63" t="s">
        <v>33</v>
      </c>
      <c r="I63">
        <v>87.4</v>
      </c>
      <c r="J63" t="s">
        <v>32</v>
      </c>
      <c r="K63">
        <v>81.400000000000006</v>
      </c>
      <c r="L63" t="s">
        <v>92</v>
      </c>
      <c r="M63">
        <f t="shared" si="10"/>
        <v>168.8</v>
      </c>
      <c r="N63">
        <f t="shared" si="11"/>
        <v>6</v>
      </c>
      <c r="O63" t="str">
        <f t="shared" si="6"/>
        <v>Trent/Colin</v>
      </c>
      <c r="P63" t="str">
        <f t="shared" si="7"/>
        <v>Brian/Travis</v>
      </c>
      <c r="Q63">
        <f t="shared" si="8"/>
        <v>87.4</v>
      </c>
      <c r="R63">
        <f t="shared" si="9"/>
        <v>81.400000000000006</v>
      </c>
    </row>
    <row r="64" spans="1:18" x14ac:dyDescent="0.3">
      <c r="A64">
        <v>63</v>
      </c>
      <c r="B64">
        <f t="shared" si="2"/>
        <v>34</v>
      </c>
      <c r="C64">
        <f t="shared" si="3"/>
        <v>73</v>
      </c>
      <c r="D64">
        <f t="shared" si="4"/>
        <v>70</v>
      </c>
      <c r="E64">
        <f t="shared" si="5"/>
        <v>72</v>
      </c>
      <c r="F64">
        <v>2023</v>
      </c>
      <c r="G64">
        <v>15</v>
      </c>
      <c r="H64" t="s">
        <v>37</v>
      </c>
      <c r="I64">
        <v>74.34</v>
      </c>
      <c r="J64" t="s">
        <v>30</v>
      </c>
      <c r="K64">
        <v>100.36</v>
      </c>
      <c r="L64" t="s">
        <v>90</v>
      </c>
      <c r="M64">
        <f t="shared" ref="M64:M81" si="12">SUM(I64,K64)</f>
        <v>174.7</v>
      </c>
      <c r="N64">
        <f t="shared" ref="N64:N81" si="13">ABS(I64-K64)</f>
        <v>26.019999999999996</v>
      </c>
      <c r="O64" t="str">
        <f t="shared" ref="O64:O81" si="14">IF(I64&gt;K64,H64,J64)</f>
        <v>Dave/Nolan</v>
      </c>
      <c r="P64" t="str">
        <f t="shared" ref="P64:P81" si="15">IF(I64&gt;K64,J64,H64)</f>
        <v>Drew/Cam</v>
      </c>
      <c r="Q64">
        <f t="shared" ref="Q64:Q81" si="16">IF(I64&gt;K64,I64,K64)</f>
        <v>100.36</v>
      </c>
      <c r="R64">
        <f t="shared" ref="R64:R81" si="17">IF(I64&gt;K64,K64,I64)</f>
        <v>74.34</v>
      </c>
    </row>
    <row r="65" spans="1:18" x14ac:dyDescent="0.3">
      <c r="A65">
        <v>64</v>
      </c>
      <c r="B65">
        <f t="shared" si="2"/>
        <v>1</v>
      </c>
      <c r="C65">
        <f t="shared" si="3"/>
        <v>52</v>
      </c>
      <c r="D65">
        <f t="shared" si="4"/>
        <v>11</v>
      </c>
      <c r="E65">
        <f t="shared" si="5"/>
        <v>78</v>
      </c>
      <c r="F65">
        <v>2023</v>
      </c>
      <c r="G65">
        <v>15</v>
      </c>
      <c r="H65" t="s">
        <v>32</v>
      </c>
      <c r="I65">
        <v>62.2</v>
      </c>
      <c r="J65" t="s">
        <v>34</v>
      </c>
      <c r="K65">
        <v>156.16</v>
      </c>
      <c r="L65" t="s">
        <v>90</v>
      </c>
      <c r="M65">
        <f t="shared" si="12"/>
        <v>218.36</v>
      </c>
      <c r="N65">
        <f t="shared" si="13"/>
        <v>93.96</v>
      </c>
      <c r="O65" t="str">
        <f t="shared" si="14"/>
        <v>Eric/Blake</v>
      </c>
      <c r="P65" t="str">
        <f t="shared" si="15"/>
        <v>Brian/Travis</v>
      </c>
      <c r="Q65">
        <f t="shared" si="16"/>
        <v>156.16</v>
      </c>
      <c r="R65">
        <f t="shared" si="17"/>
        <v>62.2</v>
      </c>
    </row>
    <row r="66" spans="1:18" x14ac:dyDescent="0.3">
      <c r="A66">
        <v>65</v>
      </c>
      <c r="B66">
        <f t="shared" si="2"/>
        <v>39</v>
      </c>
      <c r="C66">
        <f t="shared" si="3"/>
        <v>39</v>
      </c>
      <c r="D66">
        <f t="shared" si="4"/>
        <v>44</v>
      </c>
      <c r="E66">
        <f t="shared" si="5"/>
        <v>35</v>
      </c>
      <c r="F66">
        <v>2023</v>
      </c>
      <c r="G66">
        <v>16</v>
      </c>
      <c r="H66" t="s">
        <v>30</v>
      </c>
      <c r="I66">
        <v>103.82</v>
      </c>
      <c r="J66" t="s">
        <v>33</v>
      </c>
      <c r="K66">
        <v>128.63999999999999</v>
      </c>
      <c r="L66" t="s">
        <v>59</v>
      </c>
      <c r="M66">
        <f t="shared" si="12"/>
        <v>232.45999999999998</v>
      </c>
      <c r="N66">
        <f t="shared" si="13"/>
        <v>24.819999999999993</v>
      </c>
      <c r="O66" t="str">
        <f t="shared" si="14"/>
        <v>Trent/Colin</v>
      </c>
      <c r="P66" t="str">
        <f t="shared" si="15"/>
        <v>Dave/Nolan</v>
      </c>
      <c r="Q66">
        <f t="shared" si="16"/>
        <v>128.63999999999999</v>
      </c>
      <c r="R66">
        <f t="shared" si="17"/>
        <v>103.82</v>
      </c>
    </row>
    <row r="67" spans="1:18" x14ac:dyDescent="0.3">
      <c r="A67">
        <v>66</v>
      </c>
      <c r="B67">
        <f t="shared" ref="B67:B81" si="18">RANK(N67,N:N)</f>
        <v>70</v>
      </c>
      <c r="C67">
        <f t="shared" ref="C67:C81" si="19">RANK(M67,M:M)</f>
        <v>63</v>
      </c>
      <c r="D67">
        <f t="shared" ref="D67:D81" si="20">RANK(Q67,Q:Q)</f>
        <v>68</v>
      </c>
      <c r="E67">
        <f t="shared" ref="E67:E81" si="21">RANK(R67,R:R)</f>
        <v>48</v>
      </c>
      <c r="F67">
        <v>2023</v>
      </c>
      <c r="G67">
        <v>16</v>
      </c>
      <c r="H67" t="s">
        <v>34</v>
      </c>
      <c r="I67">
        <v>100.78</v>
      </c>
      <c r="J67" t="s">
        <v>36</v>
      </c>
      <c r="K67">
        <v>95.8</v>
      </c>
      <c r="L67" t="s">
        <v>59</v>
      </c>
      <c r="M67">
        <f t="shared" si="12"/>
        <v>196.57999999999998</v>
      </c>
      <c r="N67">
        <f t="shared" si="13"/>
        <v>4.980000000000004</v>
      </c>
      <c r="O67" t="str">
        <f t="shared" si="14"/>
        <v>Eric/Blake</v>
      </c>
      <c r="P67" t="str">
        <f t="shared" si="15"/>
        <v>Walker/Cory</v>
      </c>
      <c r="Q67">
        <f t="shared" si="16"/>
        <v>100.78</v>
      </c>
      <c r="R67">
        <f t="shared" si="17"/>
        <v>95.8</v>
      </c>
    </row>
    <row r="68" spans="1:18" x14ac:dyDescent="0.3">
      <c r="A68">
        <v>67</v>
      </c>
      <c r="B68">
        <f t="shared" si="18"/>
        <v>24</v>
      </c>
      <c r="C68">
        <f t="shared" si="19"/>
        <v>23</v>
      </c>
      <c r="D68">
        <f t="shared" si="20"/>
        <v>18</v>
      </c>
      <c r="E68">
        <f t="shared" si="21"/>
        <v>29</v>
      </c>
      <c r="F68">
        <v>2023</v>
      </c>
      <c r="G68">
        <v>17</v>
      </c>
      <c r="H68" t="s">
        <v>34</v>
      </c>
      <c r="I68">
        <v>106.56</v>
      </c>
      <c r="J68" t="s">
        <v>33</v>
      </c>
      <c r="K68">
        <v>142.08000000000001</v>
      </c>
      <c r="L68" t="s">
        <v>91</v>
      </c>
      <c r="M68">
        <f t="shared" si="12"/>
        <v>248.64000000000001</v>
      </c>
      <c r="N68">
        <f t="shared" si="13"/>
        <v>35.52000000000001</v>
      </c>
      <c r="O68" t="str">
        <f t="shared" si="14"/>
        <v>Trent/Colin</v>
      </c>
      <c r="P68" t="str">
        <f t="shared" si="15"/>
        <v>Eric/Blake</v>
      </c>
      <c r="Q68">
        <f t="shared" si="16"/>
        <v>142.08000000000001</v>
      </c>
      <c r="R68">
        <f t="shared" si="17"/>
        <v>106.56</v>
      </c>
    </row>
    <row r="69" spans="1:18" x14ac:dyDescent="0.3">
      <c r="A69">
        <v>68</v>
      </c>
      <c r="B69">
        <f t="shared" si="18"/>
        <v>72</v>
      </c>
      <c r="C69">
        <f t="shared" si="19"/>
        <v>62</v>
      </c>
      <c r="D69">
        <f t="shared" si="20"/>
        <v>67</v>
      </c>
      <c r="E69">
        <f t="shared" si="21"/>
        <v>45</v>
      </c>
      <c r="F69">
        <v>2023</v>
      </c>
      <c r="G69">
        <v>17</v>
      </c>
      <c r="H69" t="s">
        <v>30</v>
      </c>
      <c r="I69">
        <v>101.6</v>
      </c>
      <c r="J69" t="s">
        <v>36</v>
      </c>
      <c r="K69">
        <v>97.38</v>
      </c>
      <c r="L69" t="s">
        <v>92</v>
      </c>
      <c r="M69">
        <f t="shared" si="12"/>
        <v>198.98</v>
      </c>
      <c r="N69">
        <f t="shared" si="13"/>
        <v>4.2199999999999989</v>
      </c>
      <c r="O69" t="str">
        <f t="shared" si="14"/>
        <v>Dave/Nolan</v>
      </c>
      <c r="P69" t="str">
        <f t="shared" si="15"/>
        <v>Walker/Cory</v>
      </c>
      <c r="Q69">
        <f t="shared" si="16"/>
        <v>101.6</v>
      </c>
      <c r="R69">
        <f t="shared" si="17"/>
        <v>97.38</v>
      </c>
    </row>
    <row r="70" spans="1:18" x14ac:dyDescent="0.3">
      <c r="A70">
        <v>69</v>
      </c>
      <c r="B70">
        <f t="shared" si="18"/>
        <v>63</v>
      </c>
      <c r="C70">
        <f t="shared" si="19"/>
        <v>3</v>
      </c>
      <c r="D70">
        <f t="shared" si="20"/>
        <v>10</v>
      </c>
      <c r="E70">
        <f t="shared" si="21"/>
        <v>3</v>
      </c>
      <c r="F70">
        <v>2024</v>
      </c>
      <c r="G70">
        <v>15</v>
      </c>
      <c r="H70" t="s">
        <v>29</v>
      </c>
      <c r="I70">
        <v>150.76</v>
      </c>
      <c r="J70" t="s">
        <v>36</v>
      </c>
      <c r="K70">
        <v>159.06</v>
      </c>
      <c r="L70" t="s">
        <v>90</v>
      </c>
      <c r="M70">
        <f t="shared" si="12"/>
        <v>309.82</v>
      </c>
      <c r="N70">
        <f t="shared" si="13"/>
        <v>8.3000000000000114</v>
      </c>
      <c r="O70" t="str">
        <f t="shared" si="14"/>
        <v>Walker/Cory</v>
      </c>
      <c r="P70" t="str">
        <f t="shared" si="15"/>
        <v>Graham/Michael</v>
      </c>
      <c r="Q70">
        <f t="shared" si="16"/>
        <v>159.06</v>
      </c>
      <c r="R70">
        <f t="shared" si="17"/>
        <v>150.76</v>
      </c>
    </row>
    <row r="71" spans="1:18" x14ac:dyDescent="0.3">
      <c r="A71">
        <v>70</v>
      </c>
      <c r="B71">
        <f t="shared" si="18"/>
        <v>20</v>
      </c>
      <c r="C71">
        <f t="shared" si="19"/>
        <v>47</v>
      </c>
      <c r="D71">
        <f t="shared" si="20"/>
        <v>40</v>
      </c>
      <c r="E71">
        <f t="shared" si="21"/>
        <v>51</v>
      </c>
      <c r="F71">
        <v>2024</v>
      </c>
      <c r="G71">
        <v>15</v>
      </c>
      <c r="H71" t="s">
        <v>37</v>
      </c>
      <c r="I71">
        <v>95.06</v>
      </c>
      <c r="J71" t="s">
        <v>35</v>
      </c>
      <c r="K71">
        <v>131.12</v>
      </c>
      <c r="L71" t="s">
        <v>90</v>
      </c>
      <c r="M71">
        <f t="shared" si="12"/>
        <v>226.18</v>
      </c>
      <c r="N71">
        <f t="shared" si="13"/>
        <v>36.06</v>
      </c>
      <c r="O71" t="str">
        <f t="shared" si="14"/>
        <v>Clay/Ryan</v>
      </c>
      <c r="P71" t="str">
        <f t="shared" si="15"/>
        <v>Drew/Cam</v>
      </c>
      <c r="Q71">
        <f t="shared" si="16"/>
        <v>131.12</v>
      </c>
      <c r="R71">
        <f t="shared" si="17"/>
        <v>95.06</v>
      </c>
    </row>
    <row r="72" spans="1:18" x14ac:dyDescent="0.3">
      <c r="A72">
        <v>71</v>
      </c>
      <c r="B72">
        <f t="shared" si="18"/>
        <v>29</v>
      </c>
      <c r="C72">
        <f t="shared" si="19"/>
        <v>33</v>
      </c>
      <c r="D72">
        <f t="shared" si="20"/>
        <v>30</v>
      </c>
      <c r="E72">
        <f t="shared" si="21"/>
        <v>33</v>
      </c>
      <c r="F72">
        <v>2024</v>
      </c>
      <c r="G72">
        <v>16</v>
      </c>
      <c r="H72" t="s">
        <v>36</v>
      </c>
      <c r="I72">
        <v>105.44</v>
      </c>
      <c r="J72" t="s">
        <v>38</v>
      </c>
      <c r="K72">
        <v>134.46</v>
      </c>
      <c r="L72" t="s">
        <v>59</v>
      </c>
      <c r="M72">
        <f t="shared" si="12"/>
        <v>239.9</v>
      </c>
      <c r="N72">
        <f t="shared" si="13"/>
        <v>29.02000000000001</v>
      </c>
      <c r="O72" t="str">
        <f t="shared" si="14"/>
        <v>David/Marshall</v>
      </c>
      <c r="P72" t="str">
        <f t="shared" si="15"/>
        <v>Walker/Cory</v>
      </c>
      <c r="Q72">
        <f t="shared" si="16"/>
        <v>134.46</v>
      </c>
      <c r="R72">
        <f t="shared" si="17"/>
        <v>105.44</v>
      </c>
    </row>
    <row r="73" spans="1:18" x14ac:dyDescent="0.3">
      <c r="A73">
        <v>72</v>
      </c>
      <c r="B73">
        <f t="shared" si="18"/>
        <v>51</v>
      </c>
      <c r="C73">
        <f t="shared" si="19"/>
        <v>8</v>
      </c>
      <c r="D73">
        <f t="shared" si="20"/>
        <v>14</v>
      </c>
      <c r="E73">
        <f t="shared" si="21"/>
        <v>6</v>
      </c>
      <c r="F73">
        <v>2024</v>
      </c>
      <c r="G73">
        <v>16</v>
      </c>
      <c r="H73" t="s">
        <v>35</v>
      </c>
      <c r="I73">
        <v>151.62</v>
      </c>
      <c r="J73" t="s">
        <v>34</v>
      </c>
      <c r="K73">
        <v>138.12</v>
      </c>
      <c r="L73" t="s">
        <v>59</v>
      </c>
      <c r="M73">
        <f t="shared" si="12"/>
        <v>289.74</v>
      </c>
      <c r="N73">
        <f t="shared" si="13"/>
        <v>13.5</v>
      </c>
      <c r="O73" t="str">
        <f t="shared" si="14"/>
        <v>Clay/Ryan</v>
      </c>
      <c r="P73" t="str">
        <f t="shared" si="15"/>
        <v>Eric/Blake</v>
      </c>
      <c r="Q73">
        <f t="shared" si="16"/>
        <v>151.62</v>
      </c>
      <c r="R73">
        <f t="shared" si="17"/>
        <v>138.12</v>
      </c>
    </row>
    <row r="74" spans="1:18" x14ac:dyDescent="0.3">
      <c r="A74">
        <v>73</v>
      </c>
      <c r="B74">
        <f t="shared" si="18"/>
        <v>31</v>
      </c>
      <c r="C74">
        <f t="shared" si="19"/>
        <v>71</v>
      </c>
      <c r="D74">
        <f t="shared" si="20"/>
        <v>65</v>
      </c>
      <c r="E74">
        <f t="shared" si="21"/>
        <v>70</v>
      </c>
      <c r="F74">
        <v>2024</v>
      </c>
      <c r="G74">
        <v>17</v>
      </c>
      <c r="H74" t="s">
        <v>38</v>
      </c>
      <c r="I74">
        <v>106.08</v>
      </c>
      <c r="J74" t="s">
        <v>35</v>
      </c>
      <c r="K74">
        <v>77.959999999999994</v>
      </c>
      <c r="L74" t="s">
        <v>91</v>
      </c>
      <c r="M74">
        <f t="shared" si="12"/>
        <v>184.04</v>
      </c>
      <c r="N74">
        <f t="shared" si="13"/>
        <v>28.120000000000005</v>
      </c>
      <c r="O74" t="str">
        <f t="shared" si="14"/>
        <v>David/Marshall</v>
      </c>
      <c r="P74" t="str">
        <f t="shared" si="15"/>
        <v>Clay/Ryan</v>
      </c>
      <c r="Q74">
        <f t="shared" si="16"/>
        <v>106.08</v>
      </c>
      <c r="R74">
        <f t="shared" si="17"/>
        <v>77.959999999999994</v>
      </c>
    </row>
    <row r="75" spans="1:18" x14ac:dyDescent="0.3">
      <c r="A75">
        <v>74</v>
      </c>
      <c r="B75">
        <f t="shared" si="18"/>
        <v>77</v>
      </c>
      <c r="C75">
        <f t="shared" si="19"/>
        <v>2</v>
      </c>
      <c r="D75">
        <f t="shared" si="20"/>
        <v>4</v>
      </c>
      <c r="E75">
        <f t="shared" si="21"/>
        <v>2</v>
      </c>
      <c r="F75">
        <v>2024</v>
      </c>
      <c r="G75">
        <v>17</v>
      </c>
      <c r="H75" t="s">
        <v>36</v>
      </c>
      <c r="I75">
        <v>167.1</v>
      </c>
      <c r="J75" t="s">
        <v>34</v>
      </c>
      <c r="K75">
        <v>164.68</v>
      </c>
      <c r="L75" t="s">
        <v>92</v>
      </c>
      <c r="M75">
        <f t="shared" si="12"/>
        <v>331.78</v>
      </c>
      <c r="N75">
        <f t="shared" si="13"/>
        <v>2.4199999999999875</v>
      </c>
      <c r="O75" t="str">
        <f t="shared" si="14"/>
        <v>Walker/Cory</v>
      </c>
      <c r="P75" t="str">
        <f t="shared" si="15"/>
        <v>Eric/Blake</v>
      </c>
      <c r="Q75">
        <f t="shared" si="16"/>
        <v>167.1</v>
      </c>
      <c r="R75">
        <f t="shared" si="17"/>
        <v>164.68</v>
      </c>
    </row>
    <row r="76" spans="1:18" x14ac:dyDescent="0.3">
      <c r="A76">
        <v>75</v>
      </c>
      <c r="B76">
        <f t="shared" si="18"/>
        <v>2</v>
      </c>
      <c r="C76">
        <f t="shared" si="19"/>
        <v>61</v>
      </c>
      <c r="D76">
        <f t="shared" si="20"/>
        <v>16</v>
      </c>
      <c r="E76">
        <f t="shared" si="21"/>
        <v>80</v>
      </c>
      <c r="F76">
        <v>2025</v>
      </c>
      <c r="G76">
        <v>15</v>
      </c>
      <c r="H76" t="s">
        <v>31</v>
      </c>
      <c r="I76">
        <v>56.46</v>
      </c>
      <c r="J76" t="s">
        <v>35</v>
      </c>
      <c r="K76">
        <v>148.19999999999999</v>
      </c>
      <c r="L76" t="s">
        <v>90</v>
      </c>
      <c r="M76">
        <f t="shared" si="12"/>
        <v>204.66</v>
      </c>
      <c r="N76">
        <f t="shared" si="13"/>
        <v>91.739999999999981</v>
      </c>
      <c r="O76" t="str">
        <f t="shared" si="14"/>
        <v>Clay/Ryan</v>
      </c>
      <c r="P76" t="str">
        <f t="shared" si="15"/>
        <v>Pat/Tucker</v>
      </c>
      <c r="Q76">
        <f t="shared" si="16"/>
        <v>148.19999999999999</v>
      </c>
      <c r="R76">
        <f t="shared" si="17"/>
        <v>56.46</v>
      </c>
    </row>
    <row r="77" spans="1:18" x14ac:dyDescent="0.3">
      <c r="A77">
        <v>76</v>
      </c>
      <c r="B77">
        <f t="shared" si="18"/>
        <v>9</v>
      </c>
      <c r="C77">
        <f t="shared" si="19"/>
        <v>7</v>
      </c>
      <c r="D77">
        <f t="shared" si="20"/>
        <v>2</v>
      </c>
      <c r="E77">
        <f t="shared" si="21"/>
        <v>18</v>
      </c>
      <c r="F77">
        <v>2025</v>
      </c>
      <c r="G77">
        <v>15</v>
      </c>
      <c r="H77" t="s">
        <v>37</v>
      </c>
      <c r="I77">
        <v>170.2</v>
      </c>
      <c r="J77" t="s">
        <v>33</v>
      </c>
      <c r="K77">
        <v>119.7</v>
      </c>
      <c r="L77" t="s">
        <v>90</v>
      </c>
      <c r="M77">
        <f t="shared" si="12"/>
        <v>289.89999999999998</v>
      </c>
      <c r="N77">
        <f t="shared" si="13"/>
        <v>50.499999999999986</v>
      </c>
      <c r="O77" t="str">
        <f t="shared" si="14"/>
        <v>Drew/Cam</v>
      </c>
      <c r="P77" t="str">
        <f t="shared" si="15"/>
        <v>Trent/Colin</v>
      </c>
      <c r="Q77">
        <f t="shared" si="16"/>
        <v>170.2</v>
      </c>
      <c r="R77">
        <f t="shared" si="17"/>
        <v>119.7</v>
      </c>
    </row>
    <row r="78" spans="1:18" x14ac:dyDescent="0.3">
      <c r="A78">
        <v>77</v>
      </c>
      <c r="B78">
        <f t="shared" si="18"/>
        <v>48</v>
      </c>
      <c r="C78">
        <f t="shared" si="19"/>
        <v>58</v>
      </c>
      <c r="D78">
        <f t="shared" si="20"/>
        <v>64</v>
      </c>
      <c r="E78">
        <f t="shared" si="21"/>
        <v>46</v>
      </c>
      <c r="F78">
        <v>2025</v>
      </c>
      <c r="G78">
        <v>16</v>
      </c>
      <c r="H78" t="s">
        <v>35</v>
      </c>
      <c r="I78">
        <v>112.22</v>
      </c>
      <c r="J78" t="s">
        <v>29</v>
      </c>
      <c r="K78">
        <v>97.3</v>
      </c>
      <c r="L78" t="s">
        <v>59</v>
      </c>
      <c r="M78">
        <f t="shared" si="12"/>
        <v>209.51999999999998</v>
      </c>
      <c r="N78">
        <f t="shared" si="13"/>
        <v>14.920000000000002</v>
      </c>
      <c r="O78" t="str">
        <f t="shared" si="14"/>
        <v>Clay/Ryan</v>
      </c>
      <c r="P78" t="str">
        <f t="shared" si="15"/>
        <v>Graham/Michael</v>
      </c>
      <c r="Q78">
        <f t="shared" si="16"/>
        <v>112.22</v>
      </c>
      <c r="R78">
        <f t="shared" si="17"/>
        <v>97.3</v>
      </c>
    </row>
    <row r="79" spans="1:18" x14ac:dyDescent="0.3">
      <c r="A79">
        <v>78</v>
      </c>
      <c r="B79">
        <f t="shared" si="18"/>
        <v>78</v>
      </c>
      <c r="C79">
        <f t="shared" si="19"/>
        <v>1</v>
      </c>
      <c r="D79">
        <f t="shared" si="20"/>
        <v>5</v>
      </c>
      <c r="E79">
        <f t="shared" si="21"/>
        <v>1</v>
      </c>
      <c r="F79">
        <v>2025</v>
      </c>
      <c r="G79">
        <v>16</v>
      </c>
      <c r="H79" t="s">
        <v>37</v>
      </c>
      <c r="I79">
        <v>166.9</v>
      </c>
      <c r="J79" t="s">
        <v>32</v>
      </c>
      <c r="K79">
        <v>165</v>
      </c>
      <c r="L79" t="s">
        <v>59</v>
      </c>
      <c r="M79">
        <f t="shared" si="12"/>
        <v>331.9</v>
      </c>
      <c r="N79">
        <f t="shared" si="13"/>
        <v>1.9000000000000057</v>
      </c>
      <c r="O79" t="str">
        <f t="shared" si="14"/>
        <v>Drew/Cam</v>
      </c>
      <c r="P79" t="str">
        <f t="shared" si="15"/>
        <v>Brian/Travis</v>
      </c>
      <c r="Q79">
        <f t="shared" si="16"/>
        <v>166.9</v>
      </c>
      <c r="R79">
        <f t="shared" si="17"/>
        <v>165</v>
      </c>
    </row>
    <row r="80" spans="1:18" x14ac:dyDescent="0.3">
      <c r="A80">
        <v>79</v>
      </c>
      <c r="B80">
        <f t="shared" si="18"/>
        <v>26</v>
      </c>
      <c r="C80">
        <f t="shared" si="19"/>
        <v>35</v>
      </c>
      <c r="D80">
        <f t="shared" si="20"/>
        <v>28</v>
      </c>
      <c r="E80">
        <f t="shared" si="21"/>
        <v>41</v>
      </c>
      <c r="F80">
        <v>2025</v>
      </c>
      <c r="G80">
        <v>17</v>
      </c>
      <c r="H80" t="s">
        <v>35</v>
      </c>
      <c r="I80">
        <v>134.91999999999999</v>
      </c>
      <c r="J80" t="s">
        <v>37</v>
      </c>
      <c r="K80">
        <v>100.72</v>
      </c>
      <c r="L80" t="s">
        <v>91</v>
      </c>
      <c r="M80">
        <f t="shared" si="12"/>
        <v>235.64</v>
      </c>
      <c r="N80">
        <f t="shared" si="13"/>
        <v>34.199999999999989</v>
      </c>
      <c r="O80" t="str">
        <f t="shared" si="14"/>
        <v>Clay/Ryan</v>
      </c>
      <c r="P80" t="str">
        <f t="shared" si="15"/>
        <v>Drew/Cam</v>
      </c>
      <c r="Q80">
        <f t="shared" si="16"/>
        <v>134.91999999999999</v>
      </c>
      <c r="R80">
        <f t="shared" si="17"/>
        <v>100.72</v>
      </c>
    </row>
    <row r="81" spans="1:18" x14ac:dyDescent="0.3">
      <c r="A81">
        <v>80</v>
      </c>
      <c r="B81">
        <f t="shared" si="18"/>
        <v>10</v>
      </c>
      <c r="C81">
        <f t="shared" si="19"/>
        <v>57</v>
      </c>
      <c r="D81">
        <f t="shared" si="20"/>
        <v>36</v>
      </c>
      <c r="E81">
        <f t="shared" si="21"/>
        <v>67</v>
      </c>
      <c r="F81">
        <v>2025</v>
      </c>
      <c r="G81">
        <v>17</v>
      </c>
      <c r="H81" t="s">
        <v>32</v>
      </c>
      <c r="I81">
        <v>82.4</v>
      </c>
      <c r="J81" t="s">
        <v>29</v>
      </c>
      <c r="K81">
        <v>132.38</v>
      </c>
      <c r="L81" t="s">
        <v>92</v>
      </c>
      <c r="M81">
        <f t="shared" si="12"/>
        <v>214.78</v>
      </c>
      <c r="N81">
        <f t="shared" si="13"/>
        <v>49.97999999999999</v>
      </c>
      <c r="O81" t="str">
        <f t="shared" si="14"/>
        <v>Graham/Michael</v>
      </c>
      <c r="P81" t="str">
        <f t="shared" si="15"/>
        <v>Brian/Travis</v>
      </c>
      <c r="Q81">
        <f t="shared" si="16"/>
        <v>132.38</v>
      </c>
      <c r="R81">
        <f t="shared" si="17"/>
        <v>82.4</v>
      </c>
    </row>
  </sheetData>
  <autoFilter ref="A1:S64" xr:uid="{066316FA-BE16-4F1B-B472-6CFCBAE353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8C93-1E24-410A-AC9C-C36EA6009F4E}">
  <dimension ref="A1:K131"/>
  <sheetViews>
    <sheetView workbookViewId="0">
      <pane ySplit="1" topLeftCell="A2" activePane="bottomLeft" state="frozen"/>
      <selection pane="bottomLeft" activeCell="A3" sqref="A3"/>
    </sheetView>
    <sheetView workbookViewId="1">
      <selection sqref="A1:K1"/>
    </sheetView>
  </sheetViews>
  <sheetFormatPr defaultRowHeight="14.4" x14ac:dyDescent="0.3"/>
  <cols>
    <col min="2" max="2" width="7.33203125" bestFit="1" customWidth="1"/>
    <col min="3" max="3" width="19.5546875" bestFit="1" customWidth="1"/>
    <col min="4" max="4" width="14.44140625" bestFit="1" customWidth="1"/>
    <col min="5" max="5" width="12.33203125" bestFit="1" customWidth="1"/>
    <col min="6" max="6" width="7.88671875" bestFit="1" customWidth="1"/>
    <col min="7" max="7" width="9" bestFit="1" customWidth="1"/>
    <col min="8" max="8" width="9.5546875" bestFit="1" customWidth="1"/>
    <col min="9" max="9" width="12.109375" bestFit="1" customWidth="1"/>
    <col min="10" max="10" width="16" bestFit="1" customWidth="1"/>
    <col min="11" max="11" width="12.109375" bestFit="1" customWidth="1"/>
  </cols>
  <sheetData>
    <row r="1" spans="1:11" x14ac:dyDescent="0.3">
      <c r="A1" s="11" t="s">
        <v>61</v>
      </c>
      <c r="B1" s="11" t="s">
        <v>21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57</v>
      </c>
      <c r="I1" s="11" t="s">
        <v>5</v>
      </c>
      <c r="J1" s="11" t="s">
        <v>6</v>
      </c>
      <c r="K1" s="11" t="s">
        <v>49</v>
      </c>
    </row>
    <row r="2" spans="1:11" x14ac:dyDescent="0.3">
      <c r="A2">
        <f>RANK(K2,$K:$K)</f>
        <v>30</v>
      </c>
      <c r="B2">
        <v>2013</v>
      </c>
      <c r="C2" t="s">
        <v>31</v>
      </c>
      <c r="D2">
        <v>1</v>
      </c>
      <c r="E2">
        <v>7</v>
      </c>
      <c r="F2">
        <v>10</v>
      </c>
      <c r="G2">
        <v>3</v>
      </c>
      <c r="H2" t="s">
        <v>58</v>
      </c>
      <c r="I2" s="60">
        <v>1497.5</v>
      </c>
      <c r="J2" s="60">
        <v>1252.5</v>
      </c>
      <c r="K2" s="60">
        <f>I2/SUM(F2:G2)</f>
        <v>115.19230769230769</v>
      </c>
    </row>
    <row r="3" spans="1:11" x14ac:dyDescent="0.3">
      <c r="A3">
        <f t="shared" ref="A3:A66" si="0">RANK(K3,$K:$K)</f>
        <v>31</v>
      </c>
      <c r="B3">
        <v>2013</v>
      </c>
      <c r="C3" t="s">
        <v>36</v>
      </c>
      <c r="D3">
        <v>2</v>
      </c>
      <c r="E3">
        <v>2</v>
      </c>
      <c r="F3">
        <v>10</v>
      </c>
      <c r="G3">
        <v>3</v>
      </c>
      <c r="H3" t="s">
        <v>58</v>
      </c>
      <c r="I3" s="60">
        <v>1496</v>
      </c>
      <c r="J3" s="60">
        <v>1275</v>
      </c>
      <c r="K3" s="60">
        <f t="shared" ref="K3:K66" si="1">I3/SUM(F3:G3)</f>
        <v>115.07692307692308</v>
      </c>
    </row>
    <row r="4" spans="1:11" x14ac:dyDescent="0.3">
      <c r="A4">
        <f t="shared" si="0"/>
        <v>83</v>
      </c>
      <c r="B4">
        <v>2013</v>
      </c>
      <c r="C4" t="s">
        <v>34</v>
      </c>
      <c r="D4">
        <v>3</v>
      </c>
      <c r="E4">
        <v>5</v>
      </c>
      <c r="F4">
        <v>8</v>
      </c>
      <c r="G4">
        <v>5</v>
      </c>
      <c r="H4" t="s">
        <v>58</v>
      </c>
      <c r="I4" s="60">
        <v>1349</v>
      </c>
      <c r="J4" s="60">
        <v>1312.5</v>
      </c>
      <c r="K4" s="60">
        <f t="shared" si="1"/>
        <v>103.76923076923077</v>
      </c>
    </row>
    <row r="5" spans="1:11" x14ac:dyDescent="0.3">
      <c r="A5">
        <f t="shared" si="0"/>
        <v>53</v>
      </c>
      <c r="B5">
        <v>2013</v>
      </c>
      <c r="C5" t="s">
        <v>35</v>
      </c>
      <c r="D5">
        <v>4</v>
      </c>
      <c r="E5">
        <v>6</v>
      </c>
      <c r="F5">
        <v>7</v>
      </c>
      <c r="G5">
        <v>6</v>
      </c>
      <c r="H5" t="s">
        <v>58</v>
      </c>
      <c r="I5" s="60">
        <v>1427.5</v>
      </c>
      <c r="J5" s="60">
        <v>1295.5</v>
      </c>
      <c r="K5" s="60">
        <f t="shared" si="1"/>
        <v>109.80769230769231</v>
      </c>
    </row>
    <row r="6" spans="1:11" x14ac:dyDescent="0.3">
      <c r="A6">
        <f t="shared" si="0"/>
        <v>113</v>
      </c>
      <c r="B6">
        <v>2013</v>
      </c>
      <c r="C6" t="s">
        <v>33</v>
      </c>
      <c r="D6">
        <v>5</v>
      </c>
      <c r="E6">
        <v>1</v>
      </c>
      <c r="F6">
        <v>7</v>
      </c>
      <c r="G6">
        <v>6</v>
      </c>
      <c r="H6" t="s">
        <v>58</v>
      </c>
      <c r="I6" s="60">
        <v>1239</v>
      </c>
      <c r="J6" s="60">
        <v>1326</v>
      </c>
      <c r="K6" s="60">
        <f t="shared" si="1"/>
        <v>95.307692307692307</v>
      </c>
    </row>
    <row r="7" spans="1:11" x14ac:dyDescent="0.3">
      <c r="A7">
        <f t="shared" si="0"/>
        <v>74</v>
      </c>
      <c r="B7">
        <v>2013</v>
      </c>
      <c r="C7" t="s">
        <v>30</v>
      </c>
      <c r="D7">
        <v>6</v>
      </c>
      <c r="E7">
        <v>3</v>
      </c>
      <c r="F7">
        <v>6</v>
      </c>
      <c r="G7">
        <v>7</v>
      </c>
      <c r="H7" t="s">
        <v>58</v>
      </c>
      <c r="I7" s="60">
        <v>1364</v>
      </c>
      <c r="J7" s="60">
        <v>1349.5</v>
      </c>
      <c r="K7" s="60">
        <f t="shared" si="1"/>
        <v>104.92307692307692</v>
      </c>
    </row>
    <row r="8" spans="1:11" x14ac:dyDescent="0.3">
      <c r="A8">
        <f t="shared" si="0"/>
        <v>103</v>
      </c>
      <c r="B8">
        <v>2013</v>
      </c>
      <c r="C8" t="s">
        <v>32</v>
      </c>
      <c r="D8">
        <v>7</v>
      </c>
      <c r="E8">
        <v>8</v>
      </c>
      <c r="F8">
        <v>6</v>
      </c>
      <c r="G8">
        <v>7</v>
      </c>
      <c r="H8" t="s">
        <v>58</v>
      </c>
      <c r="I8" s="60">
        <v>1285</v>
      </c>
      <c r="J8" s="60">
        <v>1433.5</v>
      </c>
      <c r="K8" s="60">
        <f t="shared" si="1"/>
        <v>98.84615384615384</v>
      </c>
    </row>
    <row r="9" spans="1:11" x14ac:dyDescent="0.3">
      <c r="A9">
        <f t="shared" si="0"/>
        <v>93</v>
      </c>
      <c r="B9">
        <v>2013</v>
      </c>
      <c r="C9" t="s">
        <v>29</v>
      </c>
      <c r="D9">
        <v>8</v>
      </c>
      <c r="E9">
        <v>4</v>
      </c>
      <c r="F9">
        <v>5</v>
      </c>
      <c r="G9">
        <v>8</v>
      </c>
      <c r="H9" t="s">
        <v>58</v>
      </c>
      <c r="I9" s="60">
        <v>1335.5</v>
      </c>
      <c r="J9" s="60">
        <v>1436.5</v>
      </c>
      <c r="K9" s="60">
        <f t="shared" si="1"/>
        <v>102.73076923076923</v>
      </c>
    </row>
    <row r="10" spans="1:11" x14ac:dyDescent="0.3">
      <c r="A10">
        <f t="shared" si="0"/>
        <v>117</v>
      </c>
      <c r="B10">
        <v>2013</v>
      </c>
      <c r="C10" t="s">
        <v>37</v>
      </c>
      <c r="D10">
        <v>9</v>
      </c>
      <c r="E10">
        <v>9</v>
      </c>
      <c r="F10">
        <v>4</v>
      </c>
      <c r="G10">
        <v>9</v>
      </c>
      <c r="I10" s="60">
        <v>1218.5</v>
      </c>
      <c r="J10" s="60">
        <v>1341</v>
      </c>
      <c r="K10" s="60">
        <f t="shared" si="1"/>
        <v>93.730769230769226</v>
      </c>
    </row>
    <row r="11" spans="1:11" x14ac:dyDescent="0.3">
      <c r="A11">
        <f t="shared" si="0"/>
        <v>130</v>
      </c>
      <c r="B11">
        <v>2013</v>
      </c>
      <c r="C11" t="s">
        <v>38</v>
      </c>
      <c r="D11">
        <v>10</v>
      </c>
      <c r="E11">
        <v>10</v>
      </c>
      <c r="F11">
        <v>2</v>
      </c>
      <c r="G11">
        <v>11</v>
      </c>
      <c r="I11" s="60">
        <v>1050.5</v>
      </c>
      <c r="J11" s="60">
        <v>1240.5</v>
      </c>
      <c r="K11" s="60">
        <f t="shared" si="1"/>
        <v>80.807692307692307</v>
      </c>
    </row>
    <row r="12" spans="1:11" x14ac:dyDescent="0.3">
      <c r="A12">
        <f t="shared" si="0"/>
        <v>95</v>
      </c>
      <c r="B12">
        <v>2014</v>
      </c>
      <c r="C12" t="s">
        <v>33</v>
      </c>
      <c r="D12">
        <v>1</v>
      </c>
      <c r="E12">
        <v>4</v>
      </c>
      <c r="F12">
        <v>9</v>
      </c>
      <c r="G12">
        <v>4</v>
      </c>
      <c r="H12" t="s">
        <v>58</v>
      </c>
      <c r="I12" s="60">
        <v>1322.5</v>
      </c>
      <c r="J12" s="60">
        <v>1204.5</v>
      </c>
      <c r="K12" s="60">
        <f t="shared" si="1"/>
        <v>101.73076923076923</v>
      </c>
    </row>
    <row r="13" spans="1:11" x14ac:dyDescent="0.3">
      <c r="A13">
        <f t="shared" si="0"/>
        <v>76</v>
      </c>
      <c r="B13">
        <v>2014</v>
      </c>
      <c r="C13" t="s">
        <v>35</v>
      </c>
      <c r="D13">
        <v>2</v>
      </c>
      <c r="E13">
        <v>1</v>
      </c>
      <c r="F13">
        <v>7</v>
      </c>
      <c r="G13">
        <v>6</v>
      </c>
      <c r="H13" t="s">
        <v>58</v>
      </c>
      <c r="I13" s="60">
        <v>1363.5</v>
      </c>
      <c r="J13" s="60">
        <v>1281</v>
      </c>
      <c r="K13" s="60">
        <f t="shared" si="1"/>
        <v>104.88461538461539</v>
      </c>
    </row>
    <row r="14" spans="1:11" x14ac:dyDescent="0.3">
      <c r="A14">
        <f t="shared" si="0"/>
        <v>25</v>
      </c>
      <c r="B14">
        <v>2014</v>
      </c>
      <c r="C14" t="s">
        <v>34</v>
      </c>
      <c r="D14">
        <v>3</v>
      </c>
      <c r="E14">
        <v>3</v>
      </c>
      <c r="F14">
        <v>8</v>
      </c>
      <c r="G14">
        <v>5</v>
      </c>
      <c r="H14" t="s">
        <v>58</v>
      </c>
      <c r="I14" s="60">
        <v>1509</v>
      </c>
      <c r="J14" s="60">
        <v>1387.5</v>
      </c>
      <c r="K14" s="60">
        <f t="shared" si="1"/>
        <v>116.07692307692308</v>
      </c>
    </row>
    <row r="15" spans="1:11" x14ac:dyDescent="0.3">
      <c r="A15">
        <f t="shared" si="0"/>
        <v>84</v>
      </c>
      <c r="B15">
        <v>2014</v>
      </c>
      <c r="C15" t="s">
        <v>31</v>
      </c>
      <c r="D15">
        <v>4</v>
      </c>
      <c r="E15">
        <v>2</v>
      </c>
      <c r="F15">
        <v>8</v>
      </c>
      <c r="G15">
        <v>5</v>
      </c>
      <c r="H15" t="s">
        <v>58</v>
      </c>
      <c r="I15" s="60">
        <v>1346</v>
      </c>
      <c r="J15" s="60">
        <v>1427.5</v>
      </c>
      <c r="K15" s="60">
        <f t="shared" si="1"/>
        <v>103.53846153846153</v>
      </c>
    </row>
    <row r="16" spans="1:11" x14ac:dyDescent="0.3">
      <c r="A16">
        <f t="shared" si="0"/>
        <v>7</v>
      </c>
      <c r="B16">
        <v>2014</v>
      </c>
      <c r="C16" t="s">
        <v>29</v>
      </c>
      <c r="D16">
        <v>5</v>
      </c>
      <c r="E16">
        <v>5</v>
      </c>
      <c r="F16">
        <v>6</v>
      </c>
      <c r="G16">
        <v>7</v>
      </c>
      <c r="H16" t="s">
        <v>58</v>
      </c>
      <c r="I16" s="60">
        <v>1590.5</v>
      </c>
      <c r="J16" s="60">
        <v>1432</v>
      </c>
      <c r="K16" s="60">
        <f t="shared" si="1"/>
        <v>122.34615384615384</v>
      </c>
    </row>
    <row r="17" spans="1:11" x14ac:dyDescent="0.3">
      <c r="A17">
        <f t="shared" si="0"/>
        <v>91</v>
      </c>
      <c r="B17">
        <v>2014</v>
      </c>
      <c r="C17" t="s">
        <v>30</v>
      </c>
      <c r="D17">
        <v>6</v>
      </c>
      <c r="E17">
        <v>6</v>
      </c>
      <c r="F17">
        <v>6</v>
      </c>
      <c r="G17">
        <v>7</v>
      </c>
      <c r="H17" t="s">
        <v>58</v>
      </c>
      <c r="I17" s="60">
        <v>1337.5</v>
      </c>
      <c r="J17" s="60">
        <v>1396</v>
      </c>
      <c r="K17" s="60">
        <f t="shared" si="1"/>
        <v>102.88461538461539</v>
      </c>
    </row>
    <row r="18" spans="1:11" x14ac:dyDescent="0.3">
      <c r="A18">
        <f t="shared" si="0"/>
        <v>96</v>
      </c>
      <c r="B18">
        <v>2014</v>
      </c>
      <c r="C18" t="s">
        <v>32</v>
      </c>
      <c r="D18">
        <v>7</v>
      </c>
      <c r="E18">
        <v>7</v>
      </c>
      <c r="F18">
        <v>6</v>
      </c>
      <c r="G18">
        <v>7</v>
      </c>
      <c r="I18" s="60">
        <v>1317</v>
      </c>
      <c r="J18" s="60">
        <v>1319.5</v>
      </c>
      <c r="K18" s="60">
        <f t="shared" si="1"/>
        <v>101.30769230769231</v>
      </c>
    </row>
    <row r="19" spans="1:11" x14ac:dyDescent="0.3">
      <c r="A19">
        <f t="shared" si="0"/>
        <v>104</v>
      </c>
      <c r="B19">
        <v>2014</v>
      </c>
      <c r="C19" t="s">
        <v>36</v>
      </c>
      <c r="D19">
        <v>8</v>
      </c>
      <c r="E19">
        <v>8</v>
      </c>
      <c r="F19">
        <v>6</v>
      </c>
      <c r="G19">
        <v>7</v>
      </c>
      <c r="I19" s="60">
        <v>1282.5</v>
      </c>
      <c r="J19" s="60">
        <v>1287</v>
      </c>
      <c r="K19" s="60">
        <f t="shared" si="1"/>
        <v>98.65384615384616</v>
      </c>
    </row>
    <row r="20" spans="1:11" x14ac:dyDescent="0.3">
      <c r="A20">
        <f t="shared" si="0"/>
        <v>126</v>
      </c>
      <c r="B20">
        <v>2014</v>
      </c>
      <c r="C20" t="s">
        <v>37</v>
      </c>
      <c r="D20">
        <v>9</v>
      </c>
      <c r="E20">
        <v>9</v>
      </c>
      <c r="F20">
        <v>5</v>
      </c>
      <c r="G20">
        <v>8</v>
      </c>
      <c r="I20" s="60">
        <v>1179.5</v>
      </c>
      <c r="J20" s="60">
        <v>1336</v>
      </c>
      <c r="K20" s="60">
        <f t="shared" si="1"/>
        <v>90.730769230769226</v>
      </c>
    </row>
    <row r="21" spans="1:11" x14ac:dyDescent="0.3">
      <c r="A21">
        <f t="shared" si="0"/>
        <v>118</v>
      </c>
      <c r="B21">
        <v>2014</v>
      </c>
      <c r="C21" t="s">
        <v>38</v>
      </c>
      <c r="D21">
        <v>10</v>
      </c>
      <c r="E21">
        <v>10</v>
      </c>
      <c r="F21">
        <v>4</v>
      </c>
      <c r="G21">
        <v>9</v>
      </c>
      <c r="I21" s="60">
        <v>1213.5</v>
      </c>
      <c r="J21" s="60">
        <v>1390.5</v>
      </c>
      <c r="K21" s="60">
        <f t="shared" si="1"/>
        <v>93.34615384615384</v>
      </c>
    </row>
    <row r="22" spans="1:11" x14ac:dyDescent="0.3">
      <c r="A22">
        <f t="shared" si="0"/>
        <v>15</v>
      </c>
      <c r="B22">
        <v>2015</v>
      </c>
      <c r="C22" t="s">
        <v>34</v>
      </c>
      <c r="D22">
        <v>1</v>
      </c>
      <c r="E22">
        <v>1</v>
      </c>
      <c r="F22">
        <v>10</v>
      </c>
      <c r="G22">
        <v>3</v>
      </c>
      <c r="H22" t="s">
        <v>58</v>
      </c>
      <c r="I22" s="60">
        <v>1558.5</v>
      </c>
      <c r="J22" s="60">
        <v>1243.5</v>
      </c>
      <c r="K22" s="60">
        <f t="shared" si="1"/>
        <v>119.88461538461539</v>
      </c>
    </row>
    <row r="23" spans="1:11" x14ac:dyDescent="0.3">
      <c r="A23">
        <f t="shared" si="0"/>
        <v>40</v>
      </c>
      <c r="B23">
        <v>2015</v>
      </c>
      <c r="C23" t="s">
        <v>30</v>
      </c>
      <c r="D23">
        <v>2</v>
      </c>
      <c r="E23">
        <v>3</v>
      </c>
      <c r="F23">
        <v>9</v>
      </c>
      <c r="G23">
        <v>4</v>
      </c>
      <c r="H23" t="s">
        <v>58</v>
      </c>
      <c r="I23" s="60">
        <v>1465.5</v>
      </c>
      <c r="J23" s="60">
        <v>1233.5</v>
      </c>
      <c r="K23" s="60">
        <f t="shared" si="1"/>
        <v>112.73076923076923</v>
      </c>
    </row>
    <row r="24" spans="1:11" x14ac:dyDescent="0.3">
      <c r="A24">
        <f t="shared" si="0"/>
        <v>51</v>
      </c>
      <c r="B24">
        <v>2015</v>
      </c>
      <c r="C24" t="s">
        <v>33</v>
      </c>
      <c r="D24">
        <v>3</v>
      </c>
      <c r="E24">
        <v>6</v>
      </c>
      <c r="F24">
        <v>7</v>
      </c>
      <c r="G24">
        <v>6</v>
      </c>
      <c r="H24" t="s">
        <v>58</v>
      </c>
      <c r="I24" s="60">
        <v>1431</v>
      </c>
      <c r="J24" s="60">
        <v>1383.5</v>
      </c>
      <c r="K24" s="60">
        <f t="shared" si="1"/>
        <v>110.07692307692308</v>
      </c>
    </row>
    <row r="25" spans="1:11" x14ac:dyDescent="0.3">
      <c r="A25">
        <f t="shared" si="0"/>
        <v>77</v>
      </c>
      <c r="B25">
        <v>2015</v>
      </c>
      <c r="C25" t="s">
        <v>32</v>
      </c>
      <c r="D25">
        <v>4</v>
      </c>
      <c r="E25">
        <v>4</v>
      </c>
      <c r="F25">
        <v>7</v>
      </c>
      <c r="G25">
        <v>6</v>
      </c>
      <c r="H25" t="s">
        <v>58</v>
      </c>
      <c r="I25" s="60">
        <v>1358</v>
      </c>
      <c r="J25" s="60">
        <v>1409.5</v>
      </c>
      <c r="K25" s="60">
        <f t="shared" si="1"/>
        <v>104.46153846153847</v>
      </c>
    </row>
    <row r="26" spans="1:11" x14ac:dyDescent="0.3">
      <c r="A26">
        <f t="shared" si="0"/>
        <v>73</v>
      </c>
      <c r="B26">
        <v>2015</v>
      </c>
      <c r="C26" t="s">
        <v>36</v>
      </c>
      <c r="D26">
        <v>5</v>
      </c>
      <c r="E26">
        <v>5</v>
      </c>
      <c r="F26">
        <v>6</v>
      </c>
      <c r="G26">
        <v>7</v>
      </c>
      <c r="H26" t="s">
        <v>58</v>
      </c>
      <c r="I26" s="60">
        <v>1364.5</v>
      </c>
      <c r="J26" s="60">
        <v>1312</v>
      </c>
      <c r="K26" s="60">
        <f t="shared" si="1"/>
        <v>104.96153846153847</v>
      </c>
    </row>
    <row r="27" spans="1:11" x14ac:dyDescent="0.3">
      <c r="A27">
        <f t="shared" si="0"/>
        <v>114</v>
      </c>
      <c r="B27">
        <v>2015</v>
      </c>
      <c r="C27" t="s">
        <v>37</v>
      </c>
      <c r="D27">
        <v>6</v>
      </c>
      <c r="E27">
        <v>2</v>
      </c>
      <c r="F27">
        <v>6</v>
      </c>
      <c r="G27">
        <v>7</v>
      </c>
      <c r="H27" t="s">
        <v>58</v>
      </c>
      <c r="I27" s="60">
        <v>1238</v>
      </c>
      <c r="J27" s="60">
        <v>1372.5</v>
      </c>
      <c r="K27" s="60">
        <f t="shared" si="1"/>
        <v>95.230769230769226</v>
      </c>
    </row>
    <row r="28" spans="1:11" x14ac:dyDescent="0.3">
      <c r="A28">
        <f t="shared" si="0"/>
        <v>88</v>
      </c>
      <c r="B28">
        <v>2015</v>
      </c>
      <c r="C28" t="s">
        <v>29</v>
      </c>
      <c r="D28">
        <v>7</v>
      </c>
      <c r="E28">
        <v>7</v>
      </c>
      <c r="F28">
        <v>5</v>
      </c>
      <c r="G28">
        <v>8</v>
      </c>
      <c r="I28" s="60">
        <v>1341.5</v>
      </c>
      <c r="J28" s="60">
        <v>1445</v>
      </c>
      <c r="K28" s="60">
        <f t="shared" si="1"/>
        <v>103.19230769230769</v>
      </c>
    </row>
    <row r="29" spans="1:11" x14ac:dyDescent="0.3">
      <c r="A29">
        <f t="shared" si="0"/>
        <v>110</v>
      </c>
      <c r="B29">
        <v>2015</v>
      </c>
      <c r="C29" t="s">
        <v>38</v>
      </c>
      <c r="D29">
        <v>8</v>
      </c>
      <c r="E29">
        <v>8</v>
      </c>
      <c r="F29">
        <v>5</v>
      </c>
      <c r="G29">
        <v>8</v>
      </c>
      <c r="I29" s="60">
        <v>1243</v>
      </c>
      <c r="J29" s="60">
        <v>1319.5</v>
      </c>
      <c r="K29" s="60">
        <f t="shared" si="1"/>
        <v>95.615384615384613</v>
      </c>
    </row>
    <row r="30" spans="1:11" x14ac:dyDescent="0.3">
      <c r="A30">
        <f t="shared" si="0"/>
        <v>123</v>
      </c>
      <c r="B30">
        <v>2015</v>
      </c>
      <c r="C30" t="s">
        <v>31</v>
      </c>
      <c r="D30">
        <v>9</v>
      </c>
      <c r="E30">
        <v>9</v>
      </c>
      <c r="F30">
        <v>5</v>
      </c>
      <c r="G30">
        <v>8</v>
      </c>
      <c r="I30" s="60">
        <v>1189.5</v>
      </c>
      <c r="J30" s="60">
        <v>1365</v>
      </c>
      <c r="K30" s="60">
        <f t="shared" si="1"/>
        <v>91.5</v>
      </c>
    </row>
    <row r="31" spans="1:11" x14ac:dyDescent="0.3">
      <c r="A31">
        <f t="shared" si="0"/>
        <v>125</v>
      </c>
      <c r="B31">
        <v>2015</v>
      </c>
      <c r="C31" t="s">
        <v>35</v>
      </c>
      <c r="D31">
        <v>10</v>
      </c>
      <c r="E31">
        <v>10</v>
      </c>
      <c r="F31">
        <v>5</v>
      </c>
      <c r="G31">
        <v>8</v>
      </c>
      <c r="I31" s="60">
        <v>1182.5</v>
      </c>
      <c r="J31" s="60">
        <v>1288</v>
      </c>
      <c r="K31" s="60">
        <f t="shared" si="1"/>
        <v>90.961538461538467</v>
      </c>
    </row>
    <row r="32" spans="1:11" x14ac:dyDescent="0.3">
      <c r="A32">
        <f t="shared" si="0"/>
        <v>19</v>
      </c>
      <c r="B32">
        <v>2016</v>
      </c>
      <c r="C32" t="s">
        <v>33</v>
      </c>
      <c r="D32">
        <v>1</v>
      </c>
      <c r="E32">
        <v>1</v>
      </c>
      <c r="F32">
        <v>10</v>
      </c>
      <c r="G32">
        <v>3</v>
      </c>
      <c r="H32" t="s">
        <v>58</v>
      </c>
      <c r="I32" s="60">
        <v>1533.5</v>
      </c>
      <c r="J32" s="60">
        <v>1342.5</v>
      </c>
      <c r="K32" s="60">
        <f t="shared" si="1"/>
        <v>117.96153846153847</v>
      </c>
    </row>
    <row r="33" spans="1:11" x14ac:dyDescent="0.3">
      <c r="A33">
        <f t="shared" si="0"/>
        <v>59</v>
      </c>
      <c r="B33">
        <v>2016</v>
      </c>
      <c r="C33" t="s">
        <v>30</v>
      </c>
      <c r="D33">
        <v>2</v>
      </c>
      <c r="E33">
        <v>2</v>
      </c>
      <c r="F33">
        <v>8</v>
      </c>
      <c r="G33">
        <v>5</v>
      </c>
      <c r="H33" t="s">
        <v>58</v>
      </c>
      <c r="I33" s="60">
        <v>1412.5</v>
      </c>
      <c r="J33" s="60">
        <v>1321.5</v>
      </c>
      <c r="K33" s="60">
        <f t="shared" si="1"/>
        <v>108.65384615384616</v>
      </c>
    </row>
    <row r="34" spans="1:11" x14ac:dyDescent="0.3">
      <c r="A34">
        <f t="shared" si="0"/>
        <v>94</v>
      </c>
      <c r="B34">
        <v>2016</v>
      </c>
      <c r="C34" t="s">
        <v>34</v>
      </c>
      <c r="D34">
        <v>3</v>
      </c>
      <c r="E34">
        <v>4</v>
      </c>
      <c r="F34">
        <v>8</v>
      </c>
      <c r="G34">
        <v>5</v>
      </c>
      <c r="H34" t="s">
        <v>58</v>
      </c>
      <c r="I34" s="60">
        <v>1327</v>
      </c>
      <c r="J34" s="60">
        <v>1286.5</v>
      </c>
      <c r="K34" s="60">
        <f t="shared" si="1"/>
        <v>102.07692307692308</v>
      </c>
    </row>
    <row r="35" spans="1:11" x14ac:dyDescent="0.3">
      <c r="A35">
        <f t="shared" si="0"/>
        <v>102</v>
      </c>
      <c r="B35">
        <v>2016</v>
      </c>
      <c r="C35" t="s">
        <v>35</v>
      </c>
      <c r="D35">
        <v>4</v>
      </c>
      <c r="E35">
        <v>3</v>
      </c>
      <c r="F35">
        <v>8</v>
      </c>
      <c r="G35">
        <v>5</v>
      </c>
      <c r="H35" t="s">
        <v>58</v>
      </c>
      <c r="I35" s="60">
        <v>1295</v>
      </c>
      <c r="J35" s="60">
        <v>1281.5</v>
      </c>
      <c r="K35" s="60">
        <f t="shared" si="1"/>
        <v>99.615384615384613</v>
      </c>
    </row>
    <row r="36" spans="1:11" x14ac:dyDescent="0.3">
      <c r="A36">
        <f t="shared" si="0"/>
        <v>79</v>
      </c>
      <c r="B36">
        <v>2016</v>
      </c>
      <c r="C36" t="s">
        <v>29</v>
      </c>
      <c r="D36">
        <v>5</v>
      </c>
      <c r="E36">
        <v>5</v>
      </c>
      <c r="F36">
        <v>7</v>
      </c>
      <c r="G36">
        <v>6</v>
      </c>
      <c r="H36" t="s">
        <v>58</v>
      </c>
      <c r="I36" s="60">
        <v>1355</v>
      </c>
      <c r="J36" s="60">
        <v>1319.5</v>
      </c>
      <c r="K36" s="60">
        <f t="shared" si="1"/>
        <v>104.23076923076923</v>
      </c>
    </row>
    <row r="37" spans="1:11" x14ac:dyDescent="0.3">
      <c r="A37">
        <f t="shared" si="0"/>
        <v>86</v>
      </c>
      <c r="B37">
        <v>2016</v>
      </c>
      <c r="C37" t="s">
        <v>36</v>
      </c>
      <c r="D37">
        <v>6</v>
      </c>
      <c r="E37">
        <v>6</v>
      </c>
      <c r="F37">
        <v>7</v>
      </c>
      <c r="G37">
        <v>6</v>
      </c>
      <c r="H37" t="s">
        <v>58</v>
      </c>
      <c r="I37" s="60">
        <v>1343</v>
      </c>
      <c r="J37" s="60">
        <v>1287.5</v>
      </c>
      <c r="K37" s="60">
        <f t="shared" si="1"/>
        <v>103.30769230769231</v>
      </c>
    </row>
    <row r="38" spans="1:11" x14ac:dyDescent="0.3">
      <c r="A38">
        <f t="shared" si="0"/>
        <v>84</v>
      </c>
      <c r="B38">
        <v>2016</v>
      </c>
      <c r="C38" t="s">
        <v>37</v>
      </c>
      <c r="D38">
        <v>7</v>
      </c>
      <c r="E38">
        <v>7</v>
      </c>
      <c r="F38">
        <v>6</v>
      </c>
      <c r="G38">
        <v>7</v>
      </c>
      <c r="I38" s="60">
        <v>1346</v>
      </c>
      <c r="J38" s="60">
        <v>1403</v>
      </c>
      <c r="K38" s="60">
        <f t="shared" si="1"/>
        <v>103.53846153846153</v>
      </c>
    </row>
    <row r="39" spans="1:11" x14ac:dyDescent="0.3">
      <c r="A39">
        <f t="shared" si="0"/>
        <v>69</v>
      </c>
      <c r="B39">
        <v>2016</v>
      </c>
      <c r="C39" t="s">
        <v>31</v>
      </c>
      <c r="D39">
        <v>8</v>
      </c>
      <c r="E39">
        <v>8</v>
      </c>
      <c r="F39">
        <v>4</v>
      </c>
      <c r="G39">
        <v>9</v>
      </c>
      <c r="I39" s="60">
        <v>1379</v>
      </c>
      <c r="J39" s="60">
        <v>1422</v>
      </c>
      <c r="K39" s="60">
        <f t="shared" si="1"/>
        <v>106.07692307692308</v>
      </c>
    </row>
    <row r="40" spans="1:11" x14ac:dyDescent="0.3">
      <c r="A40">
        <f t="shared" si="0"/>
        <v>119</v>
      </c>
      <c r="B40">
        <v>2016</v>
      </c>
      <c r="C40" t="s">
        <v>38</v>
      </c>
      <c r="D40">
        <v>9</v>
      </c>
      <c r="E40">
        <v>9</v>
      </c>
      <c r="F40">
        <v>4</v>
      </c>
      <c r="G40">
        <v>9</v>
      </c>
      <c r="I40" s="60">
        <v>1208.5</v>
      </c>
      <c r="J40" s="60">
        <v>1354</v>
      </c>
      <c r="K40" s="60">
        <f t="shared" si="1"/>
        <v>92.961538461538467</v>
      </c>
    </row>
    <row r="41" spans="1:11" x14ac:dyDescent="0.3">
      <c r="A41">
        <f t="shared" si="0"/>
        <v>122</v>
      </c>
      <c r="B41">
        <v>2016</v>
      </c>
      <c r="C41" t="s">
        <v>32</v>
      </c>
      <c r="D41">
        <v>10</v>
      </c>
      <c r="E41">
        <v>10</v>
      </c>
      <c r="F41">
        <v>3</v>
      </c>
      <c r="G41">
        <v>10</v>
      </c>
      <c r="I41" s="60">
        <v>1194.5</v>
      </c>
      <c r="J41" s="60">
        <v>1376</v>
      </c>
      <c r="K41" s="60">
        <f t="shared" si="1"/>
        <v>91.884615384615387</v>
      </c>
    </row>
    <row r="42" spans="1:11" x14ac:dyDescent="0.3">
      <c r="A42">
        <f t="shared" si="0"/>
        <v>72</v>
      </c>
      <c r="B42">
        <v>2017</v>
      </c>
      <c r="C42" t="s">
        <v>31</v>
      </c>
      <c r="D42">
        <v>1</v>
      </c>
      <c r="E42">
        <v>1</v>
      </c>
      <c r="F42">
        <v>8</v>
      </c>
      <c r="G42">
        <v>5</v>
      </c>
      <c r="H42" t="s">
        <v>58</v>
      </c>
      <c r="I42" s="60">
        <v>1368</v>
      </c>
      <c r="J42" s="60">
        <v>1269</v>
      </c>
      <c r="K42" s="60">
        <f t="shared" si="1"/>
        <v>105.23076923076923</v>
      </c>
    </row>
    <row r="43" spans="1:11" x14ac:dyDescent="0.3">
      <c r="A43">
        <f t="shared" si="0"/>
        <v>90</v>
      </c>
      <c r="B43">
        <v>2017</v>
      </c>
      <c r="C43" t="s">
        <v>37</v>
      </c>
      <c r="D43">
        <v>2</v>
      </c>
      <c r="E43">
        <v>3</v>
      </c>
      <c r="F43">
        <v>8</v>
      </c>
      <c r="G43">
        <v>5</v>
      </c>
      <c r="H43" t="s">
        <v>58</v>
      </c>
      <c r="I43" s="60">
        <v>1338</v>
      </c>
      <c r="J43" s="60">
        <v>1323.5</v>
      </c>
      <c r="K43" s="60">
        <f t="shared" si="1"/>
        <v>102.92307692307692</v>
      </c>
    </row>
    <row r="44" spans="1:11" x14ac:dyDescent="0.3">
      <c r="A44">
        <f t="shared" si="0"/>
        <v>105</v>
      </c>
      <c r="B44">
        <v>2017</v>
      </c>
      <c r="C44" t="s">
        <v>35</v>
      </c>
      <c r="D44">
        <v>3</v>
      </c>
      <c r="E44">
        <v>5</v>
      </c>
      <c r="F44">
        <v>8</v>
      </c>
      <c r="G44">
        <v>5</v>
      </c>
      <c r="H44" t="s">
        <v>58</v>
      </c>
      <c r="I44" s="60">
        <v>1266</v>
      </c>
      <c r="J44" s="60">
        <v>1221.5</v>
      </c>
      <c r="K44" s="60">
        <f t="shared" si="1"/>
        <v>97.384615384615387</v>
      </c>
    </row>
    <row r="45" spans="1:11" x14ac:dyDescent="0.3">
      <c r="A45">
        <f t="shared" si="0"/>
        <v>71</v>
      </c>
      <c r="B45">
        <v>2017</v>
      </c>
      <c r="C45" t="s">
        <v>38</v>
      </c>
      <c r="D45">
        <v>4</v>
      </c>
      <c r="E45">
        <v>4</v>
      </c>
      <c r="F45">
        <v>7</v>
      </c>
      <c r="G45">
        <v>6</v>
      </c>
      <c r="H45" t="s">
        <v>58</v>
      </c>
      <c r="I45" s="60">
        <v>1370.5</v>
      </c>
      <c r="J45" s="60">
        <v>1252</v>
      </c>
      <c r="K45" s="60">
        <f t="shared" si="1"/>
        <v>105.42307692307692</v>
      </c>
    </row>
    <row r="46" spans="1:11" x14ac:dyDescent="0.3">
      <c r="A46">
        <f t="shared" si="0"/>
        <v>97</v>
      </c>
      <c r="B46">
        <v>2017</v>
      </c>
      <c r="C46" t="s">
        <v>32</v>
      </c>
      <c r="D46">
        <v>5</v>
      </c>
      <c r="E46">
        <v>6</v>
      </c>
      <c r="F46">
        <v>7</v>
      </c>
      <c r="G46">
        <v>6</v>
      </c>
      <c r="H46" t="s">
        <v>58</v>
      </c>
      <c r="I46" s="60">
        <v>1312</v>
      </c>
      <c r="J46" s="60">
        <v>1200.5</v>
      </c>
      <c r="K46" s="60">
        <f t="shared" si="1"/>
        <v>100.92307692307692</v>
      </c>
    </row>
    <row r="47" spans="1:11" x14ac:dyDescent="0.3">
      <c r="A47">
        <f t="shared" si="0"/>
        <v>101</v>
      </c>
      <c r="B47">
        <v>2017</v>
      </c>
      <c r="C47" t="s">
        <v>34</v>
      </c>
      <c r="D47">
        <v>6</v>
      </c>
      <c r="E47">
        <v>2</v>
      </c>
      <c r="F47">
        <v>7</v>
      </c>
      <c r="G47">
        <v>6</v>
      </c>
      <c r="H47" t="s">
        <v>58</v>
      </c>
      <c r="I47" s="60">
        <v>1297.5</v>
      </c>
      <c r="J47" s="60">
        <v>1325.5</v>
      </c>
      <c r="K47" s="60">
        <f t="shared" si="1"/>
        <v>99.807692307692307</v>
      </c>
    </row>
    <row r="48" spans="1:11" x14ac:dyDescent="0.3">
      <c r="A48">
        <f t="shared" si="0"/>
        <v>124</v>
      </c>
      <c r="B48">
        <v>2017</v>
      </c>
      <c r="C48" t="s">
        <v>30</v>
      </c>
      <c r="D48">
        <v>7</v>
      </c>
      <c r="E48">
        <v>7</v>
      </c>
      <c r="F48">
        <v>6</v>
      </c>
      <c r="G48">
        <v>7</v>
      </c>
      <c r="I48" s="60">
        <v>1186</v>
      </c>
      <c r="J48" s="60">
        <v>1225.5</v>
      </c>
      <c r="K48" s="60">
        <f t="shared" si="1"/>
        <v>91.230769230769226</v>
      </c>
    </row>
    <row r="49" spans="1:11" x14ac:dyDescent="0.3">
      <c r="A49">
        <f t="shared" si="0"/>
        <v>109</v>
      </c>
      <c r="B49">
        <v>2017</v>
      </c>
      <c r="C49" t="s">
        <v>29</v>
      </c>
      <c r="D49">
        <v>8</v>
      </c>
      <c r="E49">
        <v>8</v>
      </c>
      <c r="F49">
        <v>5</v>
      </c>
      <c r="G49">
        <v>8</v>
      </c>
      <c r="I49" s="60">
        <v>1247.5</v>
      </c>
      <c r="J49" s="60">
        <v>1304</v>
      </c>
      <c r="K49" s="60">
        <f t="shared" si="1"/>
        <v>95.961538461538467</v>
      </c>
    </row>
    <row r="50" spans="1:11" x14ac:dyDescent="0.3">
      <c r="A50">
        <f t="shared" si="0"/>
        <v>128</v>
      </c>
      <c r="B50">
        <v>2017</v>
      </c>
      <c r="C50" t="s">
        <v>36</v>
      </c>
      <c r="D50">
        <v>9</v>
      </c>
      <c r="E50">
        <v>9</v>
      </c>
      <c r="F50">
        <v>5</v>
      </c>
      <c r="G50">
        <v>8</v>
      </c>
      <c r="I50" s="60">
        <v>1145.5</v>
      </c>
      <c r="J50" s="60">
        <v>1341</v>
      </c>
      <c r="K50" s="60">
        <f t="shared" si="1"/>
        <v>88.115384615384613</v>
      </c>
    </row>
    <row r="51" spans="1:11" x14ac:dyDescent="0.3">
      <c r="A51">
        <f t="shared" si="0"/>
        <v>110</v>
      </c>
      <c r="B51">
        <v>2017</v>
      </c>
      <c r="C51" t="s">
        <v>33</v>
      </c>
      <c r="D51">
        <v>10</v>
      </c>
      <c r="E51">
        <v>10</v>
      </c>
      <c r="F51">
        <v>4</v>
      </c>
      <c r="G51">
        <v>9</v>
      </c>
      <c r="I51" s="60">
        <v>1243</v>
      </c>
      <c r="J51" s="60">
        <v>1311.5</v>
      </c>
      <c r="K51" s="60">
        <f t="shared" si="1"/>
        <v>95.615384615384613</v>
      </c>
    </row>
    <row r="52" spans="1:11" x14ac:dyDescent="0.3">
      <c r="A52">
        <f t="shared" si="0"/>
        <v>2</v>
      </c>
      <c r="B52">
        <v>2018</v>
      </c>
      <c r="C52" t="s">
        <v>34</v>
      </c>
      <c r="D52">
        <v>1</v>
      </c>
      <c r="E52">
        <v>3</v>
      </c>
      <c r="F52">
        <v>9</v>
      </c>
      <c r="G52">
        <v>4</v>
      </c>
      <c r="H52" t="s">
        <v>58</v>
      </c>
      <c r="I52" s="60">
        <v>1703.9</v>
      </c>
      <c r="J52" s="60">
        <v>1569.82</v>
      </c>
      <c r="K52" s="60">
        <f t="shared" si="1"/>
        <v>131.06923076923078</v>
      </c>
    </row>
    <row r="53" spans="1:11" x14ac:dyDescent="0.3">
      <c r="A53">
        <f t="shared" si="0"/>
        <v>47</v>
      </c>
      <c r="B53">
        <v>2018</v>
      </c>
      <c r="C53" t="s">
        <v>37</v>
      </c>
      <c r="D53">
        <v>2</v>
      </c>
      <c r="E53">
        <v>2</v>
      </c>
      <c r="F53">
        <v>8</v>
      </c>
      <c r="G53">
        <v>5</v>
      </c>
      <c r="H53" t="s">
        <v>58</v>
      </c>
      <c r="I53" s="60">
        <v>1445.58</v>
      </c>
      <c r="J53" s="60">
        <v>1377.48</v>
      </c>
      <c r="K53" s="60">
        <f t="shared" si="1"/>
        <v>111.19846153846153</v>
      </c>
    </row>
    <row r="54" spans="1:11" x14ac:dyDescent="0.3">
      <c r="A54">
        <f t="shared" si="0"/>
        <v>14</v>
      </c>
      <c r="B54">
        <v>2018</v>
      </c>
      <c r="C54" t="s">
        <v>33</v>
      </c>
      <c r="D54">
        <v>3</v>
      </c>
      <c r="E54">
        <v>4</v>
      </c>
      <c r="F54">
        <v>8</v>
      </c>
      <c r="G54">
        <v>5</v>
      </c>
      <c r="H54" t="s">
        <v>58</v>
      </c>
      <c r="I54" s="60">
        <v>1561.3</v>
      </c>
      <c r="J54" s="60">
        <v>1463.32</v>
      </c>
      <c r="K54" s="60">
        <f t="shared" si="1"/>
        <v>120.1</v>
      </c>
    </row>
    <row r="55" spans="1:11" x14ac:dyDescent="0.3">
      <c r="A55">
        <f t="shared" si="0"/>
        <v>65</v>
      </c>
      <c r="B55">
        <v>2018</v>
      </c>
      <c r="C55" t="s">
        <v>29</v>
      </c>
      <c r="D55">
        <v>4</v>
      </c>
      <c r="E55">
        <v>1</v>
      </c>
      <c r="F55">
        <v>8</v>
      </c>
      <c r="G55">
        <v>5</v>
      </c>
      <c r="H55" t="s">
        <v>58</v>
      </c>
      <c r="I55" s="60">
        <v>1393.06</v>
      </c>
      <c r="J55" s="60">
        <v>1405.94</v>
      </c>
      <c r="K55" s="60">
        <f t="shared" si="1"/>
        <v>107.15846153846154</v>
      </c>
    </row>
    <row r="56" spans="1:11" x14ac:dyDescent="0.3">
      <c r="A56">
        <f t="shared" si="0"/>
        <v>24</v>
      </c>
      <c r="B56">
        <v>2018</v>
      </c>
      <c r="C56" t="s">
        <v>36</v>
      </c>
      <c r="D56">
        <v>5</v>
      </c>
      <c r="E56">
        <v>6</v>
      </c>
      <c r="F56">
        <v>7</v>
      </c>
      <c r="G56">
        <v>6</v>
      </c>
      <c r="H56" t="s">
        <v>58</v>
      </c>
      <c r="I56" s="60">
        <v>1511.7</v>
      </c>
      <c r="J56" s="60">
        <v>1505.42</v>
      </c>
      <c r="K56" s="60">
        <f t="shared" si="1"/>
        <v>116.28461538461539</v>
      </c>
    </row>
    <row r="57" spans="1:11" x14ac:dyDescent="0.3">
      <c r="A57">
        <f t="shared" si="0"/>
        <v>26</v>
      </c>
      <c r="B57">
        <v>2018</v>
      </c>
      <c r="C57" t="s">
        <v>32</v>
      </c>
      <c r="D57">
        <v>6</v>
      </c>
      <c r="E57">
        <v>5</v>
      </c>
      <c r="F57">
        <v>7</v>
      </c>
      <c r="G57">
        <v>6</v>
      </c>
      <c r="H57" t="s">
        <v>58</v>
      </c>
      <c r="I57" s="60">
        <v>1502.8</v>
      </c>
      <c r="J57" s="60">
        <v>1373</v>
      </c>
      <c r="K57" s="60">
        <f t="shared" si="1"/>
        <v>115.6</v>
      </c>
    </row>
    <row r="58" spans="1:11" x14ac:dyDescent="0.3">
      <c r="A58">
        <f t="shared" si="0"/>
        <v>44</v>
      </c>
      <c r="B58">
        <v>2018</v>
      </c>
      <c r="C58" t="s">
        <v>35</v>
      </c>
      <c r="D58">
        <v>7</v>
      </c>
      <c r="E58">
        <v>7</v>
      </c>
      <c r="F58">
        <v>6</v>
      </c>
      <c r="G58">
        <v>7</v>
      </c>
      <c r="I58" s="60">
        <v>1455.58</v>
      </c>
      <c r="J58" s="60">
        <v>1448.62</v>
      </c>
      <c r="K58" s="60">
        <f t="shared" si="1"/>
        <v>111.9676923076923</v>
      </c>
    </row>
    <row r="59" spans="1:11" x14ac:dyDescent="0.3">
      <c r="A59">
        <f t="shared" si="0"/>
        <v>60</v>
      </c>
      <c r="B59">
        <v>2018</v>
      </c>
      <c r="C59" t="s">
        <v>30</v>
      </c>
      <c r="D59">
        <v>8</v>
      </c>
      <c r="E59">
        <v>8</v>
      </c>
      <c r="F59">
        <v>5</v>
      </c>
      <c r="G59">
        <v>8</v>
      </c>
      <c r="I59" s="60">
        <v>1412.3</v>
      </c>
      <c r="J59" s="60">
        <v>1434.52</v>
      </c>
      <c r="K59" s="60">
        <f t="shared" si="1"/>
        <v>108.63846153846154</v>
      </c>
    </row>
    <row r="60" spans="1:11" x14ac:dyDescent="0.3">
      <c r="A60">
        <f t="shared" si="0"/>
        <v>64</v>
      </c>
      <c r="B60">
        <v>2018</v>
      </c>
      <c r="C60" t="s">
        <v>31</v>
      </c>
      <c r="D60">
        <v>9</v>
      </c>
      <c r="E60">
        <v>9</v>
      </c>
      <c r="F60">
        <v>5</v>
      </c>
      <c r="G60">
        <v>8</v>
      </c>
      <c r="I60" s="60">
        <v>1402.32</v>
      </c>
      <c r="J60" s="60">
        <v>1527.74</v>
      </c>
      <c r="K60" s="60">
        <f t="shared" si="1"/>
        <v>107.87076923076923</v>
      </c>
    </row>
    <row r="61" spans="1:11" x14ac:dyDescent="0.3">
      <c r="A61">
        <f t="shared" si="0"/>
        <v>120</v>
      </c>
      <c r="B61">
        <v>2018</v>
      </c>
      <c r="C61" t="s">
        <v>38</v>
      </c>
      <c r="D61">
        <v>10</v>
      </c>
      <c r="E61">
        <v>10</v>
      </c>
      <c r="F61">
        <v>2</v>
      </c>
      <c r="G61">
        <v>11</v>
      </c>
      <c r="I61" s="60">
        <v>1205.8800000000001</v>
      </c>
      <c r="J61" s="60">
        <v>1488.56</v>
      </c>
      <c r="K61" s="60">
        <f t="shared" si="1"/>
        <v>92.76</v>
      </c>
    </row>
    <row r="62" spans="1:11" x14ac:dyDescent="0.3">
      <c r="A62">
        <f t="shared" si="0"/>
        <v>3</v>
      </c>
      <c r="B62">
        <v>2019</v>
      </c>
      <c r="C62" t="s">
        <v>30</v>
      </c>
      <c r="D62">
        <v>1</v>
      </c>
      <c r="E62">
        <v>4</v>
      </c>
      <c r="F62">
        <v>10</v>
      </c>
      <c r="G62">
        <v>3</v>
      </c>
      <c r="H62" t="s">
        <v>58</v>
      </c>
      <c r="I62" s="60">
        <v>1652.8</v>
      </c>
      <c r="J62" s="60">
        <v>1402.36</v>
      </c>
      <c r="K62" s="60">
        <f t="shared" si="1"/>
        <v>127.13846153846154</v>
      </c>
    </row>
    <row r="63" spans="1:11" x14ac:dyDescent="0.3">
      <c r="A63">
        <f t="shared" si="0"/>
        <v>63</v>
      </c>
      <c r="B63">
        <v>2019</v>
      </c>
      <c r="C63" t="s">
        <v>33</v>
      </c>
      <c r="D63">
        <v>2</v>
      </c>
      <c r="E63">
        <v>2</v>
      </c>
      <c r="F63">
        <v>7</v>
      </c>
      <c r="G63">
        <v>6</v>
      </c>
      <c r="H63" t="s">
        <v>58</v>
      </c>
      <c r="I63" s="60">
        <v>1405.34</v>
      </c>
      <c r="J63" s="60">
        <v>1423.04</v>
      </c>
      <c r="K63" s="60">
        <f t="shared" si="1"/>
        <v>108.10307692307691</v>
      </c>
    </row>
    <row r="64" spans="1:11" x14ac:dyDescent="0.3">
      <c r="A64">
        <f t="shared" si="0"/>
        <v>5</v>
      </c>
      <c r="B64">
        <v>2019</v>
      </c>
      <c r="C64" t="s">
        <v>29</v>
      </c>
      <c r="D64">
        <v>3</v>
      </c>
      <c r="E64">
        <v>3</v>
      </c>
      <c r="F64">
        <v>8</v>
      </c>
      <c r="G64">
        <v>5</v>
      </c>
      <c r="H64" t="s">
        <v>58</v>
      </c>
      <c r="I64" s="60">
        <v>1598.68</v>
      </c>
      <c r="J64" s="60">
        <v>1530.62</v>
      </c>
      <c r="K64" s="60">
        <f t="shared" si="1"/>
        <v>122.97538461538463</v>
      </c>
    </row>
    <row r="65" spans="1:11" x14ac:dyDescent="0.3">
      <c r="A65">
        <f t="shared" si="0"/>
        <v>81</v>
      </c>
      <c r="B65">
        <v>2019</v>
      </c>
      <c r="C65" t="s">
        <v>37</v>
      </c>
      <c r="D65">
        <v>4</v>
      </c>
      <c r="E65">
        <v>1</v>
      </c>
      <c r="F65">
        <v>8</v>
      </c>
      <c r="G65">
        <v>5</v>
      </c>
      <c r="H65" t="s">
        <v>58</v>
      </c>
      <c r="I65" s="60">
        <v>1352.78</v>
      </c>
      <c r="J65" s="60">
        <v>1307.6400000000001</v>
      </c>
      <c r="K65" s="60">
        <f t="shared" si="1"/>
        <v>104.06</v>
      </c>
    </row>
    <row r="66" spans="1:11" x14ac:dyDescent="0.3">
      <c r="A66">
        <f t="shared" si="0"/>
        <v>34</v>
      </c>
      <c r="B66">
        <v>2019</v>
      </c>
      <c r="C66" t="s">
        <v>31</v>
      </c>
      <c r="D66">
        <v>5</v>
      </c>
      <c r="E66">
        <v>5</v>
      </c>
      <c r="F66">
        <v>7</v>
      </c>
      <c r="G66">
        <v>6</v>
      </c>
      <c r="H66" t="s">
        <v>58</v>
      </c>
      <c r="I66" s="60">
        <v>1486.26</v>
      </c>
      <c r="J66" s="60">
        <v>1465.16</v>
      </c>
      <c r="K66" s="60">
        <f t="shared" si="1"/>
        <v>114.3276923076923</v>
      </c>
    </row>
    <row r="67" spans="1:11" x14ac:dyDescent="0.3">
      <c r="A67">
        <f t="shared" ref="A67:A131" si="2">RANK(K67,$K:$K)</f>
        <v>6</v>
      </c>
      <c r="B67">
        <v>2019</v>
      </c>
      <c r="C67" t="s">
        <v>35</v>
      </c>
      <c r="D67">
        <v>6</v>
      </c>
      <c r="E67">
        <v>6</v>
      </c>
      <c r="F67">
        <v>6</v>
      </c>
      <c r="G67">
        <v>7</v>
      </c>
      <c r="H67" t="s">
        <v>58</v>
      </c>
      <c r="I67" s="60">
        <v>1591.84</v>
      </c>
      <c r="J67" s="60">
        <v>1463.7</v>
      </c>
      <c r="K67" s="60">
        <f t="shared" ref="K67:K130" si="3">I67/SUM(F67:G67)</f>
        <v>122.44923076923077</v>
      </c>
    </row>
    <row r="68" spans="1:11" x14ac:dyDescent="0.3">
      <c r="A68">
        <f t="shared" si="2"/>
        <v>35</v>
      </c>
      <c r="B68">
        <v>2019</v>
      </c>
      <c r="C68" t="s">
        <v>32</v>
      </c>
      <c r="D68">
        <v>7</v>
      </c>
      <c r="E68">
        <v>7</v>
      </c>
      <c r="F68">
        <v>6</v>
      </c>
      <c r="G68">
        <v>7</v>
      </c>
      <c r="I68" s="60">
        <v>1470.84</v>
      </c>
      <c r="J68" s="60">
        <v>1486.6</v>
      </c>
      <c r="K68" s="60">
        <f t="shared" si="3"/>
        <v>113.14153846153846</v>
      </c>
    </row>
    <row r="69" spans="1:11" x14ac:dyDescent="0.3">
      <c r="A69">
        <f t="shared" si="2"/>
        <v>58</v>
      </c>
      <c r="B69">
        <v>2019</v>
      </c>
      <c r="C69" t="s">
        <v>38</v>
      </c>
      <c r="D69">
        <v>8</v>
      </c>
      <c r="E69">
        <v>8</v>
      </c>
      <c r="F69">
        <v>5</v>
      </c>
      <c r="G69">
        <v>8</v>
      </c>
      <c r="I69" s="60">
        <v>1413.36</v>
      </c>
      <c r="J69" s="60">
        <v>1521.44</v>
      </c>
      <c r="K69" s="60">
        <f t="shared" si="3"/>
        <v>108.72</v>
      </c>
    </row>
    <row r="70" spans="1:11" x14ac:dyDescent="0.3">
      <c r="A70">
        <f t="shared" si="2"/>
        <v>68</v>
      </c>
      <c r="B70">
        <v>2019</v>
      </c>
      <c r="C70" t="s">
        <v>36</v>
      </c>
      <c r="D70">
        <v>9</v>
      </c>
      <c r="E70">
        <v>9</v>
      </c>
      <c r="F70">
        <v>5</v>
      </c>
      <c r="G70">
        <v>8</v>
      </c>
      <c r="I70" s="60">
        <v>1386.96</v>
      </c>
      <c r="J70" s="60">
        <v>1512.76</v>
      </c>
      <c r="K70" s="60">
        <f t="shared" si="3"/>
        <v>106.68923076923078</v>
      </c>
    </row>
    <row r="71" spans="1:11" x14ac:dyDescent="0.3">
      <c r="A71">
        <f t="shared" si="2"/>
        <v>127</v>
      </c>
      <c r="B71">
        <v>2019</v>
      </c>
      <c r="C71" t="s">
        <v>34</v>
      </c>
      <c r="D71">
        <v>10</v>
      </c>
      <c r="E71">
        <v>10</v>
      </c>
      <c r="F71">
        <v>3</v>
      </c>
      <c r="G71">
        <v>10</v>
      </c>
      <c r="I71" s="60">
        <v>1156.1600000000001</v>
      </c>
      <c r="J71" s="60">
        <v>1401.7</v>
      </c>
      <c r="K71" s="60">
        <f t="shared" si="3"/>
        <v>88.935384615384621</v>
      </c>
    </row>
    <row r="72" spans="1:11" x14ac:dyDescent="0.3">
      <c r="A72">
        <f t="shared" si="2"/>
        <v>8</v>
      </c>
      <c r="B72">
        <v>2020</v>
      </c>
      <c r="C72" t="s">
        <v>31</v>
      </c>
      <c r="D72">
        <v>1</v>
      </c>
      <c r="E72">
        <v>3</v>
      </c>
      <c r="F72">
        <v>10</v>
      </c>
      <c r="G72">
        <v>3</v>
      </c>
      <c r="H72" t="s">
        <v>58</v>
      </c>
      <c r="I72" s="60">
        <v>1588.4</v>
      </c>
      <c r="J72" s="60">
        <v>1408.24</v>
      </c>
      <c r="K72" s="60">
        <f t="shared" si="3"/>
        <v>122.1846153846154</v>
      </c>
    </row>
    <row r="73" spans="1:11" x14ac:dyDescent="0.3">
      <c r="A73">
        <f t="shared" si="2"/>
        <v>41</v>
      </c>
      <c r="B73">
        <v>2020</v>
      </c>
      <c r="C73" t="s">
        <v>38</v>
      </c>
      <c r="D73">
        <v>2</v>
      </c>
      <c r="E73">
        <v>4</v>
      </c>
      <c r="F73">
        <v>9</v>
      </c>
      <c r="G73">
        <v>4</v>
      </c>
      <c r="H73" t="s">
        <v>58</v>
      </c>
      <c r="I73" s="60">
        <v>1464.72</v>
      </c>
      <c r="J73" s="60">
        <v>1317.02</v>
      </c>
      <c r="K73" s="60">
        <f t="shared" si="3"/>
        <v>112.67076923076924</v>
      </c>
    </row>
    <row r="74" spans="1:11" x14ac:dyDescent="0.3">
      <c r="A74">
        <f t="shared" si="2"/>
        <v>21</v>
      </c>
      <c r="B74">
        <v>2020</v>
      </c>
      <c r="C74" t="s">
        <v>36</v>
      </c>
      <c r="D74">
        <v>3</v>
      </c>
      <c r="E74">
        <v>1</v>
      </c>
      <c r="F74">
        <v>9</v>
      </c>
      <c r="G74">
        <v>4</v>
      </c>
      <c r="H74" t="s">
        <v>58</v>
      </c>
      <c r="I74" s="60">
        <v>1515.34</v>
      </c>
      <c r="J74" s="60">
        <v>1464.74</v>
      </c>
      <c r="K74" s="60">
        <f t="shared" si="3"/>
        <v>116.56461538461538</v>
      </c>
    </row>
    <row r="75" spans="1:11" x14ac:dyDescent="0.3">
      <c r="A75">
        <f t="shared" si="2"/>
        <v>46</v>
      </c>
      <c r="B75">
        <v>2020</v>
      </c>
      <c r="C75" t="s">
        <v>35</v>
      </c>
      <c r="D75">
        <v>4</v>
      </c>
      <c r="E75">
        <v>2</v>
      </c>
      <c r="F75">
        <v>7</v>
      </c>
      <c r="G75">
        <v>6</v>
      </c>
      <c r="H75" t="s">
        <v>58</v>
      </c>
      <c r="I75" s="60">
        <v>1452.72</v>
      </c>
      <c r="J75" s="60">
        <v>1467.48</v>
      </c>
      <c r="K75" s="60">
        <f t="shared" si="3"/>
        <v>111.7476923076923</v>
      </c>
    </row>
    <row r="76" spans="1:11" x14ac:dyDescent="0.3">
      <c r="A76">
        <f t="shared" si="2"/>
        <v>18</v>
      </c>
      <c r="B76">
        <v>2020</v>
      </c>
      <c r="C76" t="s">
        <v>32</v>
      </c>
      <c r="D76">
        <v>5</v>
      </c>
      <c r="E76">
        <v>5</v>
      </c>
      <c r="F76">
        <v>6</v>
      </c>
      <c r="G76">
        <v>7</v>
      </c>
      <c r="H76" t="s">
        <v>58</v>
      </c>
      <c r="I76" s="60">
        <v>1537.84</v>
      </c>
      <c r="J76" s="60">
        <v>1369.06</v>
      </c>
      <c r="K76" s="60">
        <f t="shared" si="3"/>
        <v>118.29538461538461</v>
      </c>
    </row>
    <row r="77" spans="1:11" x14ac:dyDescent="0.3">
      <c r="A77">
        <f t="shared" si="2"/>
        <v>20</v>
      </c>
      <c r="B77">
        <v>2020</v>
      </c>
      <c r="C77" t="s">
        <v>30</v>
      </c>
      <c r="D77">
        <v>6</v>
      </c>
      <c r="E77">
        <v>6</v>
      </c>
      <c r="F77">
        <v>6</v>
      </c>
      <c r="G77">
        <v>7</v>
      </c>
      <c r="H77" t="s">
        <v>58</v>
      </c>
      <c r="I77" s="60">
        <v>1530.5</v>
      </c>
      <c r="J77" s="60">
        <v>1479.72</v>
      </c>
      <c r="K77" s="60">
        <f t="shared" si="3"/>
        <v>117.73076923076923</v>
      </c>
    </row>
    <row r="78" spans="1:11" x14ac:dyDescent="0.3">
      <c r="A78">
        <f t="shared" si="2"/>
        <v>32</v>
      </c>
      <c r="B78">
        <v>2020</v>
      </c>
      <c r="C78" t="s">
        <v>29</v>
      </c>
      <c r="D78">
        <v>7</v>
      </c>
      <c r="E78">
        <v>7</v>
      </c>
      <c r="F78">
        <v>6</v>
      </c>
      <c r="G78">
        <v>7</v>
      </c>
      <c r="I78" s="60">
        <v>1490.34</v>
      </c>
      <c r="J78" s="60">
        <v>1469.4</v>
      </c>
      <c r="K78" s="60">
        <f t="shared" si="3"/>
        <v>114.64153846153846</v>
      </c>
    </row>
    <row r="79" spans="1:11" x14ac:dyDescent="0.3">
      <c r="A79">
        <f t="shared" si="2"/>
        <v>38</v>
      </c>
      <c r="B79">
        <v>2020</v>
      </c>
      <c r="C79" t="s">
        <v>34</v>
      </c>
      <c r="D79">
        <v>8</v>
      </c>
      <c r="E79">
        <v>8</v>
      </c>
      <c r="F79">
        <v>5</v>
      </c>
      <c r="G79">
        <v>8</v>
      </c>
      <c r="I79" s="60">
        <v>1466.78</v>
      </c>
      <c r="J79" s="60">
        <v>1544.9</v>
      </c>
      <c r="K79" s="60">
        <f t="shared" si="3"/>
        <v>112.82923076923076</v>
      </c>
    </row>
    <row r="80" spans="1:11" x14ac:dyDescent="0.3">
      <c r="A80">
        <f t="shared" si="2"/>
        <v>82</v>
      </c>
      <c r="B80">
        <v>2020</v>
      </c>
      <c r="C80" t="s">
        <v>33</v>
      </c>
      <c r="D80">
        <v>9</v>
      </c>
      <c r="E80">
        <v>9</v>
      </c>
      <c r="F80">
        <v>4</v>
      </c>
      <c r="G80">
        <v>9</v>
      </c>
      <c r="I80" s="60">
        <v>1350.14</v>
      </c>
      <c r="J80" s="60">
        <v>1508.82</v>
      </c>
      <c r="K80" s="60">
        <f t="shared" si="3"/>
        <v>103.85692307692308</v>
      </c>
    </row>
    <row r="81" spans="1:11" x14ac:dyDescent="0.3">
      <c r="A81">
        <f t="shared" si="2"/>
        <v>108</v>
      </c>
      <c r="B81">
        <v>2020</v>
      </c>
      <c r="C81" t="s">
        <v>37</v>
      </c>
      <c r="D81">
        <v>10</v>
      </c>
      <c r="E81">
        <v>10</v>
      </c>
      <c r="F81">
        <v>3</v>
      </c>
      <c r="G81">
        <v>10</v>
      </c>
      <c r="I81" s="60">
        <v>1250.04</v>
      </c>
      <c r="J81" s="60">
        <v>1617.44</v>
      </c>
      <c r="K81" s="60">
        <f t="shared" si="3"/>
        <v>96.156923076923078</v>
      </c>
    </row>
    <row r="82" spans="1:11" x14ac:dyDescent="0.3">
      <c r="A82">
        <f t="shared" si="2"/>
        <v>27</v>
      </c>
      <c r="B82">
        <v>2021</v>
      </c>
      <c r="C82" t="s">
        <v>35</v>
      </c>
      <c r="D82">
        <v>1</v>
      </c>
      <c r="E82">
        <v>1</v>
      </c>
      <c r="F82">
        <v>11</v>
      </c>
      <c r="G82">
        <v>3</v>
      </c>
      <c r="H82" t="s">
        <v>58</v>
      </c>
      <c r="I82" s="60">
        <v>1618.3</v>
      </c>
      <c r="J82" s="60">
        <v>1450.14</v>
      </c>
      <c r="K82" s="60">
        <f t="shared" si="3"/>
        <v>115.59285714285714</v>
      </c>
    </row>
    <row r="83" spans="1:11" x14ac:dyDescent="0.3">
      <c r="A83">
        <f t="shared" si="2"/>
        <v>23</v>
      </c>
      <c r="B83">
        <v>2021</v>
      </c>
      <c r="C83" t="s">
        <v>29</v>
      </c>
      <c r="D83">
        <v>2</v>
      </c>
      <c r="E83">
        <v>3</v>
      </c>
      <c r="F83">
        <v>6</v>
      </c>
      <c r="G83">
        <v>8</v>
      </c>
      <c r="H83" t="s">
        <v>58</v>
      </c>
      <c r="I83" s="60">
        <v>1630.64</v>
      </c>
      <c r="J83" s="60">
        <v>1731.48</v>
      </c>
      <c r="K83" s="60">
        <f t="shared" si="3"/>
        <v>116.47428571428573</v>
      </c>
    </row>
    <row r="84" spans="1:11" x14ac:dyDescent="0.3">
      <c r="A84">
        <f t="shared" si="2"/>
        <v>17</v>
      </c>
      <c r="B84">
        <v>2021</v>
      </c>
      <c r="C84" t="s">
        <v>33</v>
      </c>
      <c r="D84">
        <v>3</v>
      </c>
      <c r="E84">
        <v>2</v>
      </c>
      <c r="F84">
        <v>10</v>
      </c>
      <c r="G84">
        <v>4</v>
      </c>
      <c r="H84" t="s">
        <v>58</v>
      </c>
      <c r="I84" s="60">
        <v>1656.56</v>
      </c>
      <c r="J84" s="60">
        <v>1422</v>
      </c>
      <c r="K84" s="60">
        <f t="shared" si="3"/>
        <v>118.32571428571428</v>
      </c>
    </row>
    <row r="85" spans="1:11" x14ac:dyDescent="0.3">
      <c r="A85">
        <f t="shared" si="2"/>
        <v>4</v>
      </c>
      <c r="B85">
        <v>2021</v>
      </c>
      <c r="C85" t="s">
        <v>38</v>
      </c>
      <c r="D85">
        <v>4</v>
      </c>
      <c r="E85">
        <v>5</v>
      </c>
      <c r="F85">
        <v>9</v>
      </c>
      <c r="G85">
        <v>5</v>
      </c>
      <c r="H85" t="s">
        <v>58</v>
      </c>
      <c r="I85" s="60">
        <v>1757.46</v>
      </c>
      <c r="J85" s="60">
        <v>1581.72</v>
      </c>
      <c r="K85" s="60">
        <f t="shared" si="3"/>
        <v>125.53285714285714</v>
      </c>
    </row>
    <row r="86" spans="1:11" x14ac:dyDescent="0.3">
      <c r="A86">
        <f t="shared" si="2"/>
        <v>16</v>
      </c>
      <c r="B86">
        <v>2021</v>
      </c>
      <c r="C86" t="s">
        <v>37</v>
      </c>
      <c r="D86">
        <v>5</v>
      </c>
      <c r="E86">
        <v>4</v>
      </c>
      <c r="F86">
        <v>9</v>
      </c>
      <c r="G86">
        <v>5</v>
      </c>
      <c r="H86" t="s">
        <v>58</v>
      </c>
      <c r="I86" s="60">
        <v>1664.28</v>
      </c>
      <c r="J86" s="60">
        <v>1582.26</v>
      </c>
      <c r="K86" s="60">
        <f t="shared" si="3"/>
        <v>118.87714285714286</v>
      </c>
    </row>
    <row r="87" spans="1:11" x14ac:dyDescent="0.3">
      <c r="A87">
        <f t="shared" si="2"/>
        <v>115</v>
      </c>
      <c r="B87">
        <v>2021</v>
      </c>
      <c r="C87" t="s">
        <v>36</v>
      </c>
      <c r="D87">
        <v>6</v>
      </c>
      <c r="E87">
        <v>6</v>
      </c>
      <c r="F87">
        <v>6</v>
      </c>
      <c r="G87">
        <v>8</v>
      </c>
      <c r="H87" t="s">
        <v>58</v>
      </c>
      <c r="I87" s="60">
        <v>1321.44</v>
      </c>
      <c r="J87" s="60">
        <v>1374.02</v>
      </c>
      <c r="K87" s="60">
        <f t="shared" si="3"/>
        <v>94.388571428571439</v>
      </c>
    </row>
    <row r="88" spans="1:11" x14ac:dyDescent="0.3">
      <c r="A88">
        <f t="shared" si="2"/>
        <v>22</v>
      </c>
      <c r="B88">
        <v>2021</v>
      </c>
      <c r="C88" t="s">
        <v>34</v>
      </c>
      <c r="D88">
        <v>7</v>
      </c>
      <c r="E88">
        <v>7</v>
      </c>
      <c r="F88">
        <v>5</v>
      </c>
      <c r="G88">
        <v>9</v>
      </c>
      <c r="I88" s="60">
        <v>1630.7</v>
      </c>
      <c r="J88" s="60">
        <v>1647.6</v>
      </c>
      <c r="K88" s="60">
        <f t="shared" si="3"/>
        <v>116.47857142857143</v>
      </c>
    </row>
    <row r="89" spans="1:11" x14ac:dyDescent="0.3">
      <c r="A89">
        <f t="shared" si="2"/>
        <v>92</v>
      </c>
      <c r="B89">
        <v>2021</v>
      </c>
      <c r="C89" t="s">
        <v>31</v>
      </c>
      <c r="D89">
        <v>8</v>
      </c>
      <c r="E89">
        <v>8</v>
      </c>
      <c r="F89">
        <v>5</v>
      </c>
      <c r="G89">
        <v>9</v>
      </c>
      <c r="I89" s="60">
        <v>1439.88</v>
      </c>
      <c r="J89" s="60">
        <v>1635.94</v>
      </c>
      <c r="K89" s="60">
        <f t="shared" si="3"/>
        <v>102.84857142857143</v>
      </c>
    </row>
    <row r="90" spans="1:11" x14ac:dyDescent="0.3">
      <c r="A90">
        <f t="shared" si="2"/>
        <v>106</v>
      </c>
      <c r="B90">
        <v>2021</v>
      </c>
      <c r="C90" t="s">
        <v>32</v>
      </c>
      <c r="D90">
        <v>9</v>
      </c>
      <c r="E90">
        <v>9</v>
      </c>
      <c r="F90">
        <v>5</v>
      </c>
      <c r="G90">
        <v>9</v>
      </c>
      <c r="I90" s="60">
        <v>1357.46</v>
      </c>
      <c r="J90" s="60">
        <v>1501.2</v>
      </c>
      <c r="K90" s="60">
        <f t="shared" si="3"/>
        <v>96.96142857142857</v>
      </c>
    </row>
    <row r="91" spans="1:11" x14ac:dyDescent="0.3">
      <c r="A91">
        <f t="shared" si="2"/>
        <v>66</v>
      </c>
      <c r="B91">
        <v>2021</v>
      </c>
      <c r="C91" t="s">
        <v>30</v>
      </c>
      <c r="D91">
        <v>10</v>
      </c>
      <c r="E91">
        <v>10</v>
      </c>
      <c r="F91">
        <v>4</v>
      </c>
      <c r="G91">
        <v>10</v>
      </c>
      <c r="I91" s="60">
        <v>1494.94</v>
      </c>
      <c r="J91" s="60">
        <v>1645.3</v>
      </c>
      <c r="K91" s="60">
        <f t="shared" si="3"/>
        <v>106.78142857142858</v>
      </c>
    </row>
    <row r="92" spans="1:11" x14ac:dyDescent="0.3">
      <c r="A92">
        <f t="shared" si="2"/>
        <v>10</v>
      </c>
      <c r="B92">
        <v>2022</v>
      </c>
      <c r="C92" t="s">
        <v>36</v>
      </c>
      <c r="D92">
        <v>1</v>
      </c>
      <c r="E92">
        <v>1</v>
      </c>
      <c r="F92">
        <v>10</v>
      </c>
      <c r="G92">
        <v>4</v>
      </c>
      <c r="H92" t="s">
        <v>58</v>
      </c>
      <c r="I92" s="60">
        <v>1690.92</v>
      </c>
      <c r="J92" s="60">
        <v>1490.8</v>
      </c>
      <c r="K92" s="60">
        <f t="shared" si="3"/>
        <v>120.78</v>
      </c>
    </row>
    <row r="93" spans="1:11" x14ac:dyDescent="0.3">
      <c r="A93">
        <f t="shared" si="2"/>
        <v>13</v>
      </c>
      <c r="B93">
        <v>2022</v>
      </c>
      <c r="C93" t="s">
        <v>33</v>
      </c>
      <c r="D93">
        <v>2</v>
      </c>
      <c r="E93">
        <v>3</v>
      </c>
      <c r="F93">
        <v>10</v>
      </c>
      <c r="G93">
        <v>4</v>
      </c>
      <c r="H93" t="s">
        <v>58</v>
      </c>
      <c r="I93" s="60">
        <v>1682.24</v>
      </c>
      <c r="J93" s="60">
        <v>1450.38</v>
      </c>
      <c r="K93" s="60">
        <f t="shared" si="3"/>
        <v>120.16</v>
      </c>
    </row>
    <row r="94" spans="1:11" x14ac:dyDescent="0.3">
      <c r="A94">
        <f t="shared" si="2"/>
        <v>54</v>
      </c>
      <c r="B94">
        <v>2022</v>
      </c>
      <c r="C94" t="s">
        <v>35</v>
      </c>
      <c r="D94">
        <v>3</v>
      </c>
      <c r="E94">
        <v>6</v>
      </c>
      <c r="F94">
        <v>8</v>
      </c>
      <c r="G94">
        <v>6</v>
      </c>
      <c r="H94" t="s">
        <v>58</v>
      </c>
      <c r="I94" s="60">
        <v>1536.28</v>
      </c>
      <c r="J94" s="60">
        <v>1533.12</v>
      </c>
      <c r="K94" s="60">
        <f t="shared" si="3"/>
        <v>109.73428571428572</v>
      </c>
    </row>
    <row r="95" spans="1:11" x14ac:dyDescent="0.3">
      <c r="A95">
        <f t="shared" si="2"/>
        <v>67</v>
      </c>
      <c r="B95">
        <v>2022</v>
      </c>
      <c r="C95" t="s">
        <v>29</v>
      </c>
      <c r="D95">
        <v>4</v>
      </c>
      <c r="E95">
        <v>5</v>
      </c>
      <c r="F95">
        <v>8</v>
      </c>
      <c r="G95">
        <v>6</v>
      </c>
      <c r="H95" t="s">
        <v>58</v>
      </c>
      <c r="I95" s="60">
        <v>1493.72</v>
      </c>
      <c r="J95" s="60">
        <v>1525.62</v>
      </c>
      <c r="K95" s="60">
        <f t="shared" si="3"/>
        <v>106.69428571428571</v>
      </c>
    </row>
    <row r="96" spans="1:11" x14ac:dyDescent="0.3">
      <c r="A96">
        <f t="shared" si="2"/>
        <v>70</v>
      </c>
      <c r="B96">
        <v>2022</v>
      </c>
      <c r="C96" t="s">
        <v>32</v>
      </c>
      <c r="D96">
        <v>5</v>
      </c>
      <c r="E96">
        <v>4</v>
      </c>
      <c r="F96">
        <v>8</v>
      </c>
      <c r="G96">
        <v>6</v>
      </c>
      <c r="H96" t="s">
        <v>58</v>
      </c>
      <c r="I96" s="60">
        <v>1480.9</v>
      </c>
      <c r="J96" s="60">
        <v>1413.7</v>
      </c>
      <c r="K96" s="60">
        <f t="shared" si="3"/>
        <v>105.77857142857144</v>
      </c>
    </row>
    <row r="97" spans="1:11" x14ac:dyDescent="0.3">
      <c r="A97">
        <f t="shared" si="2"/>
        <v>28</v>
      </c>
      <c r="B97">
        <v>2022</v>
      </c>
      <c r="C97" t="s">
        <v>31</v>
      </c>
      <c r="D97">
        <v>6</v>
      </c>
      <c r="E97">
        <v>2</v>
      </c>
      <c r="F97">
        <v>7</v>
      </c>
      <c r="G97">
        <v>7</v>
      </c>
      <c r="H97" t="s">
        <v>58</v>
      </c>
      <c r="I97" s="60">
        <v>1615.08</v>
      </c>
      <c r="J97" s="60">
        <v>1589.7</v>
      </c>
      <c r="K97" s="60">
        <f t="shared" si="3"/>
        <v>115.36285714285714</v>
      </c>
    </row>
    <row r="98" spans="1:11" x14ac:dyDescent="0.3">
      <c r="A98">
        <f t="shared" si="2"/>
        <v>29</v>
      </c>
      <c r="B98">
        <v>2022</v>
      </c>
      <c r="C98" t="s">
        <v>30</v>
      </c>
      <c r="D98">
        <v>7</v>
      </c>
      <c r="E98">
        <v>7</v>
      </c>
      <c r="F98">
        <v>7</v>
      </c>
      <c r="G98">
        <v>7</v>
      </c>
      <c r="I98" s="60">
        <v>1613.14</v>
      </c>
      <c r="J98" s="60">
        <v>1589.42</v>
      </c>
      <c r="K98" s="60">
        <f t="shared" si="3"/>
        <v>115.22428571428573</v>
      </c>
    </row>
    <row r="99" spans="1:11" x14ac:dyDescent="0.3">
      <c r="A99">
        <f t="shared" si="2"/>
        <v>75</v>
      </c>
      <c r="B99">
        <v>2022</v>
      </c>
      <c r="C99" t="s">
        <v>37</v>
      </c>
      <c r="D99">
        <v>8</v>
      </c>
      <c r="E99">
        <v>8</v>
      </c>
      <c r="F99">
        <v>6</v>
      </c>
      <c r="G99">
        <v>8</v>
      </c>
      <c r="I99" s="60">
        <v>1468.46</v>
      </c>
      <c r="J99" s="60">
        <v>1463.68</v>
      </c>
      <c r="K99" s="60">
        <f t="shared" si="3"/>
        <v>104.89</v>
      </c>
    </row>
    <row r="100" spans="1:11" x14ac:dyDescent="0.3">
      <c r="A100">
        <f t="shared" si="2"/>
        <v>78</v>
      </c>
      <c r="B100">
        <v>2022</v>
      </c>
      <c r="C100" t="s">
        <v>34</v>
      </c>
      <c r="D100">
        <v>9</v>
      </c>
      <c r="E100">
        <v>9</v>
      </c>
      <c r="F100">
        <v>6</v>
      </c>
      <c r="G100">
        <v>8</v>
      </c>
      <c r="I100" s="60">
        <v>1460.3</v>
      </c>
      <c r="J100" s="60">
        <v>1459.82</v>
      </c>
      <c r="K100" s="60">
        <f t="shared" si="3"/>
        <v>104.30714285714285</v>
      </c>
    </row>
    <row r="101" spans="1:11" x14ac:dyDescent="0.3">
      <c r="A101">
        <f t="shared" si="2"/>
        <v>129</v>
      </c>
      <c r="B101">
        <v>2022</v>
      </c>
      <c r="C101" t="s">
        <v>38</v>
      </c>
      <c r="D101">
        <v>10</v>
      </c>
      <c r="E101">
        <v>10</v>
      </c>
      <c r="F101">
        <v>0</v>
      </c>
      <c r="G101">
        <v>14</v>
      </c>
      <c r="I101" s="60">
        <v>1219.3399999999999</v>
      </c>
      <c r="J101" s="60">
        <v>1744.14</v>
      </c>
      <c r="K101" s="60">
        <f t="shared" si="3"/>
        <v>87.09571428571428</v>
      </c>
    </row>
    <row r="102" spans="1:11" x14ac:dyDescent="0.3">
      <c r="A102">
        <f t="shared" si="2"/>
        <v>9</v>
      </c>
      <c r="B102">
        <v>2023</v>
      </c>
      <c r="C102" t="s">
        <v>33</v>
      </c>
      <c r="D102">
        <v>1</v>
      </c>
      <c r="E102">
        <v>1</v>
      </c>
      <c r="F102">
        <v>9</v>
      </c>
      <c r="G102">
        <v>5</v>
      </c>
      <c r="H102" t="s">
        <v>58</v>
      </c>
      <c r="I102" s="60">
        <v>1702.44</v>
      </c>
      <c r="J102" s="60">
        <v>1401.06</v>
      </c>
      <c r="K102" s="60">
        <f t="shared" si="3"/>
        <v>121.60285714285715</v>
      </c>
    </row>
    <row r="103" spans="1:11" x14ac:dyDescent="0.3">
      <c r="A103">
        <f t="shared" si="2"/>
        <v>89</v>
      </c>
      <c r="B103">
        <v>2023</v>
      </c>
      <c r="C103" t="s">
        <v>36</v>
      </c>
      <c r="D103">
        <v>2</v>
      </c>
      <c r="E103">
        <v>4</v>
      </c>
      <c r="F103">
        <v>9</v>
      </c>
      <c r="G103">
        <v>5</v>
      </c>
      <c r="H103" t="s">
        <v>58</v>
      </c>
      <c r="I103" s="60">
        <v>1444.48</v>
      </c>
      <c r="J103" s="60">
        <v>1485.02</v>
      </c>
      <c r="K103" s="60">
        <f t="shared" si="3"/>
        <v>103.17714285714285</v>
      </c>
    </row>
    <row r="104" spans="1:11" x14ac:dyDescent="0.3">
      <c r="A104">
        <f t="shared" si="2"/>
        <v>11</v>
      </c>
      <c r="B104">
        <v>2023</v>
      </c>
      <c r="C104" t="s">
        <v>34</v>
      </c>
      <c r="D104">
        <v>3</v>
      </c>
      <c r="E104">
        <v>2</v>
      </c>
      <c r="F104">
        <v>8</v>
      </c>
      <c r="G104">
        <v>6</v>
      </c>
      <c r="H104" t="s">
        <v>58</v>
      </c>
      <c r="I104" s="60">
        <v>1688.88</v>
      </c>
      <c r="J104" s="60">
        <v>1613.78</v>
      </c>
      <c r="K104" s="60">
        <f t="shared" si="3"/>
        <v>120.63428571428572</v>
      </c>
    </row>
    <row r="105" spans="1:11" x14ac:dyDescent="0.3">
      <c r="A105">
        <f t="shared" si="2"/>
        <v>55</v>
      </c>
      <c r="B105">
        <v>2023</v>
      </c>
      <c r="C105" t="s">
        <v>30</v>
      </c>
      <c r="D105">
        <v>4</v>
      </c>
      <c r="E105">
        <v>3</v>
      </c>
      <c r="F105">
        <v>8</v>
      </c>
      <c r="G105">
        <v>6</v>
      </c>
      <c r="H105" t="s">
        <v>58</v>
      </c>
      <c r="I105" s="60">
        <v>1528.92</v>
      </c>
      <c r="J105" s="60">
        <v>1402.74</v>
      </c>
      <c r="K105" s="60">
        <f t="shared" si="3"/>
        <v>109.20857142857143</v>
      </c>
    </row>
    <row r="106" spans="1:11" x14ac:dyDescent="0.3">
      <c r="A106">
        <f t="shared" si="2"/>
        <v>56</v>
      </c>
      <c r="B106">
        <v>2023</v>
      </c>
      <c r="C106" t="s">
        <v>37</v>
      </c>
      <c r="D106">
        <v>5</v>
      </c>
      <c r="E106">
        <v>5</v>
      </c>
      <c r="F106">
        <v>8</v>
      </c>
      <c r="G106">
        <v>6</v>
      </c>
      <c r="H106" t="s">
        <v>58</v>
      </c>
      <c r="I106" s="60">
        <v>1525.66</v>
      </c>
      <c r="J106" s="60">
        <v>1423.16</v>
      </c>
      <c r="K106" s="60">
        <f t="shared" si="3"/>
        <v>108.97571428571429</v>
      </c>
    </row>
    <row r="107" spans="1:11" x14ac:dyDescent="0.3">
      <c r="A107">
        <f t="shared" si="2"/>
        <v>80</v>
      </c>
      <c r="B107">
        <v>2023</v>
      </c>
      <c r="C107" t="s">
        <v>32</v>
      </c>
      <c r="D107">
        <v>6</v>
      </c>
      <c r="E107">
        <v>6</v>
      </c>
      <c r="F107">
        <v>8</v>
      </c>
      <c r="G107">
        <v>6</v>
      </c>
      <c r="H107" t="s">
        <v>58</v>
      </c>
      <c r="I107" s="60">
        <v>1457.84</v>
      </c>
      <c r="J107" s="60">
        <v>1445.52</v>
      </c>
      <c r="K107" s="60">
        <f t="shared" si="3"/>
        <v>104.13142857142857</v>
      </c>
    </row>
    <row r="108" spans="1:11" x14ac:dyDescent="0.3">
      <c r="A108">
        <f t="shared" si="2"/>
        <v>36</v>
      </c>
      <c r="B108">
        <v>2023</v>
      </c>
      <c r="C108" t="s">
        <v>29</v>
      </c>
      <c r="D108">
        <v>7</v>
      </c>
      <c r="E108">
        <v>7</v>
      </c>
      <c r="F108">
        <v>6</v>
      </c>
      <c r="G108">
        <v>8</v>
      </c>
      <c r="I108" s="60">
        <v>1583.28</v>
      </c>
      <c r="J108" s="60">
        <v>1616.02</v>
      </c>
      <c r="K108" s="60">
        <f t="shared" si="3"/>
        <v>113.09142857142857</v>
      </c>
    </row>
    <row r="109" spans="1:11" x14ac:dyDescent="0.3">
      <c r="A109">
        <f t="shared" si="2"/>
        <v>45</v>
      </c>
      <c r="B109">
        <v>2023</v>
      </c>
      <c r="C109" t="s">
        <v>38</v>
      </c>
      <c r="D109">
        <v>8</v>
      </c>
      <c r="E109">
        <v>8</v>
      </c>
      <c r="F109">
        <v>6</v>
      </c>
      <c r="G109">
        <v>8</v>
      </c>
      <c r="I109" s="60">
        <v>1564.72</v>
      </c>
      <c r="J109" s="60">
        <v>1573.2</v>
      </c>
      <c r="K109" s="60">
        <f t="shared" si="3"/>
        <v>111.76571428571428</v>
      </c>
    </row>
    <row r="110" spans="1:11" x14ac:dyDescent="0.3">
      <c r="A110">
        <f t="shared" si="2"/>
        <v>107</v>
      </c>
      <c r="B110">
        <v>2023</v>
      </c>
      <c r="C110" t="s">
        <v>35</v>
      </c>
      <c r="D110">
        <v>9</v>
      </c>
      <c r="E110">
        <v>9</v>
      </c>
      <c r="F110">
        <v>4</v>
      </c>
      <c r="G110">
        <v>10</v>
      </c>
      <c r="I110" s="60">
        <v>1353.3</v>
      </c>
      <c r="J110" s="60">
        <v>1588.2</v>
      </c>
      <c r="K110" s="60">
        <f t="shared" si="3"/>
        <v>96.664285714285711</v>
      </c>
    </row>
    <row r="111" spans="1:11" x14ac:dyDescent="0.3">
      <c r="A111">
        <f t="shared" si="2"/>
        <v>112</v>
      </c>
      <c r="B111">
        <v>2023</v>
      </c>
      <c r="C111" t="s">
        <v>31</v>
      </c>
      <c r="D111">
        <v>10</v>
      </c>
      <c r="E111">
        <v>10</v>
      </c>
      <c r="F111">
        <v>4</v>
      </c>
      <c r="G111">
        <v>10</v>
      </c>
      <c r="I111" s="60">
        <v>1337.9</v>
      </c>
      <c r="J111" s="60">
        <v>1638.72</v>
      </c>
      <c r="K111" s="60">
        <f t="shared" si="3"/>
        <v>95.564285714285717</v>
      </c>
    </row>
    <row r="112" spans="1:11" x14ac:dyDescent="0.3">
      <c r="A112">
        <f t="shared" si="2"/>
        <v>12</v>
      </c>
      <c r="B112">
        <v>2024</v>
      </c>
      <c r="C112" t="s">
        <v>38</v>
      </c>
      <c r="D112">
        <v>1</v>
      </c>
      <c r="E112">
        <v>1</v>
      </c>
      <c r="F112">
        <v>12</v>
      </c>
      <c r="G112">
        <v>2</v>
      </c>
      <c r="H112" t="s">
        <v>58</v>
      </c>
      <c r="I112" s="60">
        <v>1686.04</v>
      </c>
      <c r="J112" s="60">
        <v>1376.94</v>
      </c>
      <c r="K112" s="60">
        <f t="shared" si="3"/>
        <v>120.43142857142857</v>
      </c>
    </row>
    <row r="113" spans="1:11" x14ac:dyDescent="0.3">
      <c r="A113">
        <f t="shared" si="2"/>
        <v>42</v>
      </c>
      <c r="B113">
        <v>2024</v>
      </c>
      <c r="C113" t="s">
        <v>34</v>
      </c>
      <c r="D113">
        <v>2</v>
      </c>
      <c r="E113">
        <v>4</v>
      </c>
      <c r="F113">
        <v>9</v>
      </c>
      <c r="G113">
        <v>5</v>
      </c>
      <c r="H113" t="s">
        <v>58</v>
      </c>
      <c r="I113" s="60">
        <v>1574.58</v>
      </c>
      <c r="J113" s="60">
        <v>1446.54</v>
      </c>
      <c r="K113" s="60">
        <f t="shared" si="3"/>
        <v>112.47</v>
      </c>
    </row>
    <row r="114" spans="1:11" x14ac:dyDescent="0.3">
      <c r="A114">
        <f t="shared" si="2"/>
        <v>50</v>
      </c>
      <c r="B114">
        <v>2024</v>
      </c>
      <c r="C114" t="s">
        <v>36</v>
      </c>
      <c r="D114">
        <v>4</v>
      </c>
      <c r="E114">
        <v>3</v>
      </c>
      <c r="F114">
        <v>8</v>
      </c>
      <c r="G114">
        <v>6</v>
      </c>
      <c r="H114" t="s">
        <v>58</v>
      </c>
      <c r="I114" s="60">
        <v>1541.9</v>
      </c>
      <c r="J114" s="60">
        <v>1498.7</v>
      </c>
      <c r="K114" s="60">
        <f t="shared" si="3"/>
        <v>110.13571428571429</v>
      </c>
    </row>
    <row r="115" spans="1:11" x14ac:dyDescent="0.3">
      <c r="A115">
        <f t="shared" si="2"/>
        <v>37</v>
      </c>
      <c r="B115">
        <v>2024</v>
      </c>
      <c r="C115" t="s">
        <v>35</v>
      </c>
      <c r="D115">
        <v>3</v>
      </c>
      <c r="E115">
        <v>2</v>
      </c>
      <c r="F115">
        <v>8</v>
      </c>
      <c r="G115">
        <v>6</v>
      </c>
      <c r="H115" t="s">
        <v>58</v>
      </c>
      <c r="I115" s="60">
        <v>1582.7</v>
      </c>
      <c r="J115" s="60">
        <v>1484.62</v>
      </c>
      <c r="K115" s="60">
        <f t="shared" si="3"/>
        <v>113.05</v>
      </c>
    </row>
    <row r="116" spans="1:11" x14ac:dyDescent="0.3">
      <c r="A116">
        <f t="shared" si="2"/>
        <v>39</v>
      </c>
      <c r="B116">
        <v>2024</v>
      </c>
      <c r="C116" t="s">
        <v>29</v>
      </c>
      <c r="D116">
        <v>5</v>
      </c>
      <c r="E116">
        <v>5</v>
      </c>
      <c r="F116">
        <v>7</v>
      </c>
      <c r="G116">
        <v>7</v>
      </c>
      <c r="H116" t="s">
        <v>58</v>
      </c>
      <c r="I116" s="60">
        <v>1578.26</v>
      </c>
      <c r="J116" s="60">
        <v>1598.84</v>
      </c>
      <c r="K116" s="60">
        <f t="shared" si="3"/>
        <v>112.73285714285714</v>
      </c>
    </row>
    <row r="117" spans="1:11" x14ac:dyDescent="0.3">
      <c r="A117">
        <f t="shared" si="2"/>
        <v>49</v>
      </c>
      <c r="B117">
        <v>2024</v>
      </c>
      <c r="C117" t="s">
        <v>32</v>
      </c>
      <c r="D117">
        <v>7</v>
      </c>
      <c r="E117">
        <v>7</v>
      </c>
      <c r="F117">
        <v>6</v>
      </c>
      <c r="G117">
        <v>8</v>
      </c>
      <c r="I117" s="60">
        <v>1543.82</v>
      </c>
      <c r="J117" s="60">
        <v>1504.92</v>
      </c>
      <c r="K117" s="60">
        <f t="shared" si="3"/>
        <v>110.27285714285713</v>
      </c>
    </row>
    <row r="118" spans="1:11" x14ac:dyDescent="0.3">
      <c r="A118">
        <f t="shared" si="2"/>
        <v>43</v>
      </c>
      <c r="B118">
        <v>2024</v>
      </c>
      <c r="C118" t="s">
        <v>37</v>
      </c>
      <c r="D118">
        <v>6</v>
      </c>
      <c r="E118">
        <v>6</v>
      </c>
      <c r="F118">
        <v>6</v>
      </c>
      <c r="G118">
        <v>8</v>
      </c>
      <c r="H118" t="s">
        <v>58</v>
      </c>
      <c r="I118" s="60">
        <v>1568.3</v>
      </c>
      <c r="J118" s="60">
        <v>1636.36</v>
      </c>
      <c r="K118" s="60">
        <f t="shared" si="3"/>
        <v>112.02142857142857</v>
      </c>
    </row>
    <row r="119" spans="1:11" x14ac:dyDescent="0.3">
      <c r="A119">
        <f t="shared" si="2"/>
        <v>52</v>
      </c>
      <c r="B119">
        <v>2024</v>
      </c>
      <c r="C119" t="s">
        <v>33</v>
      </c>
      <c r="D119">
        <v>8</v>
      </c>
      <c r="E119">
        <v>8</v>
      </c>
      <c r="F119">
        <v>6</v>
      </c>
      <c r="G119">
        <v>8</v>
      </c>
      <c r="I119" s="60">
        <v>1540.44</v>
      </c>
      <c r="J119" s="60">
        <v>1633.36</v>
      </c>
      <c r="K119" s="60">
        <f t="shared" si="3"/>
        <v>110.03142857142858</v>
      </c>
    </row>
    <row r="120" spans="1:11" x14ac:dyDescent="0.3">
      <c r="A120">
        <f t="shared" si="2"/>
        <v>61</v>
      </c>
      <c r="B120">
        <v>2024</v>
      </c>
      <c r="C120" t="s">
        <v>31</v>
      </c>
      <c r="D120">
        <v>9</v>
      </c>
      <c r="E120">
        <v>9</v>
      </c>
      <c r="F120">
        <v>5</v>
      </c>
      <c r="G120">
        <v>9</v>
      </c>
      <c r="I120" s="60">
        <v>1518.52</v>
      </c>
      <c r="J120" s="60">
        <v>1642.08</v>
      </c>
      <c r="K120" s="60">
        <f t="shared" si="3"/>
        <v>108.46571428571428</v>
      </c>
    </row>
    <row r="121" spans="1:11" x14ac:dyDescent="0.3">
      <c r="A121">
        <f t="shared" si="2"/>
        <v>100</v>
      </c>
      <c r="B121">
        <v>2024</v>
      </c>
      <c r="C121" t="s">
        <v>30</v>
      </c>
      <c r="D121">
        <v>10</v>
      </c>
      <c r="E121">
        <v>10</v>
      </c>
      <c r="F121">
        <v>3</v>
      </c>
      <c r="G121">
        <v>11</v>
      </c>
      <c r="I121" s="60">
        <v>1404.02</v>
      </c>
      <c r="J121" s="60">
        <v>1715.76</v>
      </c>
      <c r="K121" s="60">
        <f t="shared" si="3"/>
        <v>100.28714285714285</v>
      </c>
    </row>
    <row r="122" spans="1:11" x14ac:dyDescent="0.3">
      <c r="A122">
        <f t="shared" si="2"/>
        <v>1</v>
      </c>
      <c r="B122">
        <v>2025</v>
      </c>
      <c r="C122" t="s">
        <v>29</v>
      </c>
      <c r="D122">
        <v>1</v>
      </c>
      <c r="E122">
        <v>3</v>
      </c>
      <c r="F122">
        <v>13</v>
      </c>
      <c r="G122">
        <v>1</v>
      </c>
      <c r="H122" t="s">
        <v>58</v>
      </c>
      <c r="I122" s="60">
        <v>1937.86</v>
      </c>
      <c r="J122" s="60">
        <v>1431.24</v>
      </c>
      <c r="K122" s="60">
        <f t="shared" si="3"/>
        <v>138.41857142857143</v>
      </c>
    </row>
    <row r="123" spans="1:11" x14ac:dyDescent="0.3">
      <c r="A123">
        <f t="shared" si="2"/>
        <v>33</v>
      </c>
      <c r="B123">
        <v>2025</v>
      </c>
      <c r="C123" t="s">
        <v>32</v>
      </c>
      <c r="D123">
        <v>2</v>
      </c>
      <c r="E123">
        <v>4</v>
      </c>
      <c r="F123">
        <v>12</v>
      </c>
      <c r="G123">
        <v>2</v>
      </c>
      <c r="H123" t="s">
        <v>58</v>
      </c>
      <c r="I123" s="60">
        <v>1604.78</v>
      </c>
      <c r="J123" s="60">
        <v>1366.36</v>
      </c>
      <c r="K123" s="60">
        <f t="shared" si="3"/>
        <v>114.62714285714286</v>
      </c>
    </row>
    <row r="124" spans="1:11" x14ac:dyDescent="0.3">
      <c r="A124">
        <f t="shared" si="2"/>
        <v>62</v>
      </c>
      <c r="B124">
        <v>2025</v>
      </c>
      <c r="C124" t="s">
        <v>33</v>
      </c>
      <c r="D124">
        <v>3</v>
      </c>
      <c r="E124">
        <v>5</v>
      </c>
      <c r="F124">
        <v>9</v>
      </c>
      <c r="G124">
        <v>5</v>
      </c>
      <c r="H124" t="s">
        <v>58</v>
      </c>
      <c r="I124" s="60">
        <v>1517</v>
      </c>
      <c r="J124" s="60">
        <v>1496.7</v>
      </c>
      <c r="K124" s="60">
        <f t="shared" si="3"/>
        <v>108.35714285714286</v>
      </c>
    </row>
    <row r="125" spans="1:11" x14ac:dyDescent="0.3">
      <c r="A125">
        <f t="shared" si="2"/>
        <v>57</v>
      </c>
      <c r="B125">
        <v>2025</v>
      </c>
      <c r="C125" t="s">
        <v>35</v>
      </c>
      <c r="D125">
        <v>4</v>
      </c>
      <c r="E125">
        <v>1</v>
      </c>
      <c r="F125">
        <v>8</v>
      </c>
      <c r="G125">
        <v>6</v>
      </c>
      <c r="H125" t="s">
        <v>58</v>
      </c>
      <c r="I125" s="60">
        <v>1524.76</v>
      </c>
      <c r="J125" s="60">
        <v>1480.2</v>
      </c>
      <c r="K125" s="60">
        <f t="shared" si="3"/>
        <v>108.91142857142857</v>
      </c>
    </row>
    <row r="126" spans="1:11" x14ac:dyDescent="0.3">
      <c r="A126">
        <f t="shared" si="2"/>
        <v>48</v>
      </c>
      <c r="B126">
        <v>2025</v>
      </c>
      <c r="C126" t="s">
        <v>31</v>
      </c>
      <c r="D126">
        <v>5</v>
      </c>
      <c r="E126">
        <v>6</v>
      </c>
      <c r="F126">
        <v>7</v>
      </c>
      <c r="G126">
        <v>7</v>
      </c>
      <c r="H126" t="s">
        <v>58</v>
      </c>
      <c r="I126" s="60">
        <v>1553.52</v>
      </c>
      <c r="J126" s="60">
        <v>1532.2</v>
      </c>
      <c r="K126" s="60">
        <f t="shared" si="3"/>
        <v>110.96571428571428</v>
      </c>
    </row>
    <row r="127" spans="1:11" x14ac:dyDescent="0.3">
      <c r="A127">
        <f t="shared" si="2"/>
        <v>87</v>
      </c>
      <c r="B127">
        <v>2025</v>
      </c>
      <c r="C127" t="s">
        <v>37</v>
      </c>
      <c r="D127">
        <v>6</v>
      </c>
      <c r="E127">
        <v>2</v>
      </c>
      <c r="F127">
        <v>5</v>
      </c>
      <c r="G127">
        <v>9</v>
      </c>
      <c r="H127" t="s">
        <v>58</v>
      </c>
      <c r="I127" s="60">
        <v>1446.08</v>
      </c>
      <c r="J127" s="60">
        <v>1570.9</v>
      </c>
      <c r="K127" s="60">
        <f t="shared" si="3"/>
        <v>103.29142857142857</v>
      </c>
    </row>
    <row r="128" spans="1:11" x14ac:dyDescent="0.3">
      <c r="A128">
        <f t="shared" si="2"/>
        <v>98</v>
      </c>
      <c r="B128">
        <v>2025</v>
      </c>
      <c r="C128" t="s">
        <v>34</v>
      </c>
      <c r="D128">
        <v>7</v>
      </c>
      <c r="E128">
        <v>7</v>
      </c>
      <c r="F128">
        <v>5</v>
      </c>
      <c r="G128">
        <v>9</v>
      </c>
      <c r="I128" s="60">
        <v>1412.08</v>
      </c>
      <c r="J128" s="60">
        <v>1626.22</v>
      </c>
      <c r="K128" s="60">
        <f t="shared" si="3"/>
        <v>100.86285714285714</v>
      </c>
    </row>
    <row r="129" spans="1:11" x14ac:dyDescent="0.3">
      <c r="A129">
        <f t="shared" si="2"/>
        <v>99</v>
      </c>
      <c r="B129">
        <v>2025</v>
      </c>
      <c r="C129" t="s">
        <v>36</v>
      </c>
      <c r="D129">
        <v>8</v>
      </c>
      <c r="E129">
        <v>8</v>
      </c>
      <c r="F129">
        <v>4</v>
      </c>
      <c r="G129">
        <v>10</v>
      </c>
      <c r="I129" s="60">
        <v>1406.08</v>
      </c>
      <c r="J129" s="60">
        <v>1510.84</v>
      </c>
      <c r="K129" s="60">
        <f t="shared" si="3"/>
        <v>100.43428571428571</v>
      </c>
    </row>
    <row r="130" spans="1:11" x14ac:dyDescent="0.3">
      <c r="A130">
        <f t="shared" si="2"/>
        <v>116</v>
      </c>
      <c r="B130">
        <v>2025</v>
      </c>
      <c r="C130" t="s">
        <v>38</v>
      </c>
      <c r="D130">
        <v>9</v>
      </c>
      <c r="E130">
        <v>9</v>
      </c>
      <c r="F130">
        <v>4</v>
      </c>
      <c r="G130">
        <v>10</v>
      </c>
      <c r="I130" s="60">
        <v>1318.38</v>
      </c>
      <c r="J130" s="60">
        <v>1454.16</v>
      </c>
      <c r="K130" s="60">
        <f t="shared" si="3"/>
        <v>94.17</v>
      </c>
    </row>
    <row r="131" spans="1:11" x14ac:dyDescent="0.3">
      <c r="A131">
        <f t="shared" si="2"/>
        <v>121</v>
      </c>
      <c r="B131">
        <v>2025</v>
      </c>
      <c r="C131" t="s">
        <v>30</v>
      </c>
      <c r="D131">
        <v>10</v>
      </c>
      <c r="E131">
        <v>10</v>
      </c>
      <c r="F131">
        <v>3</v>
      </c>
      <c r="G131">
        <v>11</v>
      </c>
      <c r="I131" s="60">
        <v>1290.1600000000001</v>
      </c>
      <c r="J131" s="60">
        <v>1541.88</v>
      </c>
      <c r="K131" s="60">
        <f t="shared" ref="K131" si="4">I131/SUM(F131:G131)</f>
        <v>92.15428571428572</v>
      </c>
    </row>
  </sheetData>
  <autoFilter ref="A1:K121" xr:uid="{313A8C93-1E24-410A-AC9C-C36EA6009F4E}"/>
  <pageMargins left="0.7" right="0.7" top="0.75" bottom="0.75" header="0.3" footer="0.3"/>
  <ignoredErrors>
    <ignoredError sqref="K2:K10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6C0E-5663-425C-818D-C948A7CDEB74}">
  <dimension ref="A2:V58"/>
  <sheetViews>
    <sheetView workbookViewId="0">
      <selection activeCell="U2" sqref="U2:V16"/>
    </sheetView>
    <sheetView workbookViewId="1"/>
  </sheetViews>
  <sheetFormatPr defaultRowHeight="14.4" x14ac:dyDescent="0.3"/>
  <cols>
    <col min="1" max="1" width="15.88671875" bestFit="1" customWidth="1"/>
    <col min="2" max="2" width="19.109375" bestFit="1" customWidth="1"/>
    <col min="3" max="11" width="5" bestFit="1" customWidth="1"/>
    <col min="12" max="12" width="11.33203125" bestFit="1" customWidth="1"/>
    <col min="15" max="15" width="15.88671875" bestFit="1" customWidth="1"/>
    <col min="16" max="16" width="24.44140625" bestFit="1" customWidth="1"/>
    <col min="21" max="21" width="14.44140625" bestFit="1" customWidth="1"/>
    <col min="22" max="22" width="18.33203125" bestFit="1" customWidth="1"/>
  </cols>
  <sheetData>
    <row r="2" spans="1:22" x14ac:dyDescent="0.3">
      <c r="A2" s="35" t="s">
        <v>75</v>
      </c>
      <c r="O2" s="34" t="s">
        <v>77</v>
      </c>
      <c r="U2" s="1" t="s">
        <v>7</v>
      </c>
      <c r="V2" t="s">
        <v>105</v>
      </c>
    </row>
    <row r="3" spans="1:22" x14ac:dyDescent="0.3">
      <c r="A3" s="1" t="s">
        <v>47</v>
      </c>
      <c r="B3" s="1" t="s">
        <v>46</v>
      </c>
      <c r="O3" s="1" t="s">
        <v>39</v>
      </c>
      <c r="P3" t="s">
        <v>72</v>
      </c>
    </row>
    <row r="4" spans="1:22" x14ac:dyDescent="0.3">
      <c r="A4" s="1" t="s">
        <v>39</v>
      </c>
      <c r="B4">
        <v>2013</v>
      </c>
      <c r="C4">
        <v>2014</v>
      </c>
      <c r="D4">
        <v>2015</v>
      </c>
      <c r="E4">
        <v>2016</v>
      </c>
      <c r="F4">
        <v>2017</v>
      </c>
      <c r="G4">
        <v>2018</v>
      </c>
      <c r="H4">
        <v>2019</v>
      </c>
      <c r="I4">
        <v>2020</v>
      </c>
      <c r="J4">
        <v>2021</v>
      </c>
      <c r="K4">
        <v>2022</v>
      </c>
      <c r="L4" t="s">
        <v>40</v>
      </c>
      <c r="O4" s="2" t="s">
        <v>32</v>
      </c>
      <c r="P4" s="33">
        <v>26.414098360655739</v>
      </c>
      <c r="U4" s="1" t="s">
        <v>39</v>
      </c>
      <c r="V4" t="s">
        <v>106</v>
      </c>
    </row>
    <row r="5" spans="1:22" x14ac:dyDescent="0.3">
      <c r="A5" s="2" t="s">
        <v>32</v>
      </c>
      <c r="B5">
        <v>6</v>
      </c>
      <c r="C5">
        <v>6</v>
      </c>
      <c r="D5">
        <v>7</v>
      </c>
      <c r="E5">
        <v>3</v>
      </c>
      <c r="F5">
        <v>7</v>
      </c>
      <c r="G5">
        <v>7</v>
      </c>
      <c r="H5">
        <v>6</v>
      </c>
      <c r="I5">
        <v>6</v>
      </c>
      <c r="J5">
        <v>5</v>
      </c>
      <c r="K5">
        <v>8</v>
      </c>
      <c r="L5">
        <v>61</v>
      </c>
      <c r="O5" s="2" t="s">
        <v>35</v>
      </c>
      <c r="P5" s="33">
        <v>26.936438356164384</v>
      </c>
      <c r="U5" s="2">
        <v>2013</v>
      </c>
      <c r="V5">
        <v>7252</v>
      </c>
    </row>
    <row r="6" spans="1:22" x14ac:dyDescent="0.3">
      <c r="A6" s="2" t="s">
        <v>35</v>
      </c>
      <c r="B6">
        <v>7</v>
      </c>
      <c r="C6">
        <v>7</v>
      </c>
      <c r="D6">
        <v>5</v>
      </c>
      <c r="E6">
        <v>8</v>
      </c>
      <c r="F6">
        <v>8</v>
      </c>
      <c r="G6">
        <v>6</v>
      </c>
      <c r="H6">
        <v>6</v>
      </c>
      <c r="I6">
        <v>7</v>
      </c>
      <c r="J6">
        <v>11</v>
      </c>
      <c r="K6">
        <v>8</v>
      </c>
      <c r="L6">
        <v>73</v>
      </c>
      <c r="O6" s="2" t="s">
        <v>30</v>
      </c>
      <c r="P6" s="33">
        <v>29.227761194029853</v>
      </c>
      <c r="U6" s="2">
        <v>2014</v>
      </c>
      <c r="V6">
        <v>6986</v>
      </c>
    </row>
    <row r="7" spans="1:22" x14ac:dyDescent="0.3">
      <c r="A7" s="2" t="s">
        <v>30</v>
      </c>
      <c r="B7">
        <v>6</v>
      </c>
      <c r="C7">
        <v>6</v>
      </c>
      <c r="D7">
        <v>9</v>
      </c>
      <c r="E7">
        <v>8</v>
      </c>
      <c r="F7">
        <v>6</v>
      </c>
      <c r="G7">
        <v>5</v>
      </c>
      <c r="H7">
        <v>10</v>
      </c>
      <c r="I7">
        <v>6</v>
      </c>
      <c r="J7">
        <v>4</v>
      </c>
      <c r="K7">
        <v>7</v>
      </c>
      <c r="L7">
        <v>67</v>
      </c>
      <c r="O7" s="2" t="s">
        <v>38</v>
      </c>
      <c r="P7" s="33">
        <v>24.535744680851064</v>
      </c>
      <c r="U7" s="2">
        <v>2015</v>
      </c>
      <c r="V7">
        <v>7258</v>
      </c>
    </row>
    <row r="8" spans="1:22" x14ac:dyDescent="0.3">
      <c r="A8" s="2" t="s">
        <v>38</v>
      </c>
      <c r="B8">
        <v>2</v>
      </c>
      <c r="C8">
        <v>4</v>
      </c>
      <c r="D8">
        <v>5</v>
      </c>
      <c r="E8">
        <v>4</v>
      </c>
      <c r="F8">
        <v>7</v>
      </c>
      <c r="G8">
        <v>2</v>
      </c>
      <c r="H8">
        <v>5</v>
      </c>
      <c r="I8">
        <v>9</v>
      </c>
      <c r="J8">
        <v>9</v>
      </c>
      <c r="L8">
        <v>47</v>
      </c>
      <c r="O8" s="2" t="s">
        <v>37</v>
      </c>
      <c r="P8" s="33">
        <v>21.901904761904763</v>
      </c>
      <c r="U8" s="2">
        <v>2016</v>
      </c>
      <c r="V8">
        <v>7250</v>
      </c>
    </row>
    <row r="9" spans="1:22" x14ac:dyDescent="0.3">
      <c r="A9" s="2" t="s">
        <v>37</v>
      </c>
      <c r="B9">
        <v>4</v>
      </c>
      <c r="C9">
        <v>5</v>
      </c>
      <c r="D9">
        <v>6</v>
      </c>
      <c r="E9">
        <v>6</v>
      </c>
      <c r="F9">
        <v>8</v>
      </c>
      <c r="G9">
        <v>8</v>
      </c>
      <c r="H9">
        <v>8</v>
      </c>
      <c r="I9">
        <v>3</v>
      </c>
      <c r="J9">
        <v>9</v>
      </c>
      <c r="K9">
        <v>6</v>
      </c>
      <c r="L9">
        <v>63</v>
      </c>
      <c r="O9" s="2" t="s">
        <v>34</v>
      </c>
      <c r="P9" s="33">
        <v>25.038260869565221</v>
      </c>
      <c r="U9" s="2">
        <v>2017</v>
      </c>
      <c r="V9">
        <v>6816</v>
      </c>
    </row>
    <row r="10" spans="1:22" x14ac:dyDescent="0.3">
      <c r="A10" s="2" t="s">
        <v>34</v>
      </c>
      <c r="B10">
        <v>8</v>
      </c>
      <c r="C10">
        <v>8</v>
      </c>
      <c r="D10">
        <v>10</v>
      </c>
      <c r="E10">
        <v>8</v>
      </c>
      <c r="F10">
        <v>7</v>
      </c>
      <c r="G10">
        <v>9</v>
      </c>
      <c r="H10">
        <v>3</v>
      </c>
      <c r="I10">
        <v>5</v>
      </c>
      <c r="J10">
        <v>5</v>
      </c>
      <c r="K10">
        <v>6</v>
      </c>
      <c r="L10">
        <v>69</v>
      </c>
      <c r="O10" s="2" t="s">
        <v>29</v>
      </c>
      <c r="P10" s="33">
        <v>25.329374999999995</v>
      </c>
      <c r="U10" s="2">
        <v>2018</v>
      </c>
      <c r="V10">
        <v>7797.18</v>
      </c>
    </row>
    <row r="11" spans="1:22" x14ac:dyDescent="0.3">
      <c r="A11" s="2" t="s">
        <v>29</v>
      </c>
      <c r="B11">
        <v>5</v>
      </c>
      <c r="C11">
        <v>6</v>
      </c>
      <c r="D11">
        <v>5</v>
      </c>
      <c r="E11">
        <v>7</v>
      </c>
      <c r="F11">
        <v>5</v>
      </c>
      <c r="G11">
        <v>8</v>
      </c>
      <c r="H11">
        <v>8</v>
      </c>
      <c r="I11">
        <v>6</v>
      </c>
      <c r="J11">
        <v>6</v>
      </c>
      <c r="K11">
        <v>8</v>
      </c>
      <c r="L11">
        <v>64</v>
      </c>
      <c r="O11" s="2" t="s">
        <v>31</v>
      </c>
      <c r="P11" s="33">
        <v>25.609855072463773</v>
      </c>
      <c r="U11" s="2">
        <v>2019</v>
      </c>
      <c r="V11">
        <v>7934.9400000000005</v>
      </c>
    </row>
    <row r="12" spans="1:22" x14ac:dyDescent="0.3">
      <c r="A12" s="2" t="s">
        <v>31</v>
      </c>
      <c r="B12">
        <v>10</v>
      </c>
      <c r="C12">
        <v>8</v>
      </c>
      <c r="D12">
        <v>5</v>
      </c>
      <c r="E12">
        <v>4</v>
      </c>
      <c r="F12">
        <v>8</v>
      </c>
      <c r="G12">
        <v>5</v>
      </c>
      <c r="H12">
        <v>7</v>
      </c>
      <c r="I12">
        <v>10</v>
      </c>
      <c r="J12">
        <v>5</v>
      </c>
      <c r="K12">
        <v>7</v>
      </c>
      <c r="L12">
        <v>69</v>
      </c>
      <c r="O12" s="2" t="s">
        <v>33</v>
      </c>
      <c r="P12" s="33">
        <v>24.79526315789473</v>
      </c>
      <c r="U12" s="2">
        <v>2020</v>
      </c>
      <c r="V12">
        <v>8205.84</v>
      </c>
    </row>
    <row r="13" spans="1:22" x14ac:dyDescent="0.3">
      <c r="A13" s="2" t="s">
        <v>33</v>
      </c>
      <c r="B13">
        <v>7</v>
      </c>
      <c r="C13">
        <v>9</v>
      </c>
      <c r="D13">
        <v>7</v>
      </c>
      <c r="E13">
        <v>10</v>
      </c>
      <c r="F13">
        <v>4</v>
      </c>
      <c r="G13">
        <v>8</v>
      </c>
      <c r="H13">
        <v>7</v>
      </c>
      <c r="I13">
        <v>4</v>
      </c>
      <c r="J13">
        <v>10</v>
      </c>
      <c r="K13">
        <v>10</v>
      </c>
      <c r="L13">
        <v>76</v>
      </c>
      <c r="O13" s="2" t="s">
        <v>36</v>
      </c>
      <c r="P13" s="33">
        <v>25.840845070422528</v>
      </c>
      <c r="U13" s="2">
        <v>2021</v>
      </c>
      <c r="V13">
        <v>8092.2199999999993</v>
      </c>
    </row>
    <row r="14" spans="1:22" x14ac:dyDescent="0.3">
      <c r="A14" s="2" t="s">
        <v>36</v>
      </c>
      <c r="B14">
        <v>10</v>
      </c>
      <c r="C14">
        <v>6</v>
      </c>
      <c r="D14">
        <v>6</v>
      </c>
      <c r="E14">
        <v>7</v>
      </c>
      <c r="F14">
        <v>5</v>
      </c>
      <c r="G14">
        <v>7</v>
      </c>
      <c r="H14">
        <v>5</v>
      </c>
      <c r="I14">
        <v>9</v>
      </c>
      <c r="J14">
        <v>6</v>
      </c>
      <c r="K14">
        <v>10</v>
      </c>
      <c r="L14">
        <v>71</v>
      </c>
      <c r="O14" s="2" t="s">
        <v>40</v>
      </c>
      <c r="P14">
        <v>25.611848484848483</v>
      </c>
      <c r="U14" s="2">
        <v>2022</v>
      </c>
      <c r="V14">
        <v>7591.6</v>
      </c>
    </row>
    <row r="15" spans="1:22" x14ac:dyDescent="0.3">
      <c r="A15" s="2" t="s">
        <v>40</v>
      </c>
      <c r="B15">
        <v>65</v>
      </c>
      <c r="C15">
        <v>65</v>
      </c>
      <c r="D15">
        <v>65</v>
      </c>
      <c r="E15">
        <v>65</v>
      </c>
      <c r="F15">
        <v>65</v>
      </c>
      <c r="G15">
        <v>65</v>
      </c>
      <c r="H15">
        <v>65</v>
      </c>
      <c r="I15">
        <v>65</v>
      </c>
      <c r="J15">
        <v>70</v>
      </c>
      <c r="K15">
        <v>70</v>
      </c>
      <c r="L15">
        <v>660</v>
      </c>
      <c r="U15" s="2" t="s">
        <v>40</v>
      </c>
      <c r="V15">
        <v>75183.780000000013</v>
      </c>
    </row>
    <row r="16" spans="1:22" x14ac:dyDescent="0.3">
      <c r="A16" s="2"/>
      <c r="O16" s="34" t="s">
        <v>76</v>
      </c>
    </row>
    <row r="17" spans="1:16" x14ac:dyDescent="0.3">
      <c r="A17" s="34" t="s">
        <v>78</v>
      </c>
      <c r="O17" s="1" t="s">
        <v>39</v>
      </c>
      <c r="P17" t="s">
        <v>72</v>
      </c>
    </row>
    <row r="18" spans="1:16" x14ac:dyDescent="0.3">
      <c r="A18" s="1" t="s">
        <v>39</v>
      </c>
      <c r="B18" t="s">
        <v>73</v>
      </c>
      <c r="O18" s="2" t="s">
        <v>32</v>
      </c>
      <c r="P18" s="33">
        <v>23.626478873239439</v>
      </c>
    </row>
    <row r="19" spans="1:16" x14ac:dyDescent="0.3">
      <c r="A19" s="2" t="s">
        <v>32</v>
      </c>
      <c r="B19" s="33">
        <v>117.93737704918033</v>
      </c>
      <c r="O19" s="2" t="s">
        <v>35</v>
      </c>
      <c r="P19" s="33">
        <v>25.554237288135589</v>
      </c>
    </row>
    <row r="20" spans="1:16" x14ac:dyDescent="0.3">
      <c r="A20" s="2" t="s">
        <v>35</v>
      </c>
      <c r="B20" s="33">
        <v>119.19397260273975</v>
      </c>
      <c r="O20" s="2" t="s">
        <v>30</v>
      </c>
      <c r="P20" s="33">
        <v>24.098461538461532</v>
      </c>
    </row>
    <row r="21" spans="1:16" x14ac:dyDescent="0.3">
      <c r="A21" s="2" t="s">
        <v>30</v>
      </c>
      <c r="B21" s="33">
        <v>121.28029850746272</v>
      </c>
      <c r="O21" s="2" t="s">
        <v>38</v>
      </c>
      <c r="P21" s="33">
        <v>26.068235294117638</v>
      </c>
    </row>
    <row r="22" spans="1:16" x14ac:dyDescent="0.3">
      <c r="A22" s="2" t="s">
        <v>38</v>
      </c>
      <c r="B22" s="33">
        <v>116.94978723404257</v>
      </c>
      <c r="O22" s="2" t="s">
        <v>37</v>
      </c>
      <c r="P22" s="33">
        <v>29.031594202898557</v>
      </c>
    </row>
    <row r="23" spans="1:16" x14ac:dyDescent="0.3">
      <c r="A23" s="2" t="s">
        <v>37</v>
      </c>
      <c r="B23" s="33">
        <v>115.45841269841272</v>
      </c>
      <c r="O23" s="2" t="s">
        <v>34</v>
      </c>
      <c r="P23" s="33">
        <v>22.98634920634921</v>
      </c>
    </row>
    <row r="24" spans="1:16" x14ac:dyDescent="0.3">
      <c r="A24" s="2" t="s">
        <v>34</v>
      </c>
      <c r="B24" s="33">
        <v>122.12231884057972</v>
      </c>
      <c r="O24" s="2" t="s">
        <v>29</v>
      </c>
      <c r="P24" s="33">
        <v>25.657352941176466</v>
      </c>
    </row>
    <row r="25" spans="1:16" x14ac:dyDescent="0.3">
      <c r="A25" s="2" t="s">
        <v>29</v>
      </c>
      <c r="B25" s="33">
        <v>121.64812500000001</v>
      </c>
      <c r="O25" s="2" t="s">
        <v>31</v>
      </c>
      <c r="P25" s="33">
        <v>28.855873015873023</v>
      </c>
    </row>
    <row r="26" spans="1:16" x14ac:dyDescent="0.3">
      <c r="A26" s="2" t="s">
        <v>31</v>
      </c>
      <c r="B26" s="33">
        <v>121.02927536231883</v>
      </c>
      <c r="O26" s="2" t="s">
        <v>33</v>
      </c>
      <c r="P26" s="33">
        <v>23.132499999999993</v>
      </c>
    </row>
    <row r="27" spans="1:16" x14ac:dyDescent="0.3">
      <c r="A27" s="2" t="s">
        <v>33</v>
      </c>
      <c r="B27" s="33">
        <v>119.94947368421055</v>
      </c>
      <c r="O27" s="2" t="s">
        <v>36</v>
      </c>
      <c r="P27" s="33">
        <v>26.673442622950823</v>
      </c>
    </row>
    <row r="28" spans="1:16" x14ac:dyDescent="0.3">
      <c r="A28" s="2" t="s">
        <v>36</v>
      </c>
      <c r="B28" s="33">
        <v>118.41295774647884</v>
      </c>
      <c r="O28" s="2" t="s">
        <v>40</v>
      </c>
      <c r="P28">
        <v>25.611848484848473</v>
      </c>
    </row>
    <row r="29" spans="1:16" x14ac:dyDescent="0.3">
      <c r="A29" s="2" t="s">
        <v>40</v>
      </c>
      <c r="B29">
        <v>119.5122121212121</v>
      </c>
    </row>
    <row r="30" spans="1:16" x14ac:dyDescent="0.3">
      <c r="A30" s="2"/>
    </row>
    <row r="31" spans="1:16" x14ac:dyDescent="0.3">
      <c r="A31" s="34" t="s">
        <v>79</v>
      </c>
    </row>
    <row r="32" spans="1:16" x14ac:dyDescent="0.3">
      <c r="A32" s="1" t="s">
        <v>39</v>
      </c>
      <c r="B32" t="s">
        <v>74</v>
      </c>
    </row>
    <row r="33" spans="1:2" x14ac:dyDescent="0.3">
      <c r="A33" s="2" t="s">
        <v>32</v>
      </c>
      <c r="B33" s="33">
        <v>93.269859154929605</v>
      </c>
    </row>
    <row r="34" spans="1:2" x14ac:dyDescent="0.3">
      <c r="A34" s="2" t="s">
        <v>35</v>
      </c>
      <c r="B34" s="33">
        <v>93.017966101694938</v>
      </c>
    </row>
    <row r="35" spans="1:2" x14ac:dyDescent="0.3">
      <c r="A35" s="2" t="s">
        <v>30</v>
      </c>
      <c r="B35" s="33">
        <v>97.590769230769212</v>
      </c>
    </row>
    <row r="36" spans="1:2" x14ac:dyDescent="0.3">
      <c r="A36" s="2" t="s">
        <v>38</v>
      </c>
      <c r="B36" s="33">
        <v>90.001411764705921</v>
      </c>
    </row>
    <row r="37" spans="1:2" x14ac:dyDescent="0.3">
      <c r="A37" s="2" t="s">
        <v>37</v>
      </c>
      <c r="B37" s="33">
        <v>90.250144927536255</v>
      </c>
    </row>
    <row r="38" spans="1:2" x14ac:dyDescent="0.3">
      <c r="A38" s="2" t="s">
        <v>34</v>
      </c>
      <c r="B38" s="33">
        <v>95.752380952380946</v>
      </c>
    </row>
    <row r="39" spans="1:2" x14ac:dyDescent="0.3">
      <c r="A39" s="2" t="s">
        <v>29</v>
      </c>
      <c r="B39" s="33">
        <v>98.396470588235303</v>
      </c>
    </row>
    <row r="40" spans="1:2" x14ac:dyDescent="0.3">
      <c r="A40" s="2" t="s">
        <v>31</v>
      </c>
      <c r="B40" s="33">
        <v>94.617777777777789</v>
      </c>
    </row>
    <row r="41" spans="1:2" x14ac:dyDescent="0.3">
      <c r="A41" s="2" t="s">
        <v>33</v>
      </c>
      <c r="B41" s="33">
        <v>94.793214285714271</v>
      </c>
    </row>
    <row r="42" spans="1:2" x14ac:dyDescent="0.3">
      <c r="A42" s="2" t="s">
        <v>36</v>
      </c>
      <c r="B42" s="33">
        <v>92.631803278688523</v>
      </c>
    </row>
    <row r="43" spans="1:2" x14ac:dyDescent="0.3">
      <c r="A43" s="2" t="s">
        <v>40</v>
      </c>
      <c r="B43">
        <v>93.900363636363622</v>
      </c>
    </row>
    <row r="44" spans="1:2" x14ac:dyDescent="0.3">
      <c r="A44" s="2"/>
    </row>
    <row r="58" spans="1:1" x14ac:dyDescent="0.3">
      <c r="A5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FEE1-63F1-4C9D-83DC-A69D86B19D78}">
  <dimension ref="B1:AH56"/>
  <sheetViews>
    <sheetView zoomScale="85" zoomScaleNormal="85" workbookViewId="0">
      <selection activeCell="Q1" sqref="Q1:AH1048576"/>
    </sheetView>
    <sheetView workbookViewId="1">
      <selection activeCell="B5" sqref="B5:B14"/>
    </sheetView>
  </sheetViews>
  <sheetFormatPr defaultColWidth="9.109375" defaultRowHeight="14.4" x14ac:dyDescent="0.3"/>
  <cols>
    <col min="1" max="1" width="2.88671875" style="3" customWidth="1"/>
    <col min="2" max="2" width="18.88671875" style="3" customWidth="1"/>
    <col min="3" max="15" width="9" style="3" customWidth="1"/>
    <col min="16" max="16" width="10.5546875" style="3" customWidth="1"/>
    <col min="17" max="34" width="8.6640625" customWidth="1"/>
    <col min="35" max="16384" width="9.109375" style="3"/>
  </cols>
  <sheetData>
    <row r="1" spans="2:16" x14ac:dyDescent="0.3">
      <c r="B1" s="11" t="s">
        <v>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2:16" x14ac:dyDescent="0.3">
      <c r="B3" s="18" t="s">
        <v>53</v>
      </c>
    </row>
    <row r="4" spans="2:16" ht="28.8" x14ac:dyDescent="0.3">
      <c r="B4" s="4" t="s">
        <v>45</v>
      </c>
      <c r="C4" s="5" t="s">
        <v>3</v>
      </c>
      <c r="D4" s="5" t="s">
        <v>4</v>
      </c>
      <c r="E4" s="6" t="s">
        <v>42</v>
      </c>
      <c r="F4" s="5" t="s">
        <v>43</v>
      </c>
      <c r="G4" s="5" t="s">
        <v>48</v>
      </c>
      <c r="H4" s="5" t="s">
        <v>44</v>
      </c>
      <c r="I4" s="6" t="s">
        <v>69</v>
      </c>
      <c r="J4" s="5" t="s">
        <v>88</v>
      </c>
      <c r="K4" s="6" t="s">
        <v>87</v>
      </c>
    </row>
    <row r="5" spans="2:16" x14ac:dyDescent="0.3">
      <c r="B5" s="7" t="s">
        <v>32</v>
      </c>
      <c r="C5" s="7">
        <f>COUNTIF('Regular Season'!R:R,'Summary Page (2)'!B5)</f>
        <v>86</v>
      </c>
      <c r="D5" s="7">
        <f>COUNTIF('Regular Season'!S:S,'Summary Page (2)'!B5)</f>
        <v>88</v>
      </c>
      <c r="E5" s="8">
        <f>IFERROR(C5/SUM(C5:D5),"")</f>
        <v>0.4942528735632184</v>
      </c>
      <c r="F5" s="10">
        <f>SUMIF('Regular Season'!R:R,'Summary Page (2)'!B5,'Regular Season'!T:T)+SUMIF('Regular Season'!S:S,'Summary Page (2)'!B5,'Regular Season'!U:U)</f>
        <v>18422.78</v>
      </c>
      <c r="G5" s="10">
        <f>SUMIF('Regular Season'!R:R,'Summary Page (2)'!B5,'Regular Season'!U:U)+SUMIF('Regular Season'!S:S,'Summary Page (2)'!B5,'Regular Season'!T:T)</f>
        <v>18199.36</v>
      </c>
      <c r="H5" s="9">
        <f t="shared" ref="H5:H14" si="0">F5/SUM(C5:D5)</f>
        <v>105.87804597701148</v>
      </c>
      <c r="I5" s="9">
        <f>AVERAGEIF(Tables!C:C,'Summary Page (2)'!B5,Tables!D:D)</f>
        <v>6.1538461538461542</v>
      </c>
      <c r="J5" s="9">
        <f>AVERAGEIF('Regular Season'!R:R,'Summary Page (2)'!B5,'Regular Season'!T:T)</f>
        <v>117.93697674418603</v>
      </c>
      <c r="K5" s="9">
        <f>AVERAGEIF('Regular Season'!S:S,'Summary Page (2)'!B5,'Regular Season'!U:U)</f>
        <v>94.093181818181833</v>
      </c>
    </row>
    <row r="6" spans="2:16" x14ac:dyDescent="0.3">
      <c r="B6" s="7" t="s">
        <v>35</v>
      </c>
      <c r="C6" s="7">
        <f>COUNTIF('Regular Season'!R:R,'Summary Page (2)'!B6)</f>
        <v>93</v>
      </c>
      <c r="D6" s="7">
        <f>COUNTIF('Regular Season'!S:S,'Summary Page (2)'!B6)</f>
        <v>81</v>
      </c>
      <c r="E6" s="8">
        <f t="shared" ref="E6:E14" si="1">IFERROR(C6/SUM(C6:D6),"")</f>
        <v>0.53448275862068961</v>
      </c>
      <c r="F6" s="10">
        <f>SUMIF('Regular Season'!R:R,'Summary Page (2)'!B6,'Regular Season'!T:T)+SUMIF('Regular Season'!S:S,'Summary Page (2)'!B6,'Regular Season'!U:U)</f>
        <v>18649.980000000003</v>
      </c>
      <c r="G6" s="10">
        <f>SUMIF('Regular Season'!R:R,'Summary Page (2)'!B6,'Regular Season'!U:U)+SUMIF('Regular Season'!S:S,'Summary Page (2)'!B6,'Regular Season'!T:T)</f>
        <v>18283.580000000002</v>
      </c>
      <c r="H6" s="9">
        <f t="shared" si="0"/>
        <v>107.18379310344829</v>
      </c>
      <c r="I6" s="9">
        <f>AVERAGEIF(Tables!C:C,'Summary Page (2)'!B6,Tables!D:D)</f>
        <v>4.615384615384615</v>
      </c>
      <c r="J6" s="9">
        <f>AVERAGEIF('Regular Season'!R:R,'Summary Page (2)'!B6,'Regular Season'!T:T)</f>
        <v>119.47354838709678</v>
      </c>
      <c r="K6" s="9">
        <f>AVERAGEIF('Regular Season'!S:S,'Summary Page (2)'!B6,'Regular Season'!U:U)</f>
        <v>93.073333333333352</v>
      </c>
    </row>
    <row r="7" spans="2:16" x14ac:dyDescent="0.3">
      <c r="B7" s="7" t="s">
        <v>30</v>
      </c>
      <c r="C7" s="7">
        <f>COUNTIF('Regular Season'!R:R,'Summary Page (2)'!B7)</f>
        <v>81</v>
      </c>
      <c r="D7" s="7">
        <f>COUNTIF('Regular Season'!S:S,'Summary Page (2)'!B7)</f>
        <v>92</v>
      </c>
      <c r="E7" s="8">
        <f t="shared" si="1"/>
        <v>0.46820809248554912</v>
      </c>
      <c r="F7" s="10">
        <f>SUMIF('Regular Season'!R:R,'Summary Page (2)'!B7,'Regular Season'!T:T)+SUMIF('Regular Season'!S:S,'Summary Page (2)'!B7,'Regular Season'!U:U)</f>
        <v>18586.28</v>
      </c>
      <c r="G7" s="10">
        <f>SUMIF('Regular Season'!R:R,'Summary Page (2)'!B7,'Regular Season'!U:U)+SUMIF('Regular Season'!S:S,'Summary Page (2)'!B7,'Regular Season'!T:T)</f>
        <v>18598.640000000007</v>
      </c>
      <c r="H7" s="9">
        <f t="shared" si="0"/>
        <v>107.43514450867052</v>
      </c>
      <c r="I7" s="9">
        <f>AVERAGEIF(Tables!C:C,'Summary Page (2)'!B7,Tables!D:D)</f>
        <v>6.0769230769230766</v>
      </c>
      <c r="J7" s="9">
        <f>AVERAGEIF('Regular Season'!R:R,'Summary Page (2)'!B7,'Regular Season'!T:T)</f>
        <v>121.69975308641978</v>
      </c>
      <c r="K7" s="9">
        <f>AVERAGEIF('Regular Season'!S:S,'Summary Page (2)'!B7,'Regular Season'!U:U)</f>
        <v>94.876086956521718</v>
      </c>
    </row>
    <row r="8" spans="2:16" x14ac:dyDescent="0.3">
      <c r="B8" s="7" t="s">
        <v>38</v>
      </c>
      <c r="C8" s="7">
        <f>COUNTIF('Regular Season'!R:R,'Summary Page (2)'!B8)</f>
        <v>69</v>
      </c>
      <c r="D8" s="7">
        <f>COUNTIF('Regular Season'!S:S,'Summary Page (2)'!B8)</f>
        <v>106</v>
      </c>
      <c r="E8" s="8">
        <f t="shared" si="1"/>
        <v>0.39428571428571429</v>
      </c>
      <c r="F8" s="10">
        <f>SUMIF('Regular Season'!R:R,'Summary Page (2)'!B8,'Regular Season'!T:T)+SUMIF('Regular Season'!S:S,'Summary Page (2)'!B8,'Regular Season'!U:U)</f>
        <v>17821.900000000009</v>
      </c>
      <c r="G8" s="10">
        <f>SUMIF('Regular Season'!R:R,'Summary Page (2)'!B8,'Regular Season'!U:U)+SUMIF('Regular Season'!S:S,'Summary Page (2)'!B8,'Regular Season'!T:T)</f>
        <v>18752.740000000002</v>
      </c>
      <c r="H8" s="9">
        <f t="shared" si="0"/>
        <v>101.83942857142863</v>
      </c>
      <c r="I8" s="9">
        <f>AVERAGEIF(Tables!C:C,'Summary Page (2)'!B8,Tables!D:D)</f>
        <v>7.1538461538461542</v>
      </c>
      <c r="J8" s="9">
        <f>AVERAGEIF('Regular Season'!R:R,'Summary Page (2)'!B8,'Regular Season'!T:T)</f>
        <v>119.188115942029</v>
      </c>
      <c r="K8" s="9">
        <f>AVERAGEIF('Regular Season'!S:S,'Summary Page (2)'!B8,'Regular Season'!U:U)</f>
        <v>90.546415094339693</v>
      </c>
    </row>
    <row r="9" spans="2:16" x14ac:dyDescent="0.3">
      <c r="B9" s="7" t="s">
        <v>37</v>
      </c>
      <c r="C9" s="7">
        <f>COUNTIF('Regular Season'!R:R,'Summary Page (2)'!B9)</f>
        <v>82</v>
      </c>
      <c r="D9" s="7">
        <f>COUNTIF('Regular Season'!S:S,'Summary Page (2)'!B9)</f>
        <v>92</v>
      </c>
      <c r="E9" s="8">
        <f t="shared" si="1"/>
        <v>0.47126436781609193</v>
      </c>
      <c r="F9" s="10">
        <f>SUMIF('Regular Season'!R:R,'Summary Page (2)'!B9,'Regular Season'!T:T)+SUMIF('Regular Season'!S:S,'Summary Page (2)'!B9,'Regular Season'!U:U)</f>
        <v>18041.170000000002</v>
      </c>
      <c r="G9" s="10">
        <f>SUMIF('Regular Season'!R:R,'Summary Page (2)'!B9,'Regular Season'!U:U)+SUMIF('Regular Season'!S:S,'Summary Page (2)'!B9,'Regular Season'!T:T)</f>
        <v>18755.380000000005</v>
      </c>
      <c r="H9" s="9">
        <f t="shared" si="0"/>
        <v>103.68488505747128</v>
      </c>
      <c r="I9" s="9">
        <f>AVERAGEIF(Tables!C:C,'Summary Page (2)'!B9,Tables!D:D)</f>
        <v>6.0769230769230766</v>
      </c>
      <c r="J9" s="9">
        <f>AVERAGEIF('Regular Season'!R:R,'Summary Page (2)'!B9,'Regular Season'!T:T)</f>
        <v>115.84024390243901</v>
      </c>
      <c r="K9" s="9">
        <f>AVERAGEIF('Regular Season'!S:S,'Summary Page (2)'!B9,'Regular Season'!U:U)</f>
        <v>92.850760869565235</v>
      </c>
    </row>
    <row r="10" spans="2:16" x14ac:dyDescent="0.3">
      <c r="B10" s="7" t="s">
        <v>34</v>
      </c>
      <c r="C10" s="7">
        <f>COUNTIF('Regular Season'!R:R,'Summary Page (2)'!B10)</f>
        <v>91</v>
      </c>
      <c r="D10" s="7">
        <f>COUNTIF('Regular Season'!S:S,'Summary Page (2)'!B10)</f>
        <v>83</v>
      </c>
      <c r="E10" s="8">
        <f t="shared" si="1"/>
        <v>0.52298850574712641</v>
      </c>
      <c r="F10" s="10">
        <f>SUMIF('Regular Season'!R:R,'Summary Page (2)'!B10,'Regular Season'!T:T)+SUMIF('Regular Season'!S:S,'Summary Page (2)'!B10,'Regular Season'!U:U)</f>
        <v>19134.379999999997</v>
      </c>
      <c r="G10" s="10">
        <f>SUMIF('Regular Season'!R:R,'Summary Page (2)'!B10,'Regular Season'!U:U)+SUMIF('Regular Season'!S:S,'Summary Page (2)'!B10,'Regular Season'!T:T)</f>
        <v>18865.580000000002</v>
      </c>
      <c r="H10" s="9">
        <f t="shared" si="0"/>
        <v>109.96770114942527</v>
      </c>
      <c r="I10" s="9">
        <f>AVERAGEIF(Tables!C:C,'Summary Page (2)'!B10,Tables!D:D)</f>
        <v>4.8461538461538458</v>
      </c>
      <c r="J10" s="9">
        <f>AVERAGEIF('Regular Season'!R:R,'Summary Page (2)'!B10,'Regular Season'!T:T)</f>
        <v>122.34263736263736</v>
      </c>
      <c r="K10" s="9">
        <f>AVERAGEIF('Regular Season'!S:S,'Summary Page (2)'!B10,'Regular Season'!U:U)</f>
        <v>96.399999999999991</v>
      </c>
      <c r="P10" s="40"/>
    </row>
    <row r="11" spans="2:16" x14ac:dyDescent="0.3">
      <c r="B11" s="7" t="s">
        <v>29</v>
      </c>
      <c r="C11" s="7">
        <f>COUNTIF('Regular Season'!R:R,'Summary Page (2)'!B11)</f>
        <v>90</v>
      </c>
      <c r="D11" s="7">
        <f>COUNTIF('Regular Season'!S:S,'Summary Page (2)'!B11)</f>
        <v>84</v>
      </c>
      <c r="E11" s="8">
        <f t="shared" si="1"/>
        <v>0.51724137931034486</v>
      </c>
      <c r="F11" s="10">
        <f>SUMIF('Regular Season'!R:R,'Summary Page (2)'!B11,'Regular Season'!T:T)+SUMIF('Regular Season'!S:S,'Summary Page (2)'!B11,'Regular Season'!U:U)</f>
        <v>19575.84</v>
      </c>
      <c r="G11" s="10">
        <f>SUMIF('Regular Season'!R:R,'Summary Page (2)'!B11,'Regular Season'!U:U)+SUMIF('Regular Season'!S:S,'Summary Page (2)'!B11,'Regular Season'!T:T)</f>
        <v>19246.159999999996</v>
      </c>
      <c r="H11" s="9">
        <f t="shared" si="0"/>
        <v>112.5048275862069</v>
      </c>
      <c r="I11" s="9">
        <f>AVERAGEIF(Tables!C:C,'Summary Page (2)'!B11,Tables!D:D)</f>
        <v>5.0769230769230766</v>
      </c>
      <c r="J11" s="9">
        <f>AVERAGEIF('Regular Season'!R:R,'Summary Page (2)'!B11,'Regular Season'!T:T)</f>
        <v>125.15866666666665</v>
      </c>
      <c r="K11" s="9">
        <f>AVERAGEIF('Regular Season'!S:S,'Summary Page (2)'!B11,'Regular Season'!U:U)</f>
        <v>98.947142857142879</v>
      </c>
    </row>
    <row r="12" spans="2:16" x14ac:dyDescent="0.3">
      <c r="B12" s="7" t="s">
        <v>31</v>
      </c>
      <c r="C12" s="7">
        <f>COUNTIF('Regular Season'!R:R,'Summary Page (2)'!B12)</f>
        <v>84</v>
      </c>
      <c r="D12" s="7">
        <f>COUNTIF('Regular Season'!S:S,'Summary Page (2)'!B12)</f>
        <v>88</v>
      </c>
      <c r="E12" s="8">
        <f t="shared" si="1"/>
        <v>0.48837209302325579</v>
      </c>
      <c r="F12" s="10">
        <f>SUMIF('Regular Season'!R:R,'Summary Page (2)'!B12,'Regular Season'!T:T)+SUMIF('Regular Season'!S:S,'Summary Page (2)'!B12,'Regular Season'!U:U)</f>
        <v>18433.660000000003</v>
      </c>
      <c r="G12" s="10">
        <f>SUMIF('Regular Season'!R:R,'Summary Page (2)'!B12,'Regular Season'!U:U)+SUMIF('Regular Season'!S:S,'Summary Page (2)'!B12,'Regular Season'!T:T)</f>
        <v>18937.729999999996</v>
      </c>
      <c r="H12" s="9">
        <f t="shared" si="0"/>
        <v>107.17244186046514</v>
      </c>
      <c r="I12" s="9">
        <f>AVERAGEIF(Tables!C:C,'Summary Page (2)'!B12,Tables!D:D)</f>
        <v>5.8461538461538458</v>
      </c>
      <c r="J12" s="9">
        <f>AVERAGEIF('Regular Season'!R:R,'Summary Page (2)'!B12,'Regular Season'!T:T)</f>
        <v>120.44238095238093</v>
      </c>
      <c r="K12" s="9">
        <f>AVERAGEIF('Regular Season'!S:S,'Summary Page (2)'!B12,'Regular Season'!U:U)</f>
        <v>94.505681818181856</v>
      </c>
    </row>
    <row r="13" spans="2:16" x14ac:dyDescent="0.3">
      <c r="B13" s="7" t="s">
        <v>33</v>
      </c>
      <c r="C13" s="7">
        <f>COUNTIF('Regular Season'!R:R,'Summary Page (2)'!B13)</f>
        <v>102</v>
      </c>
      <c r="D13" s="7">
        <f>COUNTIF('Regular Season'!S:S,'Summary Page (2)'!B13)</f>
        <v>74</v>
      </c>
      <c r="E13" s="8">
        <f t="shared" si="1"/>
        <v>0.57954545454545459</v>
      </c>
      <c r="F13" s="10">
        <f>SUMIF('Regular Season'!R:R,'Summary Page (2)'!B13,'Regular Season'!T:T)+SUMIF('Regular Season'!S:S,'Summary Page (2)'!B13,'Regular Season'!U:U)</f>
        <v>19472.38</v>
      </c>
      <c r="G13" s="10">
        <f>SUMIF('Regular Season'!R:R,'Summary Page (2)'!B13,'Regular Season'!U:U)+SUMIF('Regular Season'!S:S,'Summary Page (2)'!B13,'Regular Season'!T:T)</f>
        <v>18604.720000000005</v>
      </c>
      <c r="H13" s="9">
        <f t="shared" si="0"/>
        <v>110.63852272727273</v>
      </c>
      <c r="I13" s="9">
        <f>AVERAGEIF(Tables!C:C,'Summary Page (2)'!B13,Tables!D:D)</f>
        <v>3.9230769230769229</v>
      </c>
      <c r="J13" s="9">
        <f>AVERAGEIF('Regular Season'!R:R,'Summary Page (2)'!B13,'Regular Season'!T:T)</f>
        <v>120.75627450980393</v>
      </c>
      <c r="K13" s="9">
        <f>AVERAGEIF('Regular Season'!S:S,'Summary Page (2)'!B13,'Regular Season'!U:U)</f>
        <v>96.692432432432412</v>
      </c>
    </row>
    <row r="14" spans="2:16" x14ac:dyDescent="0.3">
      <c r="B14" s="7" t="s">
        <v>36</v>
      </c>
      <c r="C14" s="7">
        <f>COUNTIF('Regular Season'!R:R,'Summary Page (2)'!B14)</f>
        <v>92</v>
      </c>
      <c r="D14" s="7">
        <f>COUNTIF('Regular Season'!S:S,'Summary Page (2)'!B14)</f>
        <v>82</v>
      </c>
      <c r="E14" s="8">
        <f t="shared" si="1"/>
        <v>0.52873563218390807</v>
      </c>
      <c r="F14" s="10">
        <f>SUMIF('Regular Season'!R:R,'Summary Page (2)'!B14,'Regular Season'!T:T)+SUMIF('Regular Season'!S:S,'Summary Page (2)'!B14,'Regular Season'!U:U)</f>
        <v>18450.319999999996</v>
      </c>
      <c r="G14" s="10">
        <f>SUMIF('Regular Season'!R:R,'Summary Page (2)'!B14,'Regular Season'!U:U)+SUMIF('Regular Season'!S:S,'Summary Page (2)'!B14,'Regular Season'!T:T)</f>
        <v>18344.800000000003</v>
      </c>
      <c r="H14" s="9">
        <f t="shared" si="0"/>
        <v>106.03632183908044</v>
      </c>
      <c r="I14" s="9">
        <f>AVERAGEIF(Tables!C:C,'Summary Page (2)'!B14,Tables!D:D)</f>
        <v>5.2307692307692308</v>
      </c>
      <c r="J14" s="9">
        <f>AVERAGEIF('Regular Season'!R:R,'Summary Page (2)'!B14,'Regular Season'!T:T)</f>
        <v>116.07782608695648</v>
      </c>
      <c r="K14" s="9">
        <f>AVERAGEIF('Regular Season'!S:S,'Summary Page (2)'!B14,'Regular Season'!U:U)</f>
        <v>94.770243902439006</v>
      </c>
    </row>
    <row r="15" spans="2:16" x14ac:dyDescent="0.3">
      <c r="E15" s="42"/>
      <c r="F15" s="43"/>
      <c r="G15" s="43"/>
      <c r="H15" s="44"/>
      <c r="I15" s="44"/>
      <c r="N15" s="42"/>
    </row>
    <row r="16" spans="2:16" x14ac:dyDescent="0.3">
      <c r="B16" s="19" t="s">
        <v>50</v>
      </c>
      <c r="C16" s="19"/>
      <c r="D16" s="37" t="s">
        <v>32</v>
      </c>
      <c r="E16" s="37"/>
      <c r="F16" s="37"/>
    </row>
    <row r="17" spans="2:14" x14ac:dyDescent="0.3">
      <c r="B17" s="24"/>
      <c r="C17" s="24"/>
      <c r="D17" s="28"/>
      <c r="E17" s="28"/>
    </row>
    <row r="18" spans="2:14" x14ac:dyDescent="0.3">
      <c r="B18" s="38" t="s">
        <v>83</v>
      </c>
      <c r="C18" s="29" t="s">
        <v>67</v>
      </c>
      <c r="D18" s="29"/>
      <c r="E18" s="29"/>
      <c r="F18" s="30" t="s">
        <v>68</v>
      </c>
      <c r="G18" s="30"/>
      <c r="H18" s="30"/>
      <c r="I18" s="30" t="s">
        <v>51</v>
      </c>
      <c r="J18" s="30"/>
      <c r="K18" s="30"/>
    </row>
    <row r="19" spans="2:14" x14ac:dyDescent="0.3">
      <c r="B19" s="17" t="s">
        <v>52</v>
      </c>
      <c r="C19" s="12" t="s">
        <v>3</v>
      </c>
      <c r="D19" s="12" t="s">
        <v>4</v>
      </c>
      <c r="E19" s="13" t="s">
        <v>42</v>
      </c>
      <c r="F19" s="12" t="s">
        <v>3</v>
      </c>
      <c r="G19" s="12" t="s">
        <v>4</v>
      </c>
      <c r="H19" s="13" t="s">
        <v>42</v>
      </c>
      <c r="I19" s="12" t="s">
        <v>3</v>
      </c>
      <c r="J19" s="12" t="s">
        <v>4</v>
      </c>
      <c r="K19" s="13" t="s">
        <v>42</v>
      </c>
    </row>
    <row r="20" spans="2:14" x14ac:dyDescent="0.3">
      <c r="B20" s="7" t="s">
        <v>32</v>
      </c>
      <c r="C20" s="7">
        <f>COUNTIFS('Regular Season'!R:R,'Summary Page (2)'!$D$16,'Regular Season'!S:S,'Summary Page (2)'!B20)</f>
        <v>0</v>
      </c>
      <c r="D20" s="7">
        <f>COUNTIFS('Regular Season'!S:S,'Summary Page (2)'!$D$16,'Regular Season'!R:R,'Summary Page (2)'!B20)</f>
        <v>0</v>
      </c>
      <c r="E20" s="8" t="str">
        <f>IFERROR(C20/SUM(C20:D20),"")</f>
        <v/>
      </c>
      <c r="F20" s="7">
        <f>COUNTIFS(Playoffs!O:O,'Summary Page (2)'!$D$16,Playoffs!P:P,'Summary Page (2)'!B20)</f>
        <v>0</v>
      </c>
      <c r="G20" s="7">
        <f>COUNTIFS(Playoffs!P:P,'Summary Page (2)'!$D$16,Playoffs!O:O,'Summary Page (2)'!B20)</f>
        <v>0</v>
      </c>
      <c r="H20" s="8" t="str">
        <f>IFERROR(F20/SUM(F20:G20),"")</f>
        <v/>
      </c>
      <c r="I20" s="7">
        <f>C20+F20</f>
        <v>0</v>
      </c>
      <c r="J20" s="7">
        <f>D20+G20</f>
        <v>0</v>
      </c>
      <c r="K20" s="8" t="str">
        <f>IFERROR(I20/SUM(I20:J20),"")</f>
        <v/>
      </c>
    </row>
    <row r="21" spans="2:14" x14ac:dyDescent="0.3">
      <c r="B21" s="7" t="s">
        <v>35</v>
      </c>
      <c r="C21" s="7">
        <f>COUNTIFS('Regular Season'!R:R,'Summary Page (2)'!$D$16,'Regular Season'!S:S,'Summary Page (2)'!B21)</f>
        <v>11</v>
      </c>
      <c r="D21" s="7">
        <f>COUNTIFS('Regular Season'!S:S,'Summary Page (2)'!$D$16,'Regular Season'!R:R,'Summary Page (2)'!B21)</f>
        <v>9</v>
      </c>
      <c r="E21" s="8">
        <f t="shared" ref="E21:E30" si="2">IFERROR(C21/SUM(C21:D21),"")</f>
        <v>0.55000000000000004</v>
      </c>
      <c r="F21" s="7">
        <f>COUNTIFS(Playoffs!O:O,'Summary Page (2)'!$D$16,Playoffs!P:P,'Summary Page (2)'!B21)</f>
        <v>0</v>
      </c>
      <c r="G21" s="7">
        <f>COUNTIFS(Playoffs!P:P,'Summary Page (2)'!$D$16,Playoffs!O:O,'Summary Page (2)'!B21)</f>
        <v>1</v>
      </c>
      <c r="H21" s="8">
        <f t="shared" ref="H21:H29" si="3">IFERROR(F21/SUM(F21:G21),"")</f>
        <v>0</v>
      </c>
      <c r="I21" s="7">
        <f t="shared" ref="I21:J29" si="4">C21+F21</f>
        <v>11</v>
      </c>
      <c r="J21" s="7">
        <f t="shared" si="4"/>
        <v>10</v>
      </c>
      <c r="K21" s="8">
        <f t="shared" ref="K21:K30" si="5">IFERROR(I21/SUM(I21:J21),"")</f>
        <v>0.52380952380952384</v>
      </c>
    </row>
    <row r="22" spans="2:14" x14ac:dyDescent="0.3">
      <c r="B22" s="7" t="s">
        <v>30</v>
      </c>
      <c r="C22" s="7">
        <f>COUNTIFS('Regular Season'!R:R,'Summary Page (2)'!$D$16,'Regular Season'!S:S,'Summary Page (2)'!B22)</f>
        <v>6</v>
      </c>
      <c r="D22" s="7">
        <f>COUNTIFS('Regular Season'!S:S,'Summary Page (2)'!$D$16,'Regular Season'!R:R,'Summary Page (2)'!B22)</f>
        <v>8</v>
      </c>
      <c r="E22" s="8">
        <f t="shared" si="2"/>
        <v>0.42857142857142855</v>
      </c>
      <c r="F22" s="7">
        <f>COUNTIFS(Playoffs!O:O,'Summary Page (2)'!$D$16,Playoffs!P:P,'Summary Page (2)'!B22)</f>
        <v>0</v>
      </c>
      <c r="G22" s="7">
        <f>COUNTIFS(Playoffs!P:P,'Summary Page (2)'!$D$16,Playoffs!O:O,'Summary Page (2)'!B22)</f>
        <v>1</v>
      </c>
      <c r="H22" s="8">
        <f t="shared" si="3"/>
        <v>0</v>
      </c>
      <c r="I22" s="7">
        <f t="shared" si="4"/>
        <v>6</v>
      </c>
      <c r="J22" s="7">
        <f t="shared" si="4"/>
        <v>9</v>
      </c>
      <c r="K22" s="8">
        <f t="shared" si="5"/>
        <v>0.4</v>
      </c>
    </row>
    <row r="23" spans="2:14" x14ac:dyDescent="0.3">
      <c r="B23" s="7" t="s">
        <v>38</v>
      </c>
      <c r="C23" s="7">
        <f>COUNTIFS('Regular Season'!R:R,'Summary Page (2)'!$D$16,'Regular Season'!S:S,'Summary Page (2)'!B23)</f>
        <v>10</v>
      </c>
      <c r="D23" s="7">
        <f>COUNTIFS('Regular Season'!S:S,'Summary Page (2)'!$D$16,'Regular Season'!R:R,'Summary Page (2)'!B23)</f>
        <v>9</v>
      </c>
      <c r="E23" s="8">
        <f t="shared" si="2"/>
        <v>0.52631578947368418</v>
      </c>
      <c r="F23" s="7">
        <f>COUNTIFS(Playoffs!O:O,'Summary Page (2)'!$D$16,Playoffs!P:P,'Summary Page (2)'!B23)</f>
        <v>0</v>
      </c>
      <c r="G23" s="7">
        <f>COUNTIFS(Playoffs!P:P,'Summary Page (2)'!$D$16,Playoffs!O:O,'Summary Page (2)'!B23)</f>
        <v>1</v>
      </c>
      <c r="H23" s="8">
        <f t="shared" si="3"/>
        <v>0</v>
      </c>
      <c r="I23" s="7">
        <f t="shared" si="4"/>
        <v>10</v>
      </c>
      <c r="J23" s="7">
        <f t="shared" si="4"/>
        <v>10</v>
      </c>
      <c r="K23" s="8">
        <f t="shared" si="5"/>
        <v>0.5</v>
      </c>
    </row>
    <row r="24" spans="2:14" x14ac:dyDescent="0.3">
      <c r="B24" s="7" t="s">
        <v>37</v>
      </c>
      <c r="C24" s="7">
        <f>COUNTIFS('Regular Season'!R:R,'Summary Page (2)'!$D$16,'Regular Season'!S:S,'Summary Page (2)'!B24)</f>
        <v>9</v>
      </c>
      <c r="D24" s="7">
        <f>COUNTIFS('Regular Season'!S:S,'Summary Page (2)'!$D$16,'Regular Season'!R:R,'Summary Page (2)'!B24)</f>
        <v>14</v>
      </c>
      <c r="E24" s="8">
        <f t="shared" si="2"/>
        <v>0.39130434782608697</v>
      </c>
      <c r="F24" s="7">
        <f>COUNTIFS(Playoffs!O:O,'Summary Page (2)'!$D$16,Playoffs!P:P,'Summary Page (2)'!B24)</f>
        <v>0</v>
      </c>
      <c r="G24" s="7">
        <f>COUNTIFS(Playoffs!P:P,'Summary Page (2)'!$D$16,Playoffs!O:O,'Summary Page (2)'!B24)</f>
        <v>1</v>
      </c>
      <c r="H24" s="8">
        <f t="shared" si="3"/>
        <v>0</v>
      </c>
      <c r="I24" s="7">
        <f t="shared" si="4"/>
        <v>9</v>
      </c>
      <c r="J24" s="7">
        <f t="shared" si="4"/>
        <v>15</v>
      </c>
      <c r="K24" s="8">
        <f t="shared" si="5"/>
        <v>0.375</v>
      </c>
    </row>
    <row r="25" spans="2:14" x14ac:dyDescent="0.3">
      <c r="B25" s="7" t="s">
        <v>34</v>
      </c>
      <c r="C25" s="7">
        <f>COUNTIFS('Regular Season'!R:R,'Summary Page (2)'!$D$16,'Regular Season'!S:S,'Summary Page (2)'!B25)</f>
        <v>8</v>
      </c>
      <c r="D25" s="7">
        <f>COUNTIFS('Regular Season'!S:S,'Summary Page (2)'!$D$16,'Regular Season'!R:R,'Summary Page (2)'!B25)</f>
        <v>7</v>
      </c>
      <c r="E25" s="8">
        <f t="shared" si="2"/>
        <v>0.53333333333333333</v>
      </c>
      <c r="F25" s="7">
        <f>COUNTIFS(Playoffs!O:O,'Summary Page (2)'!$D$16,Playoffs!P:P,'Summary Page (2)'!B25)</f>
        <v>0</v>
      </c>
      <c r="G25" s="7">
        <f>COUNTIFS(Playoffs!P:P,'Summary Page (2)'!$D$16,Playoffs!O:O,'Summary Page (2)'!B25)</f>
        <v>2</v>
      </c>
      <c r="H25" s="8">
        <f t="shared" si="3"/>
        <v>0</v>
      </c>
      <c r="I25" s="7">
        <f t="shared" si="4"/>
        <v>8</v>
      </c>
      <c r="J25" s="7">
        <f t="shared" si="4"/>
        <v>9</v>
      </c>
      <c r="K25" s="8">
        <f t="shared" si="5"/>
        <v>0.47058823529411764</v>
      </c>
    </row>
    <row r="26" spans="2:14" x14ac:dyDescent="0.3">
      <c r="B26" s="7" t="s">
        <v>29</v>
      </c>
      <c r="C26" s="7">
        <f>COUNTIFS('Regular Season'!R:R,'Summary Page (2)'!$D$16,'Regular Season'!S:S,'Summary Page (2)'!B26)</f>
        <v>9</v>
      </c>
      <c r="D26" s="7">
        <f>COUNTIFS('Regular Season'!S:S,'Summary Page (2)'!$D$16,'Regular Season'!R:R,'Summary Page (2)'!B26)</f>
        <v>11</v>
      </c>
      <c r="E26" s="8">
        <f t="shared" si="2"/>
        <v>0.45</v>
      </c>
      <c r="F26" s="7">
        <f>COUNTIFS(Playoffs!O:O,'Summary Page (2)'!$D$16,Playoffs!P:P,'Summary Page (2)'!B26)</f>
        <v>1</v>
      </c>
      <c r="G26" s="7">
        <f>COUNTIFS(Playoffs!P:P,'Summary Page (2)'!$D$16,Playoffs!O:O,'Summary Page (2)'!B26)</f>
        <v>1</v>
      </c>
      <c r="H26" s="8">
        <f t="shared" si="3"/>
        <v>0.5</v>
      </c>
      <c r="I26" s="7">
        <f t="shared" si="4"/>
        <v>10</v>
      </c>
      <c r="J26" s="7">
        <f t="shared" si="4"/>
        <v>12</v>
      </c>
      <c r="K26" s="8">
        <f t="shared" si="5"/>
        <v>0.45454545454545453</v>
      </c>
    </row>
    <row r="27" spans="2:14" x14ac:dyDescent="0.3">
      <c r="B27" s="7" t="s">
        <v>31</v>
      </c>
      <c r="C27" s="7">
        <f>COUNTIFS('Regular Season'!R:R,'Summary Page (2)'!$D$16,'Regular Season'!S:S,'Summary Page (2)'!B27)</f>
        <v>15</v>
      </c>
      <c r="D27" s="7">
        <f>COUNTIFS('Regular Season'!S:S,'Summary Page (2)'!$D$16,'Regular Season'!R:R,'Summary Page (2)'!B27)</f>
        <v>9</v>
      </c>
      <c r="E27" s="8">
        <f t="shared" si="2"/>
        <v>0.625</v>
      </c>
      <c r="F27" s="7">
        <f>COUNTIFS(Playoffs!O:O,'Summary Page (2)'!$D$16,Playoffs!P:P,'Summary Page (2)'!B27)</f>
        <v>0</v>
      </c>
      <c r="G27" s="7">
        <f>COUNTIFS(Playoffs!P:P,'Summary Page (2)'!$D$16,Playoffs!O:O,'Summary Page (2)'!B27)</f>
        <v>0</v>
      </c>
      <c r="H27" s="8" t="str">
        <f t="shared" si="3"/>
        <v/>
      </c>
      <c r="I27" s="7">
        <f t="shared" si="4"/>
        <v>15</v>
      </c>
      <c r="J27" s="7">
        <f t="shared" si="4"/>
        <v>9</v>
      </c>
      <c r="K27" s="8">
        <f t="shared" si="5"/>
        <v>0.625</v>
      </c>
    </row>
    <row r="28" spans="2:14" x14ac:dyDescent="0.3">
      <c r="B28" s="7" t="s">
        <v>33</v>
      </c>
      <c r="C28" s="7">
        <f>COUNTIFS('Regular Season'!R:R,'Summary Page (2)'!$D$16,'Regular Season'!S:S,'Summary Page (2)'!B28)</f>
        <v>9</v>
      </c>
      <c r="D28" s="7">
        <f>COUNTIFS('Regular Season'!S:S,'Summary Page (2)'!$D$16,'Regular Season'!R:R,'Summary Page (2)'!B28)</f>
        <v>16</v>
      </c>
      <c r="E28" s="8">
        <f t="shared" si="2"/>
        <v>0.36</v>
      </c>
      <c r="F28" s="7">
        <f>COUNTIFS(Playoffs!O:O,'Summary Page (2)'!$D$16,Playoffs!P:P,'Summary Page (2)'!B28)</f>
        <v>0</v>
      </c>
      <c r="G28" s="7">
        <f>COUNTIFS(Playoffs!P:P,'Summary Page (2)'!$D$16,Playoffs!O:O,'Summary Page (2)'!B28)</f>
        <v>2</v>
      </c>
      <c r="H28" s="8">
        <f t="shared" si="3"/>
        <v>0</v>
      </c>
      <c r="I28" s="7">
        <f t="shared" si="4"/>
        <v>9</v>
      </c>
      <c r="J28" s="7">
        <f t="shared" si="4"/>
        <v>18</v>
      </c>
      <c r="K28" s="8">
        <f t="shared" si="5"/>
        <v>0.33333333333333331</v>
      </c>
    </row>
    <row r="29" spans="2:14" x14ac:dyDescent="0.3">
      <c r="B29" s="7" t="s">
        <v>36</v>
      </c>
      <c r="C29" s="7">
        <f>COUNTIFS('Regular Season'!R:R,'Summary Page (2)'!$D$16,'Regular Season'!S:S,'Summary Page (2)'!B29)</f>
        <v>9</v>
      </c>
      <c r="D29" s="7">
        <f>COUNTIFS('Regular Season'!S:S,'Summary Page (2)'!$D$16,'Regular Season'!R:R,'Summary Page (2)'!B29)</f>
        <v>5</v>
      </c>
      <c r="E29" s="8">
        <f t="shared" si="2"/>
        <v>0.6428571428571429</v>
      </c>
      <c r="F29" s="7">
        <f>COUNTIFS(Playoffs!O:O,'Summary Page (2)'!$D$16,Playoffs!P:P,'Summary Page (2)'!B29)</f>
        <v>1</v>
      </c>
      <c r="G29" s="7">
        <f>COUNTIFS(Playoffs!P:P,'Summary Page (2)'!$D$16,Playoffs!O:O,'Summary Page (2)'!B29)</f>
        <v>2</v>
      </c>
      <c r="H29" s="8">
        <f t="shared" si="3"/>
        <v>0.33333333333333331</v>
      </c>
      <c r="I29" s="7">
        <f t="shared" si="4"/>
        <v>10</v>
      </c>
      <c r="J29" s="7">
        <f t="shared" si="4"/>
        <v>7</v>
      </c>
      <c r="K29" s="8">
        <f t="shared" si="5"/>
        <v>0.58823529411764708</v>
      </c>
    </row>
    <row r="30" spans="2:14" x14ac:dyDescent="0.3">
      <c r="B30" s="15" t="s">
        <v>51</v>
      </c>
      <c r="C30" s="15">
        <f>SUM(C20:C29)</f>
        <v>86</v>
      </c>
      <c r="D30" s="15">
        <f>SUM(D20:D29)</f>
        <v>88</v>
      </c>
      <c r="E30" s="16">
        <f t="shared" si="2"/>
        <v>0.4942528735632184</v>
      </c>
      <c r="F30" s="15">
        <f>SUM(F20:F29)</f>
        <v>2</v>
      </c>
      <c r="G30" s="15">
        <f>SUM(G20:G29)</f>
        <v>11</v>
      </c>
      <c r="H30" s="16">
        <f>IFERROR(F30/SUM(F30:G30),"")</f>
        <v>0.15384615384615385</v>
      </c>
      <c r="I30" s="15">
        <f>SUM(I20:I29)</f>
        <v>88</v>
      </c>
      <c r="J30" s="15">
        <f>SUM(J20:J29)</f>
        <v>99</v>
      </c>
      <c r="K30" s="16">
        <f t="shared" si="5"/>
        <v>0.47058823529411764</v>
      </c>
    </row>
    <row r="31" spans="2:14" ht="15" thickBot="1" x14ac:dyDescent="0.35"/>
    <row r="32" spans="2:14" ht="15" thickBot="1" x14ac:dyDescent="0.35">
      <c r="B32" s="38" t="s">
        <v>64</v>
      </c>
      <c r="C32" s="77" t="s">
        <v>85</v>
      </c>
      <c r="D32" s="78"/>
      <c r="E32" s="78"/>
      <c r="F32" s="78"/>
      <c r="G32" s="78"/>
      <c r="H32" s="79"/>
      <c r="I32" s="74" t="s">
        <v>86</v>
      </c>
      <c r="J32" s="75"/>
      <c r="K32" s="75"/>
      <c r="L32" s="75"/>
      <c r="M32" s="75"/>
      <c r="N32" s="76"/>
    </row>
    <row r="33" spans="2:16" x14ac:dyDescent="0.3">
      <c r="B33" s="17" t="s">
        <v>52</v>
      </c>
      <c r="C33" s="12" t="s">
        <v>3</v>
      </c>
      <c r="D33" s="12"/>
      <c r="E33" s="12" t="s">
        <v>4</v>
      </c>
      <c r="F33" s="13"/>
      <c r="G33" s="13" t="s">
        <v>51</v>
      </c>
      <c r="H33" s="12"/>
      <c r="I33" s="12" t="s">
        <v>3</v>
      </c>
      <c r="J33" s="12"/>
      <c r="K33" s="12" t="s">
        <v>4</v>
      </c>
      <c r="L33" s="13"/>
      <c r="M33" s="13" t="s">
        <v>51</v>
      </c>
      <c r="N33" s="12"/>
      <c r="O33" s="12" t="s">
        <v>84</v>
      </c>
    </row>
    <row r="34" spans="2:16" x14ac:dyDescent="0.3">
      <c r="B34" s="7" t="s">
        <v>32</v>
      </c>
      <c r="C34" s="36" t="str">
        <f>IFERROR(AVERAGEIFS('Regular Season'!T:T,'Regular Season'!R:R,'Summary Page (2)'!$D$16,'Regular Season'!S:S,'Summary Page (2)'!B34),"")</f>
        <v/>
      </c>
      <c r="D34" s="47" t="str">
        <f>IFERROR(C34-$C$44,"")</f>
        <v/>
      </c>
      <c r="E34" s="36" t="str">
        <f>IFERROR(AVERAGEIFS('Regular Season'!U:U,'Regular Season'!S:S,'Summary Page (2)'!$D$16,'Regular Season'!R:R,'Summary Page (2)'!B34),"")</f>
        <v/>
      </c>
      <c r="F34" s="47" t="str">
        <f>IFERROR(E34-$E$44,"")</f>
        <v/>
      </c>
      <c r="G34" s="36" t="str">
        <f t="shared" ref="G34:G43" si="6">IFERROR(((C34*C20)+(E34*D20))/SUM(C20:D20),"")</f>
        <v/>
      </c>
      <c r="H34" s="48" t="str">
        <f t="shared" ref="H34:H43" si="7">IFERROR(G34-$G$44,"")</f>
        <v/>
      </c>
      <c r="I34" s="36" t="str">
        <f>IFERROR(AVERAGEIFS('Regular Season'!T:T,'Regular Season'!R:R,'Summary Page (2)'!B34,'Regular Season'!S:S,'Summary Page (2)'!$D$16),"")</f>
        <v/>
      </c>
      <c r="J34" s="47" t="str">
        <f t="shared" ref="J34:J43" si="8">IFERROR(I34-J5,"")</f>
        <v/>
      </c>
      <c r="K34" s="36" t="str">
        <f>IFERROR(AVERAGEIFS('Regular Season'!U:U,'Regular Season'!R:R,'Summary Page (2)'!$D$16,'Regular Season'!S:S,'Summary Page (2)'!B34),"")</f>
        <v/>
      </c>
      <c r="L34" s="47" t="str">
        <f t="shared" ref="L34:L43" si="9">IFERROR(K34-K5,"")</f>
        <v/>
      </c>
      <c r="M34" s="36" t="str">
        <f>IFERROR(((I34*D20)+(K34*C20))/SUM(C20:D20),"")</f>
        <v/>
      </c>
      <c r="N34" s="48" t="str">
        <f t="shared" ref="N34:N43" si="10">IFERROR(M34-H5,"")</f>
        <v/>
      </c>
      <c r="O34" s="49" t="str">
        <f>IFERROR(H34-N34,"")</f>
        <v/>
      </c>
    </row>
    <row r="35" spans="2:16" x14ac:dyDescent="0.3">
      <c r="B35" s="7" t="s">
        <v>35</v>
      </c>
      <c r="C35" s="36">
        <f>IFERROR(AVERAGEIFS('Regular Season'!T:T,'Regular Season'!R:R,'Summary Page (2)'!$D$16,'Regular Season'!S:S,'Summary Page (2)'!B35),"")</f>
        <v>104.04545454545455</v>
      </c>
      <c r="D35" s="47">
        <f t="shared" ref="D35:D43" si="11">IFERROR(C35-$C$44,"")</f>
        <v>-13.891522198731479</v>
      </c>
      <c r="E35" s="36">
        <f>IFERROR(AVERAGEIFS('Regular Season'!U:U,'Regular Season'!S:S,'Summary Page (2)'!$D$16,'Regular Season'!R:R,'Summary Page (2)'!B35),"")</f>
        <v>91.068888888888907</v>
      </c>
      <c r="F35" s="47">
        <f t="shared" ref="F35:F43" si="12">IFERROR(E35-$E$44,"")</f>
        <v>-3.0242929292929261</v>
      </c>
      <c r="G35" s="36">
        <f t="shared" si="6"/>
        <v>98.206000000000003</v>
      </c>
      <c r="H35" s="48">
        <f t="shared" si="7"/>
        <v>-7.6720459770114786</v>
      </c>
      <c r="I35" s="36">
        <f>IFERROR(AVERAGEIFS('Regular Season'!T:T,'Regular Season'!R:R,'Summary Page (2)'!B35,'Regular Season'!S:S,'Summary Page (2)'!$D$16),"")</f>
        <v>122.76222222222221</v>
      </c>
      <c r="J35" s="47">
        <f t="shared" si="8"/>
        <v>3.2886738351254223</v>
      </c>
      <c r="K35" s="36">
        <f>IFERROR(AVERAGEIFS('Regular Season'!U:U,'Regular Season'!R:R,'Summary Page (2)'!$D$16,'Regular Season'!S:S,'Summary Page (2)'!B35),"")</f>
        <v>82.661818181818191</v>
      </c>
      <c r="L35" s="47">
        <f t="shared" si="9"/>
        <v>-10.411515151515161</v>
      </c>
      <c r="M35" s="36">
        <f t="shared" ref="M35:M43" si="13">IFERROR(((I35*D21)+(K35*C21))/SUM(C21:D21),"")</f>
        <v>100.70699999999999</v>
      </c>
      <c r="N35" s="48">
        <f t="shared" si="10"/>
        <v>-6.4767931034483013</v>
      </c>
      <c r="O35" s="49">
        <f t="shared" ref="O35:O43" si="14">IFERROR(H35-N35,"")</f>
        <v>-1.1952528735631773</v>
      </c>
    </row>
    <row r="36" spans="2:16" x14ac:dyDescent="0.3">
      <c r="B36" s="7" t="s">
        <v>30</v>
      </c>
      <c r="C36" s="36">
        <f>IFERROR(AVERAGEIFS('Regular Season'!T:T,'Regular Season'!R:R,'Summary Page (2)'!$D$16,'Regular Season'!S:S,'Summary Page (2)'!B36),"")</f>
        <v>124.26333333333332</v>
      </c>
      <c r="D36" s="47">
        <f t="shared" si="11"/>
        <v>6.326356589147295</v>
      </c>
      <c r="E36" s="36">
        <f>IFERROR(AVERAGEIFS('Regular Season'!U:U,'Regular Season'!S:S,'Summary Page (2)'!$D$16,'Regular Season'!R:R,'Summary Page (2)'!B36),"")</f>
        <v>100.6925</v>
      </c>
      <c r="F36" s="47">
        <f t="shared" si="12"/>
        <v>6.5993181818181625</v>
      </c>
      <c r="G36" s="36">
        <f t="shared" si="6"/>
        <v>110.79428571428571</v>
      </c>
      <c r="H36" s="48">
        <f t="shared" si="7"/>
        <v>4.9162397372742248</v>
      </c>
      <c r="I36" s="36">
        <f>IFERROR(AVERAGEIFS('Regular Season'!T:T,'Regular Season'!R:R,'Summary Page (2)'!B36,'Regular Season'!S:S,'Summary Page (2)'!$D$16),"")</f>
        <v>117.63250000000001</v>
      </c>
      <c r="J36" s="47">
        <f t="shared" si="8"/>
        <v>-4.0672530864197682</v>
      </c>
      <c r="K36" s="36">
        <f>IFERROR(AVERAGEIFS('Regular Season'!U:U,'Regular Season'!R:R,'Summary Page (2)'!$D$16,'Regular Season'!S:S,'Summary Page (2)'!B36),"")</f>
        <v>96.15333333333335</v>
      </c>
      <c r="L36" s="47">
        <f t="shared" si="9"/>
        <v>1.2772463768116324</v>
      </c>
      <c r="M36" s="36">
        <f t="shared" si="13"/>
        <v>108.42714285714285</v>
      </c>
      <c r="N36" s="48">
        <f t="shared" si="10"/>
        <v>0.99199834847233603</v>
      </c>
      <c r="O36" s="49">
        <f t="shared" si="14"/>
        <v>3.9242413888018888</v>
      </c>
    </row>
    <row r="37" spans="2:16" x14ac:dyDescent="0.3">
      <c r="B37" s="7" t="s">
        <v>38</v>
      </c>
      <c r="C37" s="36">
        <f>IFERROR(AVERAGEIFS('Regular Season'!T:T,'Regular Season'!R:R,'Summary Page (2)'!$D$16,'Regular Season'!S:S,'Summary Page (2)'!B37),"")</f>
        <v>112.822</v>
      </c>
      <c r="D37" s="47">
        <f t="shared" si="11"/>
        <v>-5.1149767441860234</v>
      </c>
      <c r="E37" s="36">
        <f>IFERROR(AVERAGEIFS('Regular Season'!U:U,'Regular Season'!S:S,'Summary Page (2)'!$D$16,'Regular Season'!R:R,'Summary Page (2)'!B37),"")</f>
        <v>98.668888888888887</v>
      </c>
      <c r="F37" s="47">
        <f t="shared" si="12"/>
        <v>4.575707070707054</v>
      </c>
      <c r="G37" s="36">
        <f t="shared" si="6"/>
        <v>106.1178947368421</v>
      </c>
      <c r="H37" s="48">
        <f t="shared" si="7"/>
        <v>0.23984875983062182</v>
      </c>
      <c r="I37" s="36">
        <f>IFERROR(AVERAGEIFS('Regular Season'!T:T,'Regular Season'!R:R,'Summary Page (2)'!B37,'Regular Season'!S:S,'Summary Page (2)'!$D$16),"")</f>
        <v>116.73333333333332</v>
      </c>
      <c r="J37" s="47">
        <f t="shared" si="8"/>
        <v>-2.4547826086956803</v>
      </c>
      <c r="K37" s="36">
        <f>IFERROR(AVERAGEIFS('Regular Season'!U:U,'Regular Season'!R:R,'Summary Page (2)'!$D$16,'Regular Season'!S:S,'Summary Page (2)'!B37),"")</f>
        <v>92.36399999999999</v>
      </c>
      <c r="L37" s="47">
        <f t="shared" si="9"/>
        <v>1.8175849056602971</v>
      </c>
      <c r="M37" s="36">
        <f t="shared" si="13"/>
        <v>103.90736842105262</v>
      </c>
      <c r="N37" s="48">
        <f t="shared" si="10"/>
        <v>2.0679398496239969</v>
      </c>
      <c r="O37" s="49">
        <f t="shared" si="14"/>
        <v>-1.8280910897933751</v>
      </c>
    </row>
    <row r="38" spans="2:16" x14ac:dyDescent="0.3">
      <c r="B38" s="7" t="s">
        <v>37</v>
      </c>
      <c r="C38" s="36">
        <f>IFERROR(AVERAGEIFS('Regular Season'!T:T,'Regular Season'!R:R,'Summary Page (2)'!$D$16,'Regular Season'!S:S,'Summary Page (2)'!B38),"")</f>
        <v>127.28222222222222</v>
      </c>
      <c r="D38" s="47">
        <f t="shared" si="11"/>
        <v>9.3452454780361904</v>
      </c>
      <c r="E38" s="36">
        <f>IFERROR(AVERAGEIFS('Regular Season'!U:U,'Regular Season'!S:S,'Summary Page (2)'!$D$16,'Regular Season'!R:R,'Summary Page (2)'!B38),"")</f>
        <v>88.694285714285698</v>
      </c>
      <c r="F38" s="47">
        <f t="shared" si="12"/>
        <v>-5.3988961038961349</v>
      </c>
      <c r="G38" s="36">
        <f t="shared" si="6"/>
        <v>103.79391304347826</v>
      </c>
      <c r="H38" s="48">
        <f t="shared" si="7"/>
        <v>-2.0841329335332262</v>
      </c>
      <c r="I38" s="36">
        <f>IFERROR(AVERAGEIFS('Regular Season'!T:T,'Regular Season'!R:R,'Summary Page (2)'!B38,'Regular Season'!S:S,'Summary Page (2)'!$D$16),"")</f>
        <v>114.68999999999998</v>
      </c>
      <c r="J38" s="47">
        <f t="shared" si="8"/>
        <v>-1.1502439024390299</v>
      </c>
      <c r="K38" s="36">
        <f>IFERROR(AVERAGEIFS('Regular Season'!U:U,'Regular Season'!R:R,'Summary Page (2)'!$D$16,'Regular Season'!S:S,'Summary Page (2)'!B38),"")</f>
        <v>99.566666666666677</v>
      </c>
      <c r="L38" s="47">
        <f t="shared" si="9"/>
        <v>6.715905797101442</v>
      </c>
      <c r="M38" s="36">
        <f t="shared" si="13"/>
        <v>108.77217391304349</v>
      </c>
      <c r="N38" s="48">
        <f t="shared" si="10"/>
        <v>5.0872888555722113</v>
      </c>
      <c r="O38" s="49">
        <f t="shared" si="14"/>
        <v>-7.1714217891054375</v>
      </c>
    </row>
    <row r="39" spans="2:16" x14ac:dyDescent="0.3">
      <c r="B39" s="7" t="s">
        <v>34</v>
      </c>
      <c r="C39" s="36">
        <f>IFERROR(AVERAGEIFS('Regular Season'!T:T,'Regular Season'!R:R,'Summary Page (2)'!$D$16,'Regular Season'!S:S,'Summary Page (2)'!B39),"")</f>
        <v>125.45249999999999</v>
      </c>
      <c r="D39" s="47">
        <f t="shared" si="11"/>
        <v>7.5155232558139602</v>
      </c>
      <c r="E39" s="36">
        <f>IFERROR(AVERAGEIFS('Regular Season'!U:U,'Regular Season'!S:S,'Summary Page (2)'!$D$16,'Regular Season'!R:R,'Summary Page (2)'!B39),"")</f>
        <v>95.342857142857127</v>
      </c>
      <c r="F39" s="47">
        <f t="shared" si="12"/>
        <v>1.2496753246752945</v>
      </c>
      <c r="G39" s="36">
        <f t="shared" si="6"/>
        <v>111.40133333333331</v>
      </c>
      <c r="H39" s="48">
        <f t="shared" si="7"/>
        <v>5.5232873563218305</v>
      </c>
      <c r="I39" s="36">
        <f>IFERROR(AVERAGEIFS('Regular Season'!T:T,'Regular Season'!R:R,'Summary Page (2)'!B39,'Regular Season'!S:S,'Summary Page (2)'!$D$16),"")</f>
        <v>116.0342857142857</v>
      </c>
      <c r="J39" s="47">
        <f t="shared" si="8"/>
        <v>-6.3083516483516604</v>
      </c>
      <c r="K39" s="36">
        <f>IFERROR(AVERAGEIFS('Regular Season'!U:U,'Regular Season'!R:R,'Summary Page (2)'!$D$16,'Regular Season'!S:S,'Summary Page (2)'!B39),"")</f>
        <v>106.4175</v>
      </c>
      <c r="L39" s="47">
        <f t="shared" si="9"/>
        <v>10.017500000000013</v>
      </c>
      <c r="M39" s="36">
        <f t="shared" si="13"/>
        <v>110.90533333333333</v>
      </c>
      <c r="N39" s="48">
        <f t="shared" si="10"/>
        <v>0.93763218390806458</v>
      </c>
      <c r="O39" s="49">
        <f t="shared" si="14"/>
        <v>4.585655172413766</v>
      </c>
    </row>
    <row r="40" spans="2:16" x14ac:dyDescent="0.3">
      <c r="B40" s="7" t="s">
        <v>29</v>
      </c>
      <c r="C40" s="36">
        <f>IFERROR(AVERAGEIFS('Regular Season'!T:T,'Regular Season'!R:R,'Summary Page (2)'!$D$16,'Regular Season'!S:S,'Summary Page (2)'!B40),"")</f>
        <v>114.09555555555555</v>
      </c>
      <c r="D40" s="47">
        <f t="shared" si="11"/>
        <v>-3.841421188630477</v>
      </c>
      <c r="E40" s="36">
        <f>IFERROR(AVERAGEIFS('Regular Season'!U:U,'Regular Season'!S:S,'Summary Page (2)'!$D$16,'Regular Season'!R:R,'Summary Page (2)'!B40),"")</f>
        <v>98.785454545454527</v>
      </c>
      <c r="F40" s="47">
        <f t="shared" si="12"/>
        <v>4.6922727272726945</v>
      </c>
      <c r="G40" s="36">
        <f t="shared" si="6"/>
        <v>105.675</v>
      </c>
      <c r="H40" s="48">
        <f t="shared" si="7"/>
        <v>-0.20304597701148452</v>
      </c>
      <c r="I40" s="36">
        <f>IFERROR(AVERAGEIFS('Regular Season'!T:T,'Regular Season'!R:R,'Summary Page (2)'!B40,'Regular Season'!S:S,'Summary Page (2)'!$D$16),"")</f>
        <v>128.71272727272728</v>
      </c>
      <c r="J40" s="47">
        <f t="shared" si="8"/>
        <v>3.5540606060606308</v>
      </c>
      <c r="K40" s="36">
        <f>IFERROR(AVERAGEIFS('Regular Season'!U:U,'Regular Season'!R:R,'Summary Page (2)'!$D$16,'Regular Season'!S:S,'Summary Page (2)'!B40),"")</f>
        <v>92.804444444444428</v>
      </c>
      <c r="L40" s="47">
        <f t="shared" si="9"/>
        <v>-6.1426984126984507</v>
      </c>
      <c r="M40" s="36">
        <f t="shared" si="13"/>
        <v>112.554</v>
      </c>
      <c r="N40" s="48">
        <f t="shared" si="10"/>
        <v>4.9172413793101555E-2</v>
      </c>
      <c r="O40" s="49">
        <f t="shared" si="14"/>
        <v>-0.25221839080458608</v>
      </c>
    </row>
    <row r="41" spans="2:16" x14ac:dyDescent="0.3">
      <c r="B41" s="7" t="s">
        <v>31</v>
      </c>
      <c r="C41" s="36">
        <f>IFERROR(AVERAGEIFS('Regular Season'!T:T,'Regular Season'!R:R,'Summary Page (2)'!$D$16,'Regular Season'!S:S,'Summary Page (2)'!B41),"")</f>
        <v>118.55866666666667</v>
      </c>
      <c r="D41" s="47">
        <f t="shared" si="11"/>
        <v>0.62168992248064114</v>
      </c>
      <c r="E41" s="36">
        <f>IFERROR(AVERAGEIFS('Regular Season'!U:U,'Regular Season'!S:S,'Summary Page (2)'!$D$16,'Regular Season'!R:R,'Summary Page (2)'!B41),"")</f>
        <v>94.171111111111117</v>
      </c>
      <c r="F41" s="47">
        <f t="shared" si="12"/>
        <v>7.7929292929283633E-2</v>
      </c>
      <c r="G41" s="36">
        <f t="shared" si="6"/>
        <v>109.41333333333334</v>
      </c>
      <c r="H41" s="48">
        <f t="shared" si="7"/>
        <v>3.5352873563218594</v>
      </c>
      <c r="I41" s="36">
        <f>IFERROR(AVERAGEIFS('Regular Season'!T:T,'Regular Season'!R:R,'Summary Page (2)'!B41,'Regular Season'!S:S,'Summary Page (2)'!$D$16),"")</f>
        <v>106.42444444444443</v>
      </c>
      <c r="J41" s="47">
        <f t="shared" si="8"/>
        <v>-14.017936507936497</v>
      </c>
      <c r="K41" s="36">
        <f>IFERROR(AVERAGEIFS('Regular Season'!U:U,'Regular Season'!R:R,'Summary Page (2)'!$D$16,'Regular Season'!S:S,'Summary Page (2)'!B41),"")</f>
        <v>86.406666666666666</v>
      </c>
      <c r="L41" s="47">
        <f t="shared" si="9"/>
        <v>-8.0990151515151894</v>
      </c>
      <c r="M41" s="36">
        <f t="shared" si="13"/>
        <v>93.913333333333341</v>
      </c>
      <c r="N41" s="48">
        <f t="shared" si="10"/>
        <v>-13.259108527131801</v>
      </c>
      <c r="O41" s="49">
        <f t="shared" si="14"/>
        <v>16.79439588345366</v>
      </c>
    </row>
    <row r="42" spans="2:16" x14ac:dyDescent="0.3">
      <c r="B42" s="7" t="s">
        <v>33</v>
      </c>
      <c r="C42" s="36">
        <f>IFERROR(AVERAGEIFS('Regular Season'!T:T,'Regular Season'!R:R,'Summary Page (2)'!$D$16,'Regular Season'!S:S,'Summary Page (2)'!B42),"")</f>
        <v>117.52888888888889</v>
      </c>
      <c r="D42" s="47">
        <f t="shared" si="11"/>
        <v>-0.40808785529713987</v>
      </c>
      <c r="E42" s="36">
        <f>IFERROR(AVERAGEIFS('Regular Season'!U:U,'Regular Season'!S:S,'Summary Page (2)'!$D$16,'Regular Season'!R:R,'Summary Page (2)'!B42),"")</f>
        <v>98.642499999999984</v>
      </c>
      <c r="F42" s="47">
        <f t="shared" si="12"/>
        <v>4.5493181818181512</v>
      </c>
      <c r="G42" s="36">
        <f t="shared" si="6"/>
        <v>105.44159999999999</v>
      </c>
      <c r="H42" s="48">
        <f t="shared" si="7"/>
        <v>-0.43644597701148768</v>
      </c>
      <c r="I42" s="36">
        <f>IFERROR(AVERAGEIFS('Regular Season'!T:T,'Regular Season'!R:R,'Summary Page (2)'!B42,'Regular Season'!S:S,'Summary Page (2)'!$D$16),"")</f>
        <v>119.33125</v>
      </c>
      <c r="J42" s="47">
        <f t="shared" si="8"/>
        <v>-1.4250245098039329</v>
      </c>
      <c r="K42" s="36">
        <f>IFERROR(AVERAGEIFS('Regular Season'!U:U,'Regular Season'!R:R,'Summary Page (2)'!$D$16,'Regular Season'!S:S,'Summary Page (2)'!B42),"")</f>
        <v>92.01111111111112</v>
      </c>
      <c r="L42" s="47">
        <f t="shared" si="9"/>
        <v>-4.6813213213212919</v>
      </c>
      <c r="M42" s="36">
        <f>IFERROR(((I42*D28)+(K42*C28))/SUM(C28:D28),"")</f>
        <v>109.49600000000001</v>
      </c>
      <c r="N42" s="48">
        <f t="shared" si="10"/>
        <v>-1.1425227272727199</v>
      </c>
      <c r="O42" s="49">
        <f t="shared" si="14"/>
        <v>0.70607675026123218</v>
      </c>
      <c r="P42" s="40"/>
    </row>
    <row r="43" spans="2:16" x14ac:dyDescent="0.3">
      <c r="B43" s="7" t="s">
        <v>36</v>
      </c>
      <c r="C43" s="36">
        <f>IFERROR(AVERAGEIFS('Regular Season'!T:T,'Regular Season'!R:R,'Summary Page (2)'!$D$16,'Regular Season'!S:S,'Summary Page (2)'!B43),"")</f>
        <v>123.56888888888891</v>
      </c>
      <c r="D43" s="47">
        <f t="shared" si="11"/>
        <v>5.6319121447028806</v>
      </c>
      <c r="E43" s="36">
        <f>IFERROR(AVERAGEIFS('Regular Season'!U:U,'Regular Season'!S:S,'Summary Page (2)'!$D$16,'Regular Season'!R:R,'Summary Page (2)'!B43),"")</f>
        <v>69.087999999999994</v>
      </c>
      <c r="F43" s="47">
        <f t="shared" si="12"/>
        <v>-25.005181818181839</v>
      </c>
      <c r="G43" s="36">
        <f t="shared" si="6"/>
        <v>104.11142857142856</v>
      </c>
      <c r="H43" s="48">
        <f t="shared" si="7"/>
        <v>-1.7666174055829202</v>
      </c>
      <c r="I43" s="36">
        <f>IFERROR(AVERAGEIFS('Regular Season'!T:T,'Regular Season'!R:R,'Summary Page (2)'!B43,'Regular Season'!S:S,'Summary Page (2)'!$D$16),"")</f>
        <v>106.88399999999999</v>
      </c>
      <c r="J43" s="47">
        <f t="shared" si="8"/>
        <v>-9.1938260869564914</v>
      </c>
      <c r="K43" s="36">
        <f>IFERROR(AVERAGEIFS('Regular Season'!U:U,'Regular Season'!R:R,'Summary Page (2)'!$D$16,'Regular Season'!S:S,'Summary Page (2)'!B43),"")</f>
        <v>83.426666666666677</v>
      </c>
      <c r="L43" s="47">
        <f t="shared" si="9"/>
        <v>-11.343577235772329</v>
      </c>
      <c r="M43" s="36">
        <f t="shared" si="13"/>
        <v>91.804285714285726</v>
      </c>
      <c r="N43" s="48">
        <f t="shared" si="10"/>
        <v>-14.232036124794718</v>
      </c>
      <c r="O43" s="49">
        <f t="shared" si="14"/>
        <v>12.465418719211797</v>
      </c>
    </row>
    <row r="44" spans="2:16" x14ac:dyDescent="0.3">
      <c r="B44" s="15" t="s">
        <v>51</v>
      </c>
      <c r="C44" s="39">
        <f>VLOOKUP(D16,B5:K14,9,FALSE)</f>
        <v>117.93697674418603</v>
      </c>
      <c r="D44" s="39"/>
      <c r="E44" s="39">
        <f>VLOOKUP(D16,B5:K14,10,FALSE)</f>
        <v>94.093181818181833</v>
      </c>
      <c r="F44" s="39"/>
      <c r="G44" s="39">
        <f>VLOOKUP(D16,B5:H14,7,FALSE)</f>
        <v>105.87804597701148</v>
      </c>
      <c r="H44" s="41"/>
      <c r="I44" s="39"/>
      <c r="J44" s="39"/>
      <c r="K44" s="39"/>
      <c r="L44" s="39"/>
      <c r="M44" s="39"/>
      <c r="N44" s="41"/>
      <c r="O44" s="50">
        <f>AVERAGE(O34:O43)</f>
        <v>3.1143115300973077</v>
      </c>
    </row>
    <row r="46" spans="2:16" x14ac:dyDescent="0.3">
      <c r="C46" s="18" t="s">
        <v>93</v>
      </c>
    </row>
    <row r="47" spans="2:16" x14ac:dyDescent="0.3">
      <c r="B47" s="51" t="s">
        <v>32</v>
      </c>
      <c r="C47" s="47">
        <v>2.8</v>
      </c>
    </row>
    <row r="48" spans="2:16" x14ac:dyDescent="0.3">
      <c r="B48" s="51" t="s">
        <v>35</v>
      </c>
      <c r="C48" s="47">
        <v>2</v>
      </c>
    </row>
    <row r="49" spans="2:3" x14ac:dyDescent="0.3">
      <c r="B49" s="51" t="s">
        <v>30</v>
      </c>
      <c r="C49" s="47">
        <v>0.1</v>
      </c>
    </row>
    <row r="50" spans="2:3" x14ac:dyDescent="0.3">
      <c r="B50" s="51" t="s">
        <v>38</v>
      </c>
      <c r="C50" s="47">
        <v>-1.1000000000000001</v>
      </c>
    </row>
    <row r="51" spans="2:3" x14ac:dyDescent="0.3">
      <c r="B51" s="51" t="s">
        <v>37</v>
      </c>
      <c r="C51" s="47">
        <v>0.6</v>
      </c>
    </row>
    <row r="52" spans="2:3" x14ac:dyDescent="0.3">
      <c r="B52" s="51" t="s">
        <v>34</v>
      </c>
      <c r="C52" s="47">
        <v>-1.3</v>
      </c>
    </row>
    <row r="53" spans="2:3" x14ac:dyDescent="0.3">
      <c r="B53" s="51" t="s">
        <v>29</v>
      </c>
      <c r="C53" s="47">
        <v>-4.3</v>
      </c>
    </row>
    <row r="54" spans="2:3" x14ac:dyDescent="0.3">
      <c r="B54" s="51" t="s">
        <v>31</v>
      </c>
      <c r="C54" s="47">
        <v>-2.1</v>
      </c>
    </row>
    <row r="55" spans="2:3" x14ac:dyDescent="0.3">
      <c r="B55" s="51" t="s">
        <v>33</v>
      </c>
      <c r="C55" s="47">
        <v>1.7</v>
      </c>
    </row>
    <row r="56" spans="2:3" x14ac:dyDescent="0.3">
      <c r="B56" s="51" t="s">
        <v>36</v>
      </c>
      <c r="C56" s="47">
        <v>1.5</v>
      </c>
    </row>
  </sheetData>
  <mergeCells count="2">
    <mergeCell ref="C32:H32"/>
    <mergeCell ref="I32:N32"/>
  </mergeCells>
  <conditionalFormatting sqref="E5:E14">
    <cfRule type="cellIs" dxfId="11" priority="10" operator="lessThan">
      <formula>0.5</formula>
    </cfRule>
    <cfRule type="cellIs" dxfId="10" priority="11" operator="greaterThan">
      <formula>0.5</formula>
    </cfRule>
    <cfRule type="cellIs" dxfId="9" priority="12" operator="equal">
      <formula>0.5</formula>
    </cfRule>
  </conditionalFormatting>
  <conditionalFormatting sqref="E20:E29">
    <cfRule type="cellIs" dxfId="8" priority="7" operator="lessThan">
      <formula>0.5</formula>
    </cfRule>
    <cfRule type="cellIs" dxfId="7" priority="8" operator="greaterThan">
      <formula>0.5</formula>
    </cfRule>
    <cfRule type="cellIs" dxfId="6" priority="9" operator="equal">
      <formula>0.5</formula>
    </cfRule>
  </conditionalFormatting>
  <conditionalFormatting sqref="H20:H29">
    <cfRule type="cellIs" dxfId="5" priority="4" operator="lessThan">
      <formula>0.5</formula>
    </cfRule>
    <cfRule type="cellIs" dxfId="4" priority="5" operator="greaterThan">
      <formula>0.5</formula>
    </cfRule>
    <cfRule type="cellIs" dxfId="3" priority="6" operator="equal">
      <formula>0.5</formula>
    </cfRule>
  </conditionalFormatting>
  <conditionalFormatting sqref="K20:K29">
    <cfRule type="cellIs" dxfId="2" priority="1" operator="lessThan">
      <formula>0.5</formula>
    </cfRule>
    <cfRule type="cellIs" dxfId="1" priority="2" operator="greaterThan">
      <formula>0.5</formula>
    </cfRule>
    <cfRule type="cellIs" dxfId="0" priority="3" operator="equal">
      <formula>0.5</formula>
    </cfRule>
  </conditionalFormatting>
  <dataValidations disablePrompts="1" count="1">
    <dataValidation type="list" allowBlank="1" showInputMessage="1" showErrorMessage="1" sqref="D16" xr:uid="{57E5E244-402C-4CA7-BB9E-5438505880D4}">
      <formula1>teams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044C-6511-4FCD-B947-0566BCE8AA40}">
  <dimension ref="A1:M38"/>
  <sheetViews>
    <sheetView workbookViewId="0">
      <selection activeCell="F2" sqref="F2"/>
    </sheetView>
    <sheetView workbookViewId="1">
      <selection activeCell="B5" sqref="B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7" width="13.109375" customWidth="1"/>
    <col min="12" max="12" width="12.44140625" bestFit="1" customWidth="1"/>
    <col min="13" max="13" width="12" bestFit="1" customWidth="1"/>
  </cols>
  <sheetData>
    <row r="1" spans="1:13" x14ac:dyDescent="0.3">
      <c r="A1" s="62" t="s">
        <v>21</v>
      </c>
      <c r="B1" s="63">
        <v>2025</v>
      </c>
      <c r="C1" s="3"/>
      <c r="D1" s="3"/>
      <c r="E1" s="3"/>
      <c r="F1" s="3"/>
      <c r="G1" s="3"/>
    </row>
    <row r="2" spans="1:13" x14ac:dyDescent="0.3">
      <c r="A2" s="62" t="s">
        <v>41</v>
      </c>
      <c r="B2" s="63" t="s">
        <v>29</v>
      </c>
      <c r="C2" s="3"/>
      <c r="D2" s="3"/>
      <c r="E2" s="62" t="s">
        <v>110</v>
      </c>
      <c r="F2" s="63" t="s">
        <v>32</v>
      </c>
      <c r="G2" s="3"/>
    </row>
    <row r="3" spans="1:13" x14ac:dyDescent="0.3">
      <c r="A3" s="62" t="s">
        <v>111</v>
      </c>
      <c r="B3" s="64" t="str">
        <f>COUNTIF(D8:D21,"W")&amp;"-"&amp;COUNTIF(D8:D21,"L")</f>
        <v>13-1</v>
      </c>
      <c r="C3" s="3"/>
      <c r="D3" s="3"/>
      <c r="E3" s="62" t="s">
        <v>111</v>
      </c>
      <c r="F3" s="64" t="str">
        <f>COUNTIF(G8:G21,"W")&amp;"-"&amp;COUNTIF(G8:G21,"L")</f>
        <v>12-2</v>
      </c>
      <c r="G3" s="3"/>
    </row>
    <row r="4" spans="1:13" x14ac:dyDescent="0.3">
      <c r="A4" s="62" t="s">
        <v>112</v>
      </c>
      <c r="B4" s="64" t="str">
        <f>COUNTIF(D25:D38,"W")&amp;"-"&amp;COUNTIF(D25:D38,"L")</f>
        <v>13-1</v>
      </c>
      <c r="C4" s="3"/>
      <c r="D4" s="3"/>
      <c r="E4" s="62" t="s">
        <v>112</v>
      </c>
      <c r="F4" s="64" t="str">
        <f>COUNTIF(G25:G38,"W")&amp;"-"&amp;COUNTIF(G25:G38,"L")</f>
        <v>8-6</v>
      </c>
      <c r="G4" s="3"/>
    </row>
    <row r="5" spans="1:13" ht="15" thickBot="1" x14ac:dyDescent="0.35">
      <c r="A5" s="3"/>
      <c r="B5" s="3"/>
      <c r="C5" s="3"/>
      <c r="D5" s="3"/>
      <c r="E5" s="3"/>
      <c r="F5" s="3"/>
      <c r="G5" s="3"/>
      <c r="L5" t="s">
        <v>113</v>
      </c>
      <c r="M5" t="s">
        <v>114</v>
      </c>
    </row>
    <row r="6" spans="1:13" ht="15" thickBot="1" x14ac:dyDescent="0.35">
      <c r="A6" s="3"/>
      <c r="B6" s="74" t="str">
        <f>B2</f>
        <v>Graham/Michael</v>
      </c>
      <c r="C6" s="75"/>
      <c r="D6" s="76"/>
      <c r="E6" s="75" t="str">
        <f>F2</f>
        <v>Brian/Travis</v>
      </c>
      <c r="F6" s="75"/>
      <c r="G6" s="76"/>
      <c r="L6">
        <v>1</v>
      </c>
      <c r="M6">
        <v>3</v>
      </c>
    </row>
    <row r="7" spans="1:13" x14ac:dyDescent="0.3">
      <c r="A7" s="23" t="s">
        <v>63</v>
      </c>
      <c r="B7" s="23" t="s">
        <v>115</v>
      </c>
      <c r="C7" s="23" t="s">
        <v>116</v>
      </c>
      <c r="D7" s="65" t="s">
        <v>117</v>
      </c>
      <c r="E7" s="23" t="s">
        <v>115</v>
      </c>
      <c r="F7" s="23" t="s">
        <v>116</v>
      </c>
      <c r="G7" s="23" t="s">
        <v>117</v>
      </c>
      <c r="L7">
        <v>2</v>
      </c>
      <c r="M7">
        <v>9</v>
      </c>
    </row>
    <row r="8" spans="1:13" x14ac:dyDescent="0.3">
      <c r="A8" s="66">
        <v>1</v>
      </c>
      <c r="B8" s="67">
        <f>IFERROR(VLOOKUP($B$1&amp;$B$2&amp;A8,'Regular Season'!B:U,19,FALSE),VLOOKUP($B$1&amp;$B$2&amp;A8,'Regular Season'!C:U,19,FALSE))</f>
        <v>125.86</v>
      </c>
      <c r="C8" s="67">
        <f>IFERROR(VLOOKUP($B$1&amp;$B$2&amp;A8,'Regular Season'!B:U,20,FALSE),VLOOKUP($B$1&amp;$B$2&amp;A8,'Regular Season'!C:U,18,FALSE))</f>
        <v>87.62</v>
      </c>
      <c r="D8" s="68" t="str">
        <f>IF(B8&gt;C8,"W","L")</f>
        <v>W</v>
      </c>
      <c r="E8" s="67">
        <f>IFERROR(VLOOKUP($B$1&amp;$F$2&amp;A8,'Regular Season'!B:U,19,FALSE),VLOOKUP($B$1&amp;$F$2&amp;A8,'Regular Season'!C:U,19,FALSE))</f>
        <v>123.88</v>
      </c>
      <c r="F8" s="67">
        <f>IFERROR(VLOOKUP($B$1&amp;$F$2&amp;A8,'Regular Season'!B:U,20,FALSE),VLOOKUP($B$1&amp;$F$2&amp;A8,'Regular Season'!C:U,18,FALSE))</f>
        <v>67.319999999999993</v>
      </c>
      <c r="G8" s="67" t="str">
        <f>IF(E8&gt;F8,"W","L")</f>
        <v>W</v>
      </c>
      <c r="L8">
        <v>3</v>
      </c>
      <c r="M8">
        <v>1</v>
      </c>
    </row>
    <row r="9" spans="1:13" x14ac:dyDescent="0.3">
      <c r="A9" s="69">
        <v>2</v>
      </c>
      <c r="B9" s="67">
        <f>IFERROR(VLOOKUP($B$1&amp;$B$2&amp;A9,'Regular Season'!B:U,19,FALSE),VLOOKUP($B$1&amp;$B$2&amp;A9,'Regular Season'!C:U,19,FALSE))</f>
        <v>130.91999999999999</v>
      </c>
      <c r="C9" s="67">
        <f>IFERROR(VLOOKUP($B$1&amp;$B$2&amp;A9,'Regular Season'!B:U,20,FALSE),VLOOKUP($B$1&amp;$B$2&amp;A9,'Regular Season'!C:U,18,FALSE))</f>
        <v>104.7</v>
      </c>
      <c r="D9" s="68" t="str">
        <f t="shared" ref="D9:D21" si="0">IF(B9&gt;C9,"W","L")</f>
        <v>W</v>
      </c>
      <c r="E9" s="67">
        <f>IFERROR(VLOOKUP($B$1&amp;$F$2&amp;A9,'Regular Season'!B:U,19,FALSE),VLOOKUP($B$1&amp;$F$2&amp;A9,'Regular Season'!C:U,19,FALSE))</f>
        <v>101.04</v>
      </c>
      <c r="F9" s="67">
        <f>IFERROR(VLOOKUP($B$1&amp;$F$2&amp;A9,'Regular Season'!B:U,20,FALSE),VLOOKUP($B$1&amp;$F$2&amp;A9,'Regular Season'!C:U,18,FALSE))</f>
        <v>89.78</v>
      </c>
      <c r="G9" s="67" t="str">
        <f t="shared" ref="G9:G21" si="1">IF(E9&gt;F9,"W","L")</f>
        <v>W</v>
      </c>
      <c r="L9">
        <v>4</v>
      </c>
      <c r="M9">
        <v>2</v>
      </c>
    </row>
    <row r="10" spans="1:13" x14ac:dyDescent="0.3">
      <c r="A10" s="69">
        <v>3</v>
      </c>
      <c r="B10" s="67">
        <f>IFERROR(VLOOKUP($B$1&amp;$B$2&amp;A10,'Regular Season'!B:U,19,FALSE),VLOOKUP($B$1&amp;$B$2&amp;A10,'Regular Season'!C:U,19,FALSE))</f>
        <v>124.62</v>
      </c>
      <c r="C10" s="67">
        <f>IFERROR(VLOOKUP($B$1&amp;$B$2&amp;A10,'Regular Season'!B:U,20,FALSE),VLOOKUP($B$1&amp;$B$2&amp;A10,'Regular Season'!C:U,18,FALSE))</f>
        <v>68.52</v>
      </c>
      <c r="D10" s="68" t="str">
        <f t="shared" si="0"/>
        <v>W</v>
      </c>
      <c r="E10" s="67">
        <f>IFERROR(VLOOKUP($B$1&amp;$F$2&amp;A10,'Regular Season'!B:U,19,FALSE),VLOOKUP($B$1&amp;$F$2&amp;A10,'Regular Season'!C:U,19,FALSE))</f>
        <v>117.64</v>
      </c>
      <c r="F10" s="67">
        <f>IFERROR(VLOOKUP($B$1&amp;$F$2&amp;A10,'Regular Season'!B:U,20,FALSE),VLOOKUP($B$1&amp;$F$2&amp;A10,'Regular Season'!C:U,18,FALSE))</f>
        <v>105.62</v>
      </c>
      <c r="G10" s="67" t="str">
        <f t="shared" si="1"/>
        <v>W</v>
      </c>
      <c r="L10">
        <v>5</v>
      </c>
      <c r="M10">
        <v>12</v>
      </c>
    </row>
    <row r="11" spans="1:13" x14ac:dyDescent="0.3">
      <c r="A11" s="69">
        <v>4</v>
      </c>
      <c r="B11" s="67">
        <f>IFERROR(VLOOKUP($B$1&amp;$B$2&amp;A11,'Regular Season'!B:U,19,FALSE),VLOOKUP($B$1&amp;$B$2&amp;A11,'Regular Season'!C:U,19,FALSE))</f>
        <v>138.16</v>
      </c>
      <c r="C11" s="67">
        <f>IFERROR(VLOOKUP($B$1&amp;$B$2&amp;A11,'Regular Season'!B:U,20,FALSE),VLOOKUP($B$1&amp;$B$2&amp;A11,'Regular Season'!C:U,18,FALSE))</f>
        <v>160.44</v>
      </c>
      <c r="D11" s="68" t="str">
        <f t="shared" si="0"/>
        <v>L</v>
      </c>
      <c r="E11" s="67">
        <f>IFERROR(VLOOKUP($B$1&amp;$F$2&amp;A11,'Regular Season'!B:U,19,FALSE),VLOOKUP($B$1&amp;$F$2&amp;A11,'Regular Season'!C:U,19,FALSE))</f>
        <v>126.9</v>
      </c>
      <c r="F11" s="67">
        <f>IFERROR(VLOOKUP($B$1&amp;$F$2&amp;A11,'Regular Season'!B:U,20,FALSE),VLOOKUP($B$1&amp;$F$2&amp;A11,'Regular Season'!C:U,18,FALSE))</f>
        <v>100.68</v>
      </c>
      <c r="G11" s="67" t="str">
        <f t="shared" si="1"/>
        <v>W</v>
      </c>
      <c r="L11">
        <v>6</v>
      </c>
      <c r="M11">
        <v>8</v>
      </c>
    </row>
    <row r="12" spans="1:13" x14ac:dyDescent="0.3">
      <c r="A12" s="69">
        <v>5</v>
      </c>
      <c r="B12" s="67">
        <f>IFERROR(VLOOKUP($B$1&amp;$B$2&amp;A12,'Regular Season'!B:U,19,FALSE),VLOOKUP($B$1&amp;$B$2&amp;A12,'Regular Season'!C:U,19,FALSE))</f>
        <v>165.42</v>
      </c>
      <c r="C12" s="67">
        <f>IFERROR(VLOOKUP($B$1&amp;$B$2&amp;A12,'Regular Season'!B:U,20,FALSE),VLOOKUP($B$1&amp;$B$2&amp;A12,'Regular Season'!C:U,18,FALSE))</f>
        <v>108.02</v>
      </c>
      <c r="D12" s="68" t="str">
        <f t="shared" si="0"/>
        <v>W</v>
      </c>
      <c r="E12" s="67">
        <f>IFERROR(VLOOKUP($B$1&amp;$F$2&amp;A12,'Regular Season'!B:U,19,FALSE),VLOOKUP($B$1&amp;$F$2&amp;A12,'Regular Season'!C:U,19,FALSE))</f>
        <v>101.5</v>
      </c>
      <c r="F12" s="67">
        <f>IFERROR(VLOOKUP($B$1&amp;$F$2&amp;A12,'Regular Season'!B:U,20,FALSE),VLOOKUP($B$1&amp;$F$2&amp;A12,'Regular Season'!C:U,18,FALSE))</f>
        <v>91.48</v>
      </c>
      <c r="G12" s="67" t="str">
        <f t="shared" si="1"/>
        <v>W</v>
      </c>
      <c r="L12">
        <v>7</v>
      </c>
      <c r="M12">
        <v>6</v>
      </c>
    </row>
    <row r="13" spans="1:13" x14ac:dyDescent="0.3">
      <c r="A13" s="69">
        <v>6</v>
      </c>
      <c r="B13" s="67">
        <f>IFERROR(VLOOKUP($B$1&amp;$B$2&amp;A13,'Regular Season'!B:U,19,FALSE),VLOOKUP($B$1&amp;$B$2&amp;A13,'Regular Season'!C:U,19,FALSE))</f>
        <v>148.6</v>
      </c>
      <c r="C13" s="67">
        <f>IFERROR(VLOOKUP($B$1&amp;$B$2&amp;A13,'Regular Season'!B:U,20,FALSE),VLOOKUP($B$1&amp;$B$2&amp;A13,'Regular Season'!C:U,18,FALSE))</f>
        <v>62.12</v>
      </c>
      <c r="D13" s="68" t="str">
        <f t="shared" si="0"/>
        <v>W</v>
      </c>
      <c r="E13" s="67">
        <f>IFERROR(VLOOKUP($B$1&amp;$F$2&amp;A13,'Regular Season'!B:U,19,FALSE),VLOOKUP($B$1&amp;$F$2&amp;A13,'Regular Season'!C:U,19,FALSE))</f>
        <v>121.92</v>
      </c>
      <c r="F13" s="67">
        <f>IFERROR(VLOOKUP($B$1&amp;$F$2&amp;A13,'Regular Season'!B:U,20,FALSE),VLOOKUP($B$1&amp;$F$2&amp;A13,'Regular Season'!C:U,18,FALSE))</f>
        <v>121.54</v>
      </c>
      <c r="G13" s="67" t="str">
        <f t="shared" si="1"/>
        <v>W</v>
      </c>
      <c r="L13">
        <v>8</v>
      </c>
      <c r="M13">
        <v>4</v>
      </c>
    </row>
    <row r="14" spans="1:13" x14ac:dyDescent="0.3">
      <c r="A14" s="69">
        <v>7</v>
      </c>
      <c r="B14" s="67">
        <f>IFERROR(VLOOKUP($B$1&amp;$B$2&amp;A14,'Regular Season'!B:U,19,FALSE),VLOOKUP($B$1&amp;$B$2&amp;A14,'Regular Season'!C:U,19,FALSE))</f>
        <v>156.94</v>
      </c>
      <c r="C14" s="67">
        <f>IFERROR(VLOOKUP($B$1&amp;$B$2&amp;A14,'Regular Season'!B:U,20,FALSE),VLOOKUP($B$1&amp;$B$2&amp;A14,'Regular Season'!C:U,18,FALSE))</f>
        <v>116.98</v>
      </c>
      <c r="D14" s="68" t="str">
        <f t="shared" si="0"/>
        <v>W</v>
      </c>
      <c r="E14" s="67">
        <f>IFERROR(VLOOKUP($B$1&amp;$F$2&amp;A14,'Regular Season'!B:U,19,FALSE),VLOOKUP($B$1&amp;$F$2&amp;A14,'Regular Season'!C:U,19,FALSE))</f>
        <v>120.54</v>
      </c>
      <c r="F14" s="67">
        <f>IFERROR(VLOOKUP($B$1&amp;$F$2&amp;A14,'Regular Season'!B:U,20,FALSE),VLOOKUP($B$1&amp;$F$2&amp;A14,'Regular Season'!C:U,18,FALSE))</f>
        <v>98.2</v>
      </c>
      <c r="G14" s="67" t="str">
        <f t="shared" si="1"/>
        <v>W</v>
      </c>
      <c r="L14">
        <v>9</v>
      </c>
      <c r="M14">
        <v>11</v>
      </c>
    </row>
    <row r="15" spans="1:13" x14ac:dyDescent="0.3">
      <c r="A15" s="69">
        <v>8</v>
      </c>
      <c r="B15" s="67">
        <f>IFERROR(VLOOKUP($B$1&amp;$B$2&amp;A15,'Regular Season'!B:U,19,FALSE),VLOOKUP($B$1&amp;$B$2&amp;A15,'Regular Season'!C:U,19,FALSE))</f>
        <v>147.22</v>
      </c>
      <c r="C15" s="67">
        <f>IFERROR(VLOOKUP($B$1&amp;$B$2&amp;A15,'Regular Season'!B:U,20,FALSE),VLOOKUP($B$1&amp;$B$2&amp;A15,'Regular Season'!C:U,18,FALSE))</f>
        <v>130.86000000000001</v>
      </c>
      <c r="D15" s="68" t="str">
        <f t="shared" si="0"/>
        <v>W</v>
      </c>
      <c r="E15" s="67">
        <f>IFERROR(VLOOKUP($B$1&amp;$F$2&amp;A15,'Regular Season'!B:U,19,FALSE),VLOOKUP($B$1&amp;$F$2&amp;A15,'Regular Season'!C:U,19,FALSE))</f>
        <v>130.86000000000001</v>
      </c>
      <c r="F15" s="67">
        <f>IFERROR(VLOOKUP($B$1&amp;$F$2&amp;A15,'Regular Season'!B:U,20,FALSE),VLOOKUP($B$1&amp;$F$2&amp;A15,'Regular Season'!C:U,18,FALSE))</f>
        <v>147.22</v>
      </c>
      <c r="G15" s="67" t="str">
        <f t="shared" si="1"/>
        <v>L</v>
      </c>
      <c r="L15">
        <v>10</v>
      </c>
      <c r="M15">
        <v>11</v>
      </c>
    </row>
    <row r="16" spans="1:13" x14ac:dyDescent="0.3">
      <c r="A16" s="69">
        <v>9</v>
      </c>
      <c r="B16" s="67">
        <f>IFERROR(VLOOKUP($B$1&amp;$B$2&amp;A16,'Regular Season'!B:U,19,FALSE),VLOOKUP($B$1&amp;$B$2&amp;A16,'Regular Season'!C:U,19,FALSE))</f>
        <v>123.62</v>
      </c>
      <c r="C16" s="67">
        <f>IFERROR(VLOOKUP($B$1&amp;$B$2&amp;A16,'Regular Season'!B:U,20,FALSE),VLOOKUP($B$1&amp;$B$2&amp;A16,'Regular Season'!C:U,18,FALSE))</f>
        <v>116.3</v>
      </c>
      <c r="D16" s="68" t="str">
        <f t="shared" si="0"/>
        <v>W</v>
      </c>
      <c r="E16" s="67">
        <f>IFERROR(VLOOKUP($B$1&amp;$F$2&amp;A16,'Regular Season'!B:U,19,FALSE),VLOOKUP($B$1&amp;$F$2&amp;A16,'Regular Season'!C:U,19,FALSE))</f>
        <v>134.19999999999999</v>
      </c>
      <c r="F16" s="67">
        <f>IFERROR(VLOOKUP($B$1&amp;$F$2&amp;A16,'Regular Season'!B:U,20,FALSE),VLOOKUP($B$1&amp;$F$2&amp;A16,'Regular Season'!C:U,18,FALSE))</f>
        <v>90.84</v>
      </c>
      <c r="G16" s="67" t="str">
        <f t="shared" si="1"/>
        <v>W</v>
      </c>
      <c r="L16">
        <v>11</v>
      </c>
      <c r="M16">
        <v>8</v>
      </c>
    </row>
    <row r="17" spans="1:13" x14ac:dyDescent="0.3">
      <c r="A17" s="69">
        <v>10</v>
      </c>
      <c r="B17" s="67">
        <f>IFERROR(VLOOKUP($B$1&amp;$B$2&amp;A17,'Regular Season'!B:U,19,FALSE),VLOOKUP($B$1&amp;$B$2&amp;A17,'Regular Season'!C:U,19,FALSE))</f>
        <v>149.24</v>
      </c>
      <c r="C17" s="67">
        <f>IFERROR(VLOOKUP($B$1&amp;$B$2&amp;A17,'Regular Season'!B:U,20,FALSE),VLOOKUP($B$1&amp;$B$2&amp;A17,'Regular Season'!C:U,18,FALSE))</f>
        <v>86.4</v>
      </c>
      <c r="D17" s="68" t="str">
        <f t="shared" si="0"/>
        <v>W</v>
      </c>
      <c r="E17" s="67">
        <f>IFERROR(VLOOKUP($B$1&amp;$F$2&amp;A17,'Regular Season'!B:U,19,FALSE),VLOOKUP($B$1&amp;$F$2&amp;A17,'Regular Season'!C:U,19,FALSE))</f>
        <v>115.22</v>
      </c>
      <c r="F17" s="67">
        <f>IFERROR(VLOOKUP($B$1&amp;$F$2&amp;A17,'Regular Season'!B:U,20,FALSE),VLOOKUP($B$1&amp;$F$2&amp;A17,'Regular Season'!C:U,18,FALSE))</f>
        <v>74.86</v>
      </c>
      <c r="G17" s="67" t="str">
        <f t="shared" si="1"/>
        <v>W</v>
      </c>
      <c r="L17">
        <v>12</v>
      </c>
      <c r="M17">
        <v>10</v>
      </c>
    </row>
    <row r="18" spans="1:13" x14ac:dyDescent="0.3">
      <c r="A18" s="69">
        <v>11</v>
      </c>
      <c r="B18" s="67">
        <f>IFERROR(VLOOKUP($B$1&amp;$B$2&amp;A18,'Regular Season'!B:U,19,FALSE),VLOOKUP($B$1&amp;$B$2&amp;A18,'Regular Season'!C:U,19,FALSE))</f>
        <v>153.47999999999999</v>
      </c>
      <c r="C18" s="67">
        <f>IFERROR(VLOOKUP($B$1&amp;$B$2&amp;A18,'Regular Season'!B:U,20,FALSE),VLOOKUP($B$1&amp;$B$2&amp;A18,'Regular Season'!C:U,18,FALSE))</f>
        <v>112.9</v>
      </c>
      <c r="D18" s="68" t="str">
        <f t="shared" si="0"/>
        <v>W</v>
      </c>
      <c r="E18" s="67">
        <f>IFERROR(VLOOKUP($B$1&amp;$F$2&amp;A18,'Regular Season'!B:U,19,FALSE),VLOOKUP($B$1&amp;$F$2&amp;A18,'Regular Season'!C:U,19,FALSE))</f>
        <v>97.02</v>
      </c>
      <c r="F18" s="67">
        <f>IFERROR(VLOOKUP($B$1&amp;$F$2&amp;A18,'Regular Season'!B:U,20,FALSE),VLOOKUP($B$1&amp;$F$2&amp;A18,'Regular Season'!C:U,18,FALSE))</f>
        <v>69.459999999999994</v>
      </c>
      <c r="G18" s="67" t="str">
        <f t="shared" si="1"/>
        <v>W</v>
      </c>
      <c r="L18">
        <v>13</v>
      </c>
      <c r="M18">
        <v>9</v>
      </c>
    </row>
    <row r="19" spans="1:13" x14ac:dyDescent="0.3">
      <c r="A19" s="69">
        <v>12</v>
      </c>
      <c r="B19" s="67">
        <f>IFERROR(VLOOKUP($B$1&amp;$B$2&amp;A19,'Regular Season'!B:U,19,FALSE),VLOOKUP($B$1&amp;$B$2&amp;A19,'Regular Season'!C:U,19,FALSE))</f>
        <v>110.42</v>
      </c>
      <c r="C19" s="67">
        <f>IFERROR(VLOOKUP($B$1&amp;$B$2&amp;A19,'Regular Season'!B:U,20,FALSE),VLOOKUP($B$1&amp;$B$2&amp;A19,'Regular Season'!C:U,18,FALSE))</f>
        <v>100.96</v>
      </c>
      <c r="D19" s="68" t="str">
        <f t="shared" si="0"/>
        <v>W</v>
      </c>
      <c r="E19" s="67">
        <f>IFERROR(VLOOKUP($B$1&amp;$F$2&amp;A19,'Regular Season'!B:U,19,FALSE),VLOOKUP($B$1&amp;$F$2&amp;A19,'Regular Season'!C:U,19,FALSE))</f>
        <v>124.96</v>
      </c>
      <c r="F19" s="67">
        <f>IFERROR(VLOOKUP($B$1&amp;$F$2&amp;A19,'Regular Season'!B:U,20,FALSE),VLOOKUP($B$1&amp;$F$2&amp;A19,'Regular Season'!C:U,18,FALSE))</f>
        <v>123.72</v>
      </c>
      <c r="G19" s="67" t="str">
        <f t="shared" si="1"/>
        <v>W</v>
      </c>
      <c r="L19">
        <v>14</v>
      </c>
      <c r="M19">
        <v>7</v>
      </c>
    </row>
    <row r="20" spans="1:13" x14ac:dyDescent="0.3">
      <c r="A20" s="69">
        <v>13</v>
      </c>
      <c r="B20" s="67">
        <f>IFERROR(VLOOKUP($B$1&amp;$B$2&amp;A20,'Regular Season'!B:U,19,FALSE),VLOOKUP($B$1&amp;$B$2&amp;A20,'Regular Season'!C:U,19,FALSE))</f>
        <v>134.22</v>
      </c>
      <c r="C20" s="67">
        <f>IFERROR(VLOOKUP($B$1&amp;$B$2&amp;A20,'Regular Season'!B:U,20,FALSE),VLOOKUP($B$1&amp;$B$2&amp;A20,'Regular Season'!C:U,18,FALSE))</f>
        <v>101.14</v>
      </c>
      <c r="D20" s="68" t="str">
        <f t="shared" si="0"/>
        <v>W</v>
      </c>
      <c r="E20" s="67">
        <f>IFERROR(VLOOKUP($B$1&amp;$F$2&amp;A20,'Regular Season'!B:U,19,FALSE),VLOOKUP($B$1&amp;$F$2&amp;A20,'Regular Season'!C:U,19,FALSE))</f>
        <v>71.099999999999994</v>
      </c>
      <c r="F20" s="67">
        <f>IFERROR(VLOOKUP($B$1&amp;$F$2&amp;A20,'Regular Season'!B:U,20,FALSE),VLOOKUP($B$1&amp;$F$2&amp;A20,'Regular Season'!C:U,18,FALSE))</f>
        <v>91.24</v>
      </c>
      <c r="G20" s="67" t="str">
        <f t="shared" si="1"/>
        <v>L</v>
      </c>
      <c r="M20">
        <f>AVERAGE(M6:M19)</f>
        <v>7.2142857142857144</v>
      </c>
    </row>
    <row r="21" spans="1:13" x14ac:dyDescent="0.3">
      <c r="A21" s="70">
        <v>14</v>
      </c>
      <c r="B21" s="67">
        <f>IFERROR(VLOOKUP($B$1&amp;$B$2&amp;A21,'Regular Season'!B:U,19,FALSE),VLOOKUP($B$1&amp;$B$2&amp;A21,'Regular Season'!C:U,19,FALSE))</f>
        <v>129.13999999999999</v>
      </c>
      <c r="C21" s="67">
        <f>IFERROR(VLOOKUP($B$1&amp;$B$2&amp;A21,'Regular Season'!B:U,20,FALSE),VLOOKUP($B$1&amp;$B$2&amp;A21,'Regular Season'!C:U,18,FALSE))</f>
        <v>74.28</v>
      </c>
      <c r="D21" s="68" t="str">
        <f t="shared" si="0"/>
        <v>W</v>
      </c>
      <c r="E21" s="67">
        <f>IFERROR(VLOOKUP($B$1&amp;$F$2&amp;A21,'Regular Season'!B:U,19,FALSE),VLOOKUP($B$1&amp;$F$2&amp;A21,'Regular Season'!C:U,19,FALSE))</f>
        <v>118</v>
      </c>
      <c r="F21" s="67">
        <f>IFERROR(VLOOKUP($B$1&amp;$F$2&amp;A21,'Regular Season'!B:U,20,FALSE),VLOOKUP($B$1&amp;$F$2&amp;A21,'Regular Season'!C:U,18,FALSE))</f>
        <v>94.4</v>
      </c>
      <c r="G21" s="67" t="str">
        <f t="shared" si="1"/>
        <v>W</v>
      </c>
    </row>
    <row r="22" spans="1:13" x14ac:dyDescent="0.3">
      <c r="A22" s="30"/>
      <c r="B22" s="45"/>
      <c r="C22" s="45"/>
      <c r="D22" s="71"/>
      <c r="E22" s="45"/>
      <c r="F22" s="45"/>
      <c r="G22" s="45"/>
    </row>
    <row r="23" spans="1:13" x14ac:dyDescent="0.3">
      <c r="A23" s="72" t="s">
        <v>118</v>
      </c>
      <c r="B23" s="45"/>
      <c r="C23" s="45"/>
      <c r="D23" s="71"/>
      <c r="E23" s="45"/>
      <c r="F23" s="45"/>
      <c r="G23" s="45"/>
    </row>
    <row r="24" spans="1:13" x14ac:dyDescent="0.3">
      <c r="A24" s="23" t="str">
        <f t="shared" ref="A24:B38" si="2">A7</f>
        <v>Week</v>
      </c>
      <c r="B24" s="23" t="str">
        <f t="shared" si="2"/>
        <v>Score</v>
      </c>
      <c r="C24" s="23" t="str">
        <f>F7</f>
        <v>Opp Score</v>
      </c>
      <c r="D24" s="73" t="str">
        <f>D7</f>
        <v>Result</v>
      </c>
      <c r="E24" s="23" t="str">
        <f>E7</f>
        <v>Score</v>
      </c>
      <c r="F24" s="23" t="str">
        <f>C7</f>
        <v>Opp Score</v>
      </c>
      <c r="G24" s="23" t="str">
        <f>G7</f>
        <v>Result</v>
      </c>
    </row>
    <row r="25" spans="1:13" x14ac:dyDescent="0.3">
      <c r="A25" s="66">
        <f t="shared" si="2"/>
        <v>1</v>
      </c>
      <c r="B25" s="67">
        <f>B8</f>
        <v>125.86</v>
      </c>
      <c r="C25" s="67">
        <f>F8</f>
        <v>67.319999999999993</v>
      </c>
      <c r="D25" s="68" t="str">
        <f>IF(B25=C25,D8,IF(B25&gt;C25,"W","L"))</f>
        <v>W</v>
      </c>
      <c r="E25" s="67">
        <f>E8</f>
        <v>123.88</v>
      </c>
      <c r="F25" s="67">
        <f>C8</f>
        <v>87.62</v>
      </c>
      <c r="G25" s="67" t="str">
        <f>IF(B25=C25,G8,IF(E25&gt;F25,"W","L"))</f>
        <v>W</v>
      </c>
    </row>
    <row r="26" spans="1:13" x14ac:dyDescent="0.3">
      <c r="A26" s="69">
        <f t="shared" si="2"/>
        <v>2</v>
      </c>
      <c r="B26" s="67">
        <f t="shared" si="2"/>
        <v>130.91999999999999</v>
      </c>
      <c r="C26" s="67">
        <f t="shared" ref="C26:C38" si="3">F9</f>
        <v>89.78</v>
      </c>
      <c r="D26" s="68" t="str">
        <f t="shared" ref="D26:D35" si="4">IF(B26=C26,D9,IF(B26&gt;C26,"W","L"))</f>
        <v>W</v>
      </c>
      <c r="E26" s="67">
        <f t="shared" ref="E26:E38" si="5">E9</f>
        <v>101.04</v>
      </c>
      <c r="F26" s="67">
        <f t="shared" ref="F26:F38" si="6">C9</f>
        <v>104.7</v>
      </c>
      <c r="G26" s="67" t="str">
        <f t="shared" ref="G26:G38" si="7">IF(B26=C26,G9,IF(E26&gt;F26,"W","L"))</f>
        <v>L</v>
      </c>
    </row>
    <row r="27" spans="1:13" x14ac:dyDescent="0.3">
      <c r="A27" s="69">
        <f t="shared" si="2"/>
        <v>3</v>
      </c>
      <c r="B27" s="67">
        <f t="shared" si="2"/>
        <v>124.62</v>
      </c>
      <c r="C27" s="67">
        <f t="shared" si="3"/>
        <v>105.62</v>
      </c>
      <c r="D27" s="68" t="str">
        <f t="shared" si="4"/>
        <v>W</v>
      </c>
      <c r="E27" s="67">
        <f t="shared" si="5"/>
        <v>117.64</v>
      </c>
      <c r="F27" s="67">
        <f t="shared" si="6"/>
        <v>68.52</v>
      </c>
      <c r="G27" s="67" t="str">
        <f t="shared" si="7"/>
        <v>W</v>
      </c>
    </row>
    <row r="28" spans="1:13" x14ac:dyDescent="0.3">
      <c r="A28" s="69">
        <f t="shared" si="2"/>
        <v>4</v>
      </c>
      <c r="B28" s="67">
        <f t="shared" si="2"/>
        <v>138.16</v>
      </c>
      <c r="C28" s="67">
        <f t="shared" si="3"/>
        <v>100.68</v>
      </c>
      <c r="D28" s="68" t="str">
        <f t="shared" si="4"/>
        <v>W</v>
      </c>
      <c r="E28" s="67">
        <f t="shared" si="5"/>
        <v>126.9</v>
      </c>
      <c r="F28" s="67">
        <f t="shared" si="6"/>
        <v>160.44</v>
      </c>
      <c r="G28" s="67" t="str">
        <f t="shared" si="7"/>
        <v>L</v>
      </c>
    </row>
    <row r="29" spans="1:13" x14ac:dyDescent="0.3">
      <c r="A29" s="69">
        <f t="shared" si="2"/>
        <v>5</v>
      </c>
      <c r="B29" s="67">
        <f t="shared" si="2"/>
        <v>165.42</v>
      </c>
      <c r="C29" s="67">
        <f t="shared" si="3"/>
        <v>91.48</v>
      </c>
      <c r="D29" s="68" t="str">
        <f t="shared" si="4"/>
        <v>W</v>
      </c>
      <c r="E29" s="67">
        <f t="shared" si="5"/>
        <v>101.5</v>
      </c>
      <c r="F29" s="67">
        <f t="shared" si="6"/>
        <v>108.02</v>
      </c>
      <c r="G29" s="67" t="str">
        <f t="shared" si="7"/>
        <v>L</v>
      </c>
    </row>
    <row r="30" spans="1:13" x14ac:dyDescent="0.3">
      <c r="A30" s="69">
        <f t="shared" si="2"/>
        <v>6</v>
      </c>
      <c r="B30" s="67">
        <f t="shared" si="2"/>
        <v>148.6</v>
      </c>
      <c r="C30" s="67">
        <f t="shared" si="3"/>
        <v>121.54</v>
      </c>
      <c r="D30" s="68" t="str">
        <f t="shared" si="4"/>
        <v>W</v>
      </c>
      <c r="E30" s="67">
        <f t="shared" si="5"/>
        <v>121.92</v>
      </c>
      <c r="F30" s="67">
        <f t="shared" si="6"/>
        <v>62.12</v>
      </c>
      <c r="G30" s="67" t="str">
        <f t="shared" si="7"/>
        <v>W</v>
      </c>
    </row>
    <row r="31" spans="1:13" x14ac:dyDescent="0.3">
      <c r="A31" s="69">
        <f t="shared" si="2"/>
        <v>7</v>
      </c>
      <c r="B31" s="67">
        <f t="shared" si="2"/>
        <v>156.94</v>
      </c>
      <c r="C31" s="67">
        <f t="shared" si="3"/>
        <v>98.2</v>
      </c>
      <c r="D31" s="68" t="str">
        <f t="shared" si="4"/>
        <v>W</v>
      </c>
      <c r="E31" s="67">
        <f t="shared" si="5"/>
        <v>120.54</v>
      </c>
      <c r="F31" s="67">
        <f t="shared" si="6"/>
        <v>116.98</v>
      </c>
      <c r="G31" s="67" t="str">
        <f t="shared" si="7"/>
        <v>W</v>
      </c>
    </row>
    <row r="32" spans="1:13" x14ac:dyDescent="0.3">
      <c r="A32" s="69">
        <f t="shared" si="2"/>
        <v>8</v>
      </c>
      <c r="B32" s="67">
        <f t="shared" si="2"/>
        <v>147.22</v>
      </c>
      <c r="C32" s="67">
        <f t="shared" si="3"/>
        <v>147.22</v>
      </c>
      <c r="D32" s="68" t="str">
        <f t="shared" si="4"/>
        <v>W</v>
      </c>
      <c r="E32" s="67">
        <f t="shared" si="5"/>
        <v>130.86000000000001</v>
      </c>
      <c r="F32" s="67">
        <f t="shared" si="6"/>
        <v>130.86000000000001</v>
      </c>
      <c r="G32" s="67" t="str">
        <f t="shared" si="7"/>
        <v>L</v>
      </c>
    </row>
    <row r="33" spans="1:7" x14ac:dyDescent="0.3">
      <c r="A33" s="69">
        <f t="shared" si="2"/>
        <v>9</v>
      </c>
      <c r="B33" s="67">
        <f t="shared" si="2"/>
        <v>123.62</v>
      </c>
      <c r="C33" s="67">
        <f t="shared" si="3"/>
        <v>90.84</v>
      </c>
      <c r="D33" s="68" t="str">
        <f t="shared" si="4"/>
        <v>W</v>
      </c>
      <c r="E33" s="67">
        <f t="shared" si="5"/>
        <v>134.19999999999999</v>
      </c>
      <c r="F33" s="67">
        <f t="shared" si="6"/>
        <v>116.3</v>
      </c>
      <c r="G33" s="67" t="str">
        <f t="shared" si="7"/>
        <v>W</v>
      </c>
    </row>
    <row r="34" spans="1:7" x14ac:dyDescent="0.3">
      <c r="A34" s="69">
        <f t="shared" si="2"/>
        <v>10</v>
      </c>
      <c r="B34" s="67">
        <f t="shared" si="2"/>
        <v>149.24</v>
      </c>
      <c r="C34" s="67">
        <f t="shared" si="3"/>
        <v>74.86</v>
      </c>
      <c r="D34" s="68" t="str">
        <f t="shared" si="4"/>
        <v>W</v>
      </c>
      <c r="E34" s="67">
        <f t="shared" si="5"/>
        <v>115.22</v>
      </c>
      <c r="F34" s="67">
        <f t="shared" si="6"/>
        <v>86.4</v>
      </c>
      <c r="G34" s="67" t="str">
        <f t="shared" si="7"/>
        <v>W</v>
      </c>
    </row>
    <row r="35" spans="1:7" x14ac:dyDescent="0.3">
      <c r="A35" s="69">
        <f t="shared" si="2"/>
        <v>11</v>
      </c>
      <c r="B35" s="67">
        <f t="shared" si="2"/>
        <v>153.47999999999999</v>
      </c>
      <c r="C35" s="67">
        <f t="shared" si="3"/>
        <v>69.459999999999994</v>
      </c>
      <c r="D35" s="68" t="str">
        <f t="shared" si="4"/>
        <v>W</v>
      </c>
      <c r="E35" s="67">
        <f t="shared" si="5"/>
        <v>97.02</v>
      </c>
      <c r="F35" s="67">
        <f t="shared" si="6"/>
        <v>112.9</v>
      </c>
      <c r="G35" s="67" t="str">
        <f t="shared" si="7"/>
        <v>L</v>
      </c>
    </row>
    <row r="36" spans="1:7" x14ac:dyDescent="0.3">
      <c r="A36" s="69">
        <f t="shared" si="2"/>
        <v>12</v>
      </c>
      <c r="B36" s="67">
        <f t="shared" si="2"/>
        <v>110.42</v>
      </c>
      <c r="C36" s="67">
        <f t="shared" si="3"/>
        <v>123.72</v>
      </c>
      <c r="D36" s="68" t="str">
        <f t="shared" ref="D36:D38" si="8">IF(B36&gt;C36,"W","L")</f>
        <v>L</v>
      </c>
      <c r="E36" s="67">
        <f t="shared" si="5"/>
        <v>124.96</v>
      </c>
      <c r="F36" s="67">
        <f t="shared" si="6"/>
        <v>100.96</v>
      </c>
      <c r="G36" s="67" t="str">
        <f t="shared" si="7"/>
        <v>W</v>
      </c>
    </row>
    <row r="37" spans="1:7" x14ac:dyDescent="0.3">
      <c r="A37" s="69">
        <f t="shared" si="2"/>
        <v>13</v>
      </c>
      <c r="B37" s="67">
        <f t="shared" si="2"/>
        <v>134.22</v>
      </c>
      <c r="C37" s="67">
        <f t="shared" si="3"/>
        <v>91.24</v>
      </c>
      <c r="D37" s="68" t="str">
        <f t="shared" si="8"/>
        <v>W</v>
      </c>
      <c r="E37" s="67">
        <f t="shared" si="5"/>
        <v>71.099999999999994</v>
      </c>
      <c r="F37" s="67">
        <f t="shared" si="6"/>
        <v>101.14</v>
      </c>
      <c r="G37" s="67" t="str">
        <f t="shared" si="7"/>
        <v>L</v>
      </c>
    </row>
    <row r="38" spans="1:7" x14ac:dyDescent="0.3">
      <c r="A38" s="70">
        <f t="shared" si="2"/>
        <v>14</v>
      </c>
      <c r="B38" s="67">
        <f t="shared" si="2"/>
        <v>129.13999999999999</v>
      </c>
      <c r="C38" s="67">
        <f t="shared" si="3"/>
        <v>94.4</v>
      </c>
      <c r="D38" s="68" t="str">
        <f t="shared" si="8"/>
        <v>W</v>
      </c>
      <c r="E38" s="67">
        <f t="shared" si="5"/>
        <v>118</v>
      </c>
      <c r="F38" s="67">
        <f t="shared" si="6"/>
        <v>74.28</v>
      </c>
      <c r="G38" s="67" t="str">
        <f t="shared" si="7"/>
        <v>W</v>
      </c>
    </row>
  </sheetData>
  <mergeCells count="2">
    <mergeCell ref="B6:D6"/>
    <mergeCell ref="E6:G6"/>
  </mergeCells>
  <dataValidations count="2">
    <dataValidation type="list" allowBlank="1" showInputMessage="1" showErrorMessage="1" sqref="B1" xr:uid="{6A36B778-7B54-49C1-A07F-D659978E1763}">
      <formula1>years</formula1>
    </dataValidation>
    <dataValidation type="list" allowBlank="1" showInputMessage="1" showErrorMessage="1" sqref="B2 F2" xr:uid="{D47A9571-DB59-412C-B921-67EC0487574F}">
      <formula1>teamnames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Summary Page</vt:lpstr>
      <vt:lpstr>Regular Season</vt:lpstr>
      <vt:lpstr>Playoffs</vt:lpstr>
      <vt:lpstr>Tables</vt:lpstr>
      <vt:lpstr>Pivots</vt:lpstr>
      <vt:lpstr>Summary Page (2)</vt:lpstr>
      <vt:lpstr>Compare Schedules</vt:lpstr>
      <vt:lpstr>teamnames</vt:lpstr>
      <vt:lpstr>'Summary Page (2)'!teams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Strickland, Michael</dc:creator>
  <cp:lastModifiedBy>Maria Strickland</cp:lastModifiedBy>
  <dcterms:created xsi:type="dcterms:W3CDTF">2023-09-26T19:47:57Z</dcterms:created>
  <dcterms:modified xsi:type="dcterms:W3CDTF">2026-04-23T18:42:55Z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2025-10-20T20:30:07Z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b377b4ee-2851-4d70-adb7-fe066db13876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